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Enterprise\Product\Documents\PrintProcessing\TestHelper\TestFiles\"/>
    </mc:Choice>
  </mc:AlternateContent>
  <bookViews>
    <workbookView xWindow="120" yWindow="135" windowWidth="12120" windowHeight="9120" firstSheet="4" activeTab="4"/>
  </bookViews>
  <sheets>
    <sheet name="XXXXX" sheetId="1" state="veryHidden" r:id="rId1"/>
    <sheet name="XXXX0" sheetId="2" state="veryHidden" r:id="rId2"/>
    <sheet name="XXXX1" sheetId="3" state="veryHidden" r:id="rId3"/>
    <sheet name="XXXX2" sheetId="4" state="veryHidden" r:id="rId4"/>
    <sheet name="Phone List Split by site" sheetId="8" r:id="rId5"/>
    <sheet name="Phonelist by Extension" sheetId="9" r:id="rId6"/>
    <sheet name="Equipment List" sheetId="6" r:id="rId7"/>
  </sheets>
  <definedNames>
    <definedName name="_xlnm.Print_Area" localSheetId="4">'Phone List Split by site'!$A$1:$H$107</definedName>
  </definedNames>
  <calcPr calcId="152511"/>
  <customWorkbookViews>
    <customWorkbookView name="Sam - Personal View" guid="{2609CDC0-A8B5-11D3-9B4D-00A0C95D44E4}" mergeInterval="0" personalView="1" maximized="1" windowWidth="796" windowHeight="433" activeSheetId="5"/>
  </customWorkbookViews>
</workbook>
</file>

<file path=xl/calcChain.xml><?xml version="1.0" encoding="utf-8"?>
<calcChain xmlns="http://schemas.openxmlformats.org/spreadsheetml/2006/main">
  <c r="A1" i="6" l="1"/>
  <c r="A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4" i="9"/>
  <c r="A5" i="9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</calcChain>
</file>

<file path=xl/sharedStrings.xml><?xml version="1.0" encoding="utf-8"?>
<sst xmlns="http://schemas.openxmlformats.org/spreadsheetml/2006/main" count="855" uniqueCount="546">
  <si>
    <t>BEN GOVETT</t>
  </si>
  <si>
    <t>BILLY CONNOLLY</t>
  </si>
  <si>
    <t>BRETT SHEARER</t>
  </si>
  <si>
    <t>02 9669 1231</t>
  </si>
  <si>
    <t>CRISTY OCAMPO</t>
  </si>
  <si>
    <t>FLORBELA LOPES</t>
  </si>
  <si>
    <t>JASON SYDUN</t>
  </si>
  <si>
    <t>KERRI WOODSIDE</t>
  </si>
  <si>
    <t xml:space="preserve">MELBOURNE OFFICE </t>
  </si>
  <si>
    <t xml:space="preserve">03 9330 0860 </t>
  </si>
  <si>
    <t>MELINDA ELMOWY</t>
  </si>
  <si>
    <t>MIKE CONEY</t>
  </si>
  <si>
    <t>PETER COTTON</t>
  </si>
  <si>
    <t>02 9529 9448</t>
  </si>
  <si>
    <t>RICHARD WHITE</t>
  </si>
  <si>
    <t>SARAH LOVELL</t>
  </si>
  <si>
    <t>02 9520 7298</t>
  </si>
  <si>
    <t>0412 036 451</t>
  </si>
  <si>
    <t>SINGAPORE OFFICE</t>
  </si>
  <si>
    <t>STEVEN SLOJEWSKI</t>
  </si>
  <si>
    <t>02 9567 4248</t>
  </si>
  <si>
    <t>SCOTT WRIGHT</t>
  </si>
  <si>
    <t>TANIA WILSON</t>
  </si>
  <si>
    <t>02 9907 0110</t>
  </si>
  <si>
    <t>support</t>
  </si>
  <si>
    <t>billy</t>
  </si>
  <si>
    <t>brett</t>
  </si>
  <si>
    <t>chrystalla</t>
  </si>
  <si>
    <t>cristy</t>
  </si>
  <si>
    <t>florbela</t>
  </si>
  <si>
    <t>jason</t>
  </si>
  <si>
    <t>kerri</t>
  </si>
  <si>
    <t>maree</t>
  </si>
  <si>
    <t>melinda</t>
  </si>
  <si>
    <t>mike</t>
  </si>
  <si>
    <t>paul</t>
  </si>
  <si>
    <t>peter</t>
  </si>
  <si>
    <t>richard</t>
  </si>
  <si>
    <t>sarah</t>
  </si>
  <si>
    <t>stevens</t>
  </si>
  <si>
    <t>scott</t>
  </si>
  <si>
    <t>tania</t>
  </si>
  <si>
    <t>KEN ROBERTS</t>
  </si>
  <si>
    <t>ken</t>
  </si>
  <si>
    <t xml:space="preserve">07 3878 8444 </t>
  </si>
  <si>
    <t>02 9605 1558</t>
  </si>
  <si>
    <t>02 9522 4400</t>
  </si>
  <si>
    <t>Name</t>
  </si>
  <si>
    <t>TAXI'S COMBINED</t>
  </si>
  <si>
    <t>debbie</t>
  </si>
  <si>
    <t>02 9599 9170</t>
  </si>
  <si>
    <t>ben</t>
  </si>
  <si>
    <t>CHRYSTALLA  KERTEMIOU</t>
  </si>
  <si>
    <t>CPU</t>
  </si>
  <si>
    <t>Memory</t>
  </si>
  <si>
    <t>Disk Size</t>
  </si>
  <si>
    <t>CDROM</t>
  </si>
  <si>
    <t>Monitor</t>
  </si>
  <si>
    <t>Sound/Speakers</t>
  </si>
  <si>
    <t>Celeron 400</t>
  </si>
  <si>
    <t>64MB</t>
  </si>
  <si>
    <t>IDE</t>
  </si>
  <si>
    <t>4.3GB</t>
  </si>
  <si>
    <t>n/a</t>
  </si>
  <si>
    <t>15" Diamond</t>
  </si>
  <si>
    <t>16bit Sound Card</t>
  </si>
  <si>
    <t>Video Card</t>
  </si>
  <si>
    <t>S3 AGP / 4MB</t>
  </si>
  <si>
    <t>Pentium II 266</t>
  </si>
  <si>
    <t>SCSI</t>
  </si>
  <si>
    <t>9GB UW</t>
  </si>
  <si>
    <t>14"</t>
  </si>
  <si>
    <t>32MB</t>
  </si>
  <si>
    <t>13GB</t>
  </si>
  <si>
    <t>cd burner</t>
  </si>
  <si>
    <t>Virus Engine Version</t>
  </si>
  <si>
    <t>Disk Type IDE/SCSI</t>
  </si>
  <si>
    <t>Virus Dat Version</t>
  </si>
  <si>
    <t>IP Address</t>
  </si>
  <si>
    <t>128MB</t>
  </si>
  <si>
    <t>9.2GB</t>
  </si>
  <si>
    <t>S3 Trio 3D/2X</t>
  </si>
  <si>
    <t>21" Viewsonic</t>
  </si>
  <si>
    <t>PCI 64 bit Sound Blaster</t>
  </si>
  <si>
    <t>24x, zip</t>
  </si>
  <si>
    <t>36x Sony, zip</t>
  </si>
  <si>
    <t>S3 Virge PCI</t>
  </si>
  <si>
    <t>19" Viewsonic</t>
  </si>
  <si>
    <t>YES</t>
  </si>
  <si>
    <t>19" Mag</t>
  </si>
  <si>
    <t>Pentium 200-S</t>
  </si>
  <si>
    <t>6.4GB</t>
  </si>
  <si>
    <t>TSENG LABS ET6000</t>
  </si>
  <si>
    <t>20" Viewsonic</t>
  </si>
  <si>
    <t>12GB</t>
  </si>
  <si>
    <t>40x Diamond</t>
  </si>
  <si>
    <t>S3 4MB</t>
  </si>
  <si>
    <t>21" Mag</t>
  </si>
  <si>
    <t>Personal Supply</t>
  </si>
  <si>
    <t>Pentium 200</t>
  </si>
  <si>
    <t>2.6GB</t>
  </si>
  <si>
    <t>14" Cumpucon</t>
  </si>
  <si>
    <t>1.2GB</t>
  </si>
  <si>
    <t>24x</t>
  </si>
  <si>
    <t>14" Acer</t>
  </si>
  <si>
    <t>19"</t>
  </si>
  <si>
    <t>S3 Trio64V2 DX/GX</t>
  </si>
  <si>
    <t>14" Mag</t>
  </si>
  <si>
    <t xml:space="preserve">15" Mag </t>
  </si>
  <si>
    <t>Pentium Pro 200</t>
  </si>
  <si>
    <t>36x Sony</t>
  </si>
  <si>
    <t>Celeron 333</t>
  </si>
  <si>
    <t>S3 Trio64V2</t>
  </si>
  <si>
    <t>2.1GB</t>
  </si>
  <si>
    <t>S3 Trio64V + PCI</t>
  </si>
  <si>
    <t>98MB</t>
  </si>
  <si>
    <t>3.2GB</t>
  </si>
  <si>
    <t>Matrox G400 Dual</t>
  </si>
  <si>
    <t>19" Mag + 14" Mag</t>
  </si>
  <si>
    <t>Vibra 128</t>
  </si>
  <si>
    <t>Matrox MGA Millenium</t>
  </si>
  <si>
    <t>14" Leo</t>
  </si>
  <si>
    <t>"19 Viewsonic</t>
  </si>
  <si>
    <t>Celeron 266</t>
  </si>
  <si>
    <t>S3 128 bit 4MB Trio3D</t>
  </si>
  <si>
    <t xml:space="preserve">14" Mag </t>
  </si>
  <si>
    <t>32x</t>
  </si>
  <si>
    <t>S3 Vision 864</t>
  </si>
  <si>
    <t>None</t>
  </si>
  <si>
    <t>S3 Trio64 DX/GX</t>
  </si>
  <si>
    <t>Pentium 266</t>
  </si>
  <si>
    <t>4.2GB</t>
  </si>
  <si>
    <t>Yes</t>
  </si>
  <si>
    <t>4.0.02</t>
  </si>
  <si>
    <t>4.0.4036</t>
  </si>
  <si>
    <t>192.168.2.140</t>
  </si>
  <si>
    <t>4.0.35</t>
  </si>
  <si>
    <t>4.0.4053</t>
  </si>
  <si>
    <t>192.168.2.227</t>
  </si>
  <si>
    <t>4.0.4035</t>
  </si>
  <si>
    <t>203.30.212.47</t>
  </si>
  <si>
    <t>203.30.212.57</t>
  </si>
  <si>
    <t>4.0.4045</t>
  </si>
  <si>
    <t>203.30.212.41</t>
  </si>
  <si>
    <t>192.168.2.133</t>
  </si>
  <si>
    <t>192.168.2.24</t>
  </si>
  <si>
    <t>203.30.212.38</t>
  </si>
  <si>
    <t>203.30.212.46</t>
  </si>
  <si>
    <t>203.41.24.34</t>
  </si>
  <si>
    <t>203.30.212.56</t>
  </si>
  <si>
    <t>192.168.2.230</t>
  </si>
  <si>
    <t>203.30.212.55</t>
  </si>
  <si>
    <t>2.4GB</t>
  </si>
  <si>
    <t>Trio 64V2</t>
  </si>
  <si>
    <t>14" Diamond</t>
  </si>
  <si>
    <t>192.168.2.147</t>
  </si>
  <si>
    <t>192.168.2.151</t>
  </si>
  <si>
    <t>192.168.2.245</t>
  </si>
  <si>
    <t>192.168.2.135</t>
  </si>
  <si>
    <t>192.168.2.246</t>
  </si>
  <si>
    <t>192.168.2.134</t>
  </si>
  <si>
    <t>4.0.4051</t>
  </si>
  <si>
    <t>203.30.212.48</t>
  </si>
  <si>
    <t>192.168.2.240</t>
  </si>
  <si>
    <t>JENNY FOSTER</t>
  </si>
  <si>
    <t>jenny</t>
  </si>
  <si>
    <t>203.30.212.54</t>
  </si>
  <si>
    <t>07 3878 8999</t>
  </si>
  <si>
    <t>03 9338 2205</t>
  </si>
  <si>
    <t>0438 253 647</t>
  </si>
  <si>
    <t>BRETT WILTON</t>
  </si>
  <si>
    <t>+64 9579 4311</t>
  </si>
  <si>
    <t>+64 9579 4655</t>
  </si>
  <si>
    <t>+649 579 4311</t>
  </si>
  <si>
    <t>+649 579 4655</t>
  </si>
  <si>
    <t>EMERGENCY SUPPORT NUMBER</t>
  </si>
  <si>
    <t>02 9962 9240</t>
  </si>
  <si>
    <t>02 9521 1587</t>
  </si>
  <si>
    <t>belinda</t>
  </si>
  <si>
    <t>DONG-CHAU NGUYEN</t>
  </si>
  <si>
    <t>dong</t>
  </si>
  <si>
    <t>0419 538 858</t>
  </si>
  <si>
    <t>brett.wilton</t>
  </si>
  <si>
    <t>PETER EAST (TECHNICIAN FOR NZ)</t>
  </si>
  <si>
    <t>Peter.east@xtra.co.nz</t>
  </si>
  <si>
    <t>KIRSTEN DUERIG</t>
  </si>
  <si>
    <t>kirsten</t>
  </si>
  <si>
    <t>02 9314 0914</t>
  </si>
  <si>
    <t>02 9634 6124</t>
  </si>
  <si>
    <t>JOHN VASSAR</t>
  </si>
  <si>
    <t>john</t>
  </si>
  <si>
    <t>0425 220 223</t>
  </si>
  <si>
    <t>02 9025 1199</t>
  </si>
  <si>
    <t>BRISBANE OFFICE</t>
  </si>
  <si>
    <t>NAME</t>
  </si>
  <si>
    <t>EXT</t>
  </si>
  <si>
    <t>EMAIL</t>
  </si>
  <si>
    <t>MOBILE</t>
  </si>
  <si>
    <t>BUSINESS #</t>
  </si>
  <si>
    <t>PORNPETCH WONGAMARES</t>
  </si>
  <si>
    <t xml:space="preserve">SYDNEY OFFICE </t>
  </si>
  <si>
    <t>CTC</t>
  </si>
  <si>
    <t>02 9792 7044</t>
  </si>
  <si>
    <t>02 9771 3096</t>
  </si>
  <si>
    <t>KINGS SECURITY</t>
  </si>
  <si>
    <t>02 9310 1888</t>
  </si>
  <si>
    <t>02 9310 3311</t>
  </si>
  <si>
    <t>FAX #</t>
  </si>
  <si>
    <t>HOME #</t>
  </si>
  <si>
    <t>+64 2559 4194</t>
  </si>
  <si>
    <t>+65 9731 8946</t>
  </si>
  <si>
    <t xml:space="preserve">NEW ZEALAND OFFICE </t>
  </si>
  <si>
    <t>toll free:
0800334787</t>
  </si>
  <si>
    <t>sam</t>
  </si>
  <si>
    <t xml:space="preserve">SAMANTHA EDWARDS </t>
  </si>
  <si>
    <t>0413 043 711</t>
  </si>
  <si>
    <t>JAMES MURCHISON (BNE TECH)</t>
  </si>
  <si>
    <t>ALI SADAT SHAFAI</t>
  </si>
  <si>
    <t>ali</t>
  </si>
  <si>
    <t>VICTOR BASTIAN</t>
  </si>
  <si>
    <t>victor</t>
  </si>
  <si>
    <t>02 8394 9128</t>
  </si>
  <si>
    <t>02 9697 2268</t>
  </si>
  <si>
    <t>07 3715 6761</t>
  </si>
  <si>
    <t>alex</t>
  </si>
  <si>
    <t>henry</t>
  </si>
  <si>
    <t>HENRY YE</t>
  </si>
  <si>
    <t>matt</t>
  </si>
  <si>
    <t>Extension</t>
  </si>
  <si>
    <t>Richard</t>
  </si>
  <si>
    <t>Sarah</t>
  </si>
  <si>
    <t>Tania</t>
  </si>
  <si>
    <t>Victor</t>
  </si>
  <si>
    <t>Billy</t>
  </si>
  <si>
    <t>Peter</t>
  </si>
  <si>
    <t>Florbela</t>
  </si>
  <si>
    <t>Ali</t>
  </si>
  <si>
    <t>John</t>
  </si>
  <si>
    <t>Jason</t>
  </si>
  <si>
    <t>Sam</t>
  </si>
  <si>
    <t>Jenny</t>
  </si>
  <si>
    <t>Henry</t>
  </si>
  <si>
    <t>Alex</t>
  </si>
  <si>
    <t>Ken</t>
  </si>
  <si>
    <t>Brett</t>
  </si>
  <si>
    <t>Ben</t>
  </si>
  <si>
    <t>Cristy</t>
  </si>
  <si>
    <t>Dong</t>
  </si>
  <si>
    <t>Melinda</t>
  </si>
  <si>
    <t>Kerri</t>
  </si>
  <si>
    <t>Scott</t>
  </si>
  <si>
    <t>Type</t>
  </si>
  <si>
    <t>Data</t>
  </si>
  <si>
    <t>Digital</t>
  </si>
  <si>
    <t>Analogue</t>
  </si>
  <si>
    <t>Steven</t>
  </si>
  <si>
    <t>Chrystalla</t>
  </si>
  <si>
    <t>Kirsten</t>
  </si>
  <si>
    <t>MATT GARVEN</t>
  </si>
  <si>
    <t>0405 483 771</t>
  </si>
  <si>
    <t>0401 139 880</t>
  </si>
  <si>
    <t>02 9890 8897</t>
  </si>
  <si>
    <t>0408 476 103</t>
  </si>
  <si>
    <t>DEBORAH SPAGARINO</t>
  </si>
  <si>
    <t>0411 031 779</t>
  </si>
  <si>
    <t>02 9745 2853</t>
  </si>
  <si>
    <t>ALEX SALAMAKHA</t>
  </si>
  <si>
    <t>BERYL CHEUNG</t>
  </si>
  <si>
    <t>beryl</t>
  </si>
  <si>
    <t>02 9567 5752</t>
  </si>
  <si>
    <t xml:space="preserve">ALEX </t>
  </si>
  <si>
    <t>0405 179 208</t>
  </si>
  <si>
    <t>IMRAAN KHAN</t>
  </si>
  <si>
    <t>imraan</t>
  </si>
  <si>
    <t>02 9899 2909</t>
  </si>
  <si>
    <t>RENE PALLESEN</t>
  </si>
  <si>
    <t>rene</t>
  </si>
  <si>
    <t>0408 708 697</t>
  </si>
  <si>
    <t>transecomm</t>
  </si>
  <si>
    <t>Dips</t>
  </si>
  <si>
    <t>BRENDON PAINE</t>
  </si>
  <si>
    <t>brendon</t>
  </si>
  <si>
    <t>0413 087 218</t>
  </si>
  <si>
    <t>+65 6247 9420</t>
  </si>
  <si>
    <t>+65 6247 9419</t>
  </si>
  <si>
    <t>+65 6546 8224</t>
  </si>
  <si>
    <t>SOLON EDMUNDS</t>
  </si>
  <si>
    <t>solon</t>
  </si>
  <si>
    <t>Caroline</t>
  </si>
  <si>
    <t>pornpetch</t>
  </si>
  <si>
    <t>NIALL CONNAUGHTON</t>
  </si>
  <si>
    <t>Pornpetch</t>
  </si>
  <si>
    <t>PETER GUMMER</t>
  </si>
  <si>
    <t>peterg</t>
  </si>
  <si>
    <t>scottl</t>
  </si>
  <si>
    <t>SCOTT LEFCOURT</t>
  </si>
  <si>
    <t>02 9982 7759</t>
  </si>
  <si>
    <t>0409 073 074</t>
  </si>
  <si>
    <t>John Oliveria</t>
  </si>
  <si>
    <t>JOHN OLIVEIRA</t>
  </si>
  <si>
    <t>johno</t>
  </si>
  <si>
    <t>0411 147 955</t>
  </si>
  <si>
    <t>02 9804 1963</t>
  </si>
  <si>
    <t>deb</t>
  </si>
  <si>
    <t>+65 6546 7792</t>
  </si>
  <si>
    <t>+65 6247 9652</t>
  </si>
  <si>
    <t>02 9420 3629</t>
  </si>
  <si>
    <t>SINGAPORE SUPPORT</t>
  </si>
  <si>
    <t>chip</t>
  </si>
  <si>
    <t>CHIP WILLMAN</t>
  </si>
  <si>
    <t>03 3972 1439</t>
  </si>
  <si>
    <t>02 9025 1111</t>
  </si>
  <si>
    <t>02 9519 3153</t>
  </si>
  <si>
    <t>0421 051 573</t>
  </si>
  <si>
    <t>02 9948 1634</t>
  </si>
  <si>
    <t>02 9639 3520</t>
  </si>
  <si>
    <t>0414 940 671</t>
  </si>
  <si>
    <t>02 9484 1355</t>
  </si>
  <si>
    <t>02 9436 3226</t>
  </si>
  <si>
    <t>02 9415 3993</t>
  </si>
  <si>
    <t>02 9660 7036</t>
  </si>
  <si>
    <t>02 9567 2825</t>
  </si>
  <si>
    <t>Solon</t>
  </si>
  <si>
    <t>Beryl</t>
  </si>
  <si>
    <t>Imraan</t>
  </si>
  <si>
    <t>STEPHEN NAGLE</t>
  </si>
  <si>
    <t>stephen</t>
  </si>
  <si>
    <t>02 9957 1315</t>
  </si>
  <si>
    <t>02 9518 7008</t>
  </si>
  <si>
    <t>02 9625 4321</t>
  </si>
  <si>
    <t>Sai</t>
  </si>
  <si>
    <t>Stephen Nagle</t>
  </si>
  <si>
    <t>0421 944 379</t>
  </si>
  <si>
    <t>0421 944 310</t>
  </si>
  <si>
    <t>0421 944 302</t>
  </si>
  <si>
    <t>0421 944 331</t>
  </si>
  <si>
    <t>0421 944 380</t>
  </si>
  <si>
    <t>0421 944 382</t>
  </si>
  <si>
    <t>0421 944 370</t>
  </si>
  <si>
    <t>0421 944 305</t>
  </si>
  <si>
    <t>DANIEL KANG</t>
  </si>
  <si>
    <t>daniel</t>
  </si>
  <si>
    <t>0402 279 948</t>
  </si>
  <si>
    <t>02 9635 5781</t>
  </si>
  <si>
    <t>niall</t>
  </si>
  <si>
    <t>0421 944 321</t>
  </si>
  <si>
    <t>0421 944 320</t>
  </si>
  <si>
    <t>0421 944 375</t>
  </si>
  <si>
    <t>0421 944 309</t>
  </si>
  <si>
    <t>0421 944 314</t>
  </si>
  <si>
    <t>0421 944 328</t>
  </si>
  <si>
    <t>0421 944 376</t>
  </si>
  <si>
    <t>0421 944 327</t>
  </si>
  <si>
    <t>0421 944 301</t>
  </si>
  <si>
    <t>0421 944 315</t>
  </si>
  <si>
    <t>0421 944 332</t>
  </si>
  <si>
    <t>0421 944 304</t>
  </si>
  <si>
    <t xml:space="preserve">02 9785 5885 </t>
  </si>
  <si>
    <t>PHILLIP FLORES</t>
  </si>
  <si>
    <t>phillip</t>
  </si>
  <si>
    <t>0416 118 734</t>
  </si>
  <si>
    <t>02 9680 9730</t>
  </si>
  <si>
    <t>WANDA CLIFFORD</t>
  </si>
  <si>
    <t>wanda</t>
  </si>
  <si>
    <t>0407 929 400</t>
  </si>
  <si>
    <t>0421 944 398</t>
  </si>
  <si>
    <t>0421 944 319</t>
  </si>
  <si>
    <t>0421 944 326</t>
  </si>
  <si>
    <t>Rene &amp; Chip</t>
  </si>
  <si>
    <t>Brendon</t>
  </si>
  <si>
    <t>Josh</t>
  </si>
  <si>
    <t>Rose</t>
  </si>
  <si>
    <t>speed dials</t>
  </si>
  <si>
    <t>Maree</t>
  </si>
  <si>
    <t>Debbie</t>
  </si>
  <si>
    <t>Jenny Foster</t>
  </si>
  <si>
    <t>Belinda</t>
  </si>
  <si>
    <t>NZ Office</t>
  </si>
  <si>
    <t>Brisbane Office</t>
  </si>
  <si>
    <t>Paul Dunn</t>
  </si>
  <si>
    <t>Melbourne Office</t>
  </si>
  <si>
    <t>0421 944 308</t>
  </si>
  <si>
    <t>STEPHEN AHN</t>
  </si>
  <si>
    <t>0403 856 599</t>
  </si>
  <si>
    <t>02 9716 0686</t>
  </si>
  <si>
    <t>02 4325 7025</t>
  </si>
  <si>
    <t>JASON PEARCE</t>
  </si>
  <si>
    <t>jasonp</t>
  </si>
  <si>
    <t>0404 878 141</t>
  </si>
  <si>
    <t>DALMO SERRAVALLE</t>
  </si>
  <si>
    <t>dalmo</t>
  </si>
  <si>
    <t>CHRIS ANDERSON</t>
  </si>
  <si>
    <t>chris</t>
  </si>
  <si>
    <t>02 9665 3967</t>
  </si>
  <si>
    <t>GEOFFREY EID</t>
  </si>
  <si>
    <t>geoff</t>
  </si>
  <si>
    <t>0417 002 725</t>
  </si>
  <si>
    <t>02 9420 1167</t>
  </si>
  <si>
    <t>GARY O'DEA</t>
  </si>
  <si>
    <t>gary</t>
  </si>
  <si>
    <t>0418 683 531</t>
  </si>
  <si>
    <t>02 4284 3909</t>
  </si>
  <si>
    <t>02 9665 9535</t>
  </si>
  <si>
    <t>0421 944 307</t>
  </si>
  <si>
    <t>ANDY</t>
  </si>
  <si>
    <t>DAVID JAMES</t>
  </si>
  <si>
    <t>davidj</t>
  </si>
  <si>
    <t>02 9686 1480</t>
  </si>
  <si>
    <t>annie</t>
  </si>
  <si>
    <t>02 9557 6785</t>
  </si>
  <si>
    <t>LAWRENCE WEE</t>
  </si>
  <si>
    <t>lawrence</t>
  </si>
  <si>
    <t>02 9546 3119</t>
  </si>
  <si>
    <t>02 8332 8888</t>
  </si>
  <si>
    <t>cate</t>
  </si>
  <si>
    <t>CATE SHANAHAN</t>
  </si>
  <si>
    <t>02 9544 5597</t>
  </si>
  <si>
    <t>CEDRIC CHEUK</t>
  </si>
  <si>
    <t>cedric</t>
  </si>
  <si>
    <t>HUI CHUAN TAN</t>
  </si>
  <si>
    <t>Gary</t>
  </si>
  <si>
    <t>Melanie</t>
  </si>
  <si>
    <t>Cate</t>
  </si>
  <si>
    <t>Peter G</t>
  </si>
  <si>
    <t>Scott L</t>
  </si>
  <si>
    <t>Phillip F</t>
  </si>
  <si>
    <t>02 9805 0580</t>
  </si>
  <si>
    <t>0416 333 361</t>
  </si>
  <si>
    <t>02 9899 7838</t>
  </si>
  <si>
    <t>0421 944 318</t>
  </si>
  <si>
    <t>0421 944 341</t>
  </si>
  <si>
    <t>0421 944 342</t>
  </si>
  <si>
    <t>0421 944 384</t>
  </si>
  <si>
    <t>0421 944 394</t>
  </si>
  <si>
    <t>0418 493 573</t>
  </si>
  <si>
    <t>0421 944 330</t>
  </si>
  <si>
    <t>02 9344 6676</t>
  </si>
  <si>
    <t>0402 737 025</t>
  </si>
  <si>
    <t>02 9798 7007</t>
  </si>
  <si>
    <t>ANGIE VENDRINA</t>
  </si>
  <si>
    <t>VAHID GHELIJKHAN</t>
  </si>
  <si>
    <t>vahid</t>
  </si>
  <si>
    <t>02 9807 4251</t>
  </si>
  <si>
    <t>angie</t>
  </si>
  <si>
    <t>0410 689 648</t>
  </si>
  <si>
    <t>07 3878 7345</t>
  </si>
  <si>
    <t>SPEED DIALS = Press MEMORY or dial 16 then 5 for Mobile or 6 for Home then dial the last 2 digits of the extension number</t>
  </si>
  <si>
    <t>Speed dials for the interstate and overseas offices press MEMORY or dial 16 followed by the three digits</t>
  </si>
  <si>
    <t>MELANIE KELSEY</t>
  </si>
  <si>
    <t>melanie</t>
  </si>
  <si>
    <t>+62 21 719 3519</t>
  </si>
  <si>
    <t>eg:  Chrystalla's Mobile press MEMORY or dial 16 then 5 75 and home number press MEMORY or dial  16  then 6 75</t>
  </si>
  <si>
    <t>02 9557 0071</t>
  </si>
  <si>
    <t>NICK MARTIN</t>
  </si>
  <si>
    <t>nick</t>
  </si>
  <si>
    <t>02 9211 0505</t>
  </si>
  <si>
    <t>CAVE</t>
  </si>
  <si>
    <t>02 9517 3608</t>
  </si>
  <si>
    <t>ANNIE LEE</t>
  </si>
  <si>
    <t>stevea</t>
  </si>
  <si>
    <t>JOO YOUM</t>
  </si>
  <si>
    <t>joo</t>
  </si>
  <si>
    <t>0438 920 646</t>
  </si>
  <si>
    <t>02 9460 1146</t>
  </si>
  <si>
    <t>JAMES CRISP</t>
  </si>
  <si>
    <t>02 9415 6454</t>
  </si>
  <si>
    <t>james</t>
  </si>
  <si>
    <t>0421 781 984</t>
  </si>
  <si>
    <t>hctan</t>
  </si>
  <si>
    <t>0421 944 393</t>
  </si>
  <si>
    <t>0421 944 381</t>
  </si>
  <si>
    <t>0403 650 231</t>
  </si>
  <si>
    <t>CHARLES KOZMA</t>
  </si>
  <si>
    <t>charles</t>
  </si>
  <si>
    <t>CENTRAL MONITORING</t>
  </si>
  <si>
    <t>02 9809 9222</t>
  </si>
  <si>
    <t>02 9809 9233</t>
  </si>
  <si>
    <t>BOARDROOM</t>
  </si>
  <si>
    <t>MARK FAGGOUL</t>
  </si>
  <si>
    <t>0410 689 652</t>
  </si>
  <si>
    <t>DONNA CHANG</t>
  </si>
  <si>
    <t>donna</t>
  </si>
  <si>
    <t>0413 101 667</t>
  </si>
  <si>
    <t>02 9872 1828</t>
  </si>
  <si>
    <t>FARANAK MILANI</t>
  </si>
  <si>
    <t>faranak</t>
  </si>
  <si>
    <t>02 9547 2616
02 9546 2240</t>
  </si>
  <si>
    <t>ELIZABETH LEES</t>
  </si>
  <si>
    <t>elizabeth</t>
  </si>
  <si>
    <t>+64 21 676 002</t>
  </si>
  <si>
    <t>+64 21 974 854</t>
  </si>
  <si>
    <t>TSF/FWD CALLS TO RECEPTION  - TSF 501</t>
  </si>
  <si>
    <t>MAJELLA GILLEN</t>
  </si>
  <si>
    <t>majella</t>
  </si>
  <si>
    <t>CLINTON VOLZKE</t>
  </si>
  <si>
    <t>clinton</t>
  </si>
  <si>
    <t>02 9887 3145</t>
  </si>
  <si>
    <t>0416 220 228</t>
  </si>
  <si>
    <t>253</t>
  </si>
  <si>
    <t>254</t>
  </si>
  <si>
    <t>MARGARET LEWIS</t>
  </si>
  <si>
    <t>margaret</t>
  </si>
  <si>
    <t>02 9311 1751</t>
  </si>
  <si>
    <r>
      <t xml:space="preserve">DEBBIE BOYCE  -        </t>
    </r>
    <r>
      <rPr>
        <b/>
        <sz val="10"/>
        <rFont val="Arial"/>
        <family val="2"/>
      </rPr>
      <t>VOIP No. 07253</t>
    </r>
  </si>
  <si>
    <r>
      <t xml:space="preserve">MAREE McCALLUM -   </t>
    </r>
    <r>
      <rPr>
        <b/>
        <sz val="10"/>
        <rFont val="Arial"/>
        <family val="2"/>
      </rPr>
      <t>VOIP No. 07251</t>
    </r>
  </si>
  <si>
    <t>VOIP Operation - dial "0" then '7' for QLD or '3' for VIC then either the ext. No. or full phone number</t>
  </si>
  <si>
    <t>16-707</t>
  </si>
  <si>
    <t>16-703</t>
  </si>
  <si>
    <t>16-764</t>
  </si>
  <si>
    <t>16-765</t>
  </si>
  <si>
    <t>02 9357 2711 (Room # 406)</t>
  </si>
  <si>
    <t>02 9315 8728</t>
  </si>
  <si>
    <t>+62 811 995 235</t>
  </si>
  <si>
    <t>SUPPORT # DIVERTED THROUGH VOIP</t>
  </si>
  <si>
    <t>07 3878 7300</t>
  </si>
  <si>
    <t>03 9335 1286</t>
  </si>
  <si>
    <t>ALEXANDRE LAMVOHEE</t>
  </si>
  <si>
    <t>alexl</t>
  </si>
  <si>
    <t>02 99580920</t>
  </si>
  <si>
    <t>0405 237 546</t>
  </si>
  <si>
    <t>02 4577 9177</t>
  </si>
  <si>
    <t>KEN HATHAWAY</t>
  </si>
  <si>
    <t>kenh</t>
  </si>
  <si>
    <t>0411 705 412</t>
  </si>
  <si>
    <t>02 9449 2471</t>
  </si>
  <si>
    <t>02 9899 9755</t>
  </si>
  <si>
    <t>0421 944 351</t>
  </si>
  <si>
    <t>0421 944 353</t>
  </si>
  <si>
    <t>TIMOTHY CHANG</t>
  </si>
  <si>
    <t>timothy</t>
  </si>
  <si>
    <t>0411 711 869</t>
  </si>
  <si>
    <t>02 9801 8882</t>
  </si>
  <si>
    <t>RAJ NAIDU</t>
  </si>
  <si>
    <t>raj</t>
  </si>
  <si>
    <t>0422 775 901</t>
  </si>
  <si>
    <t>02 9960 5777</t>
  </si>
  <si>
    <t>DAPHNE CHONG</t>
  </si>
  <si>
    <t>daphne</t>
  </si>
  <si>
    <t>0402 016 892</t>
  </si>
  <si>
    <t>02 9543 0652</t>
  </si>
  <si>
    <t>Eagle Datamation International CONFIDENTIAL internal phone list updated 11/08/03 by SL</t>
  </si>
  <si>
    <r>
      <t xml:space="preserve">PAUL DUNN -               </t>
    </r>
    <r>
      <rPr>
        <b/>
        <sz val="10"/>
        <rFont val="Arial"/>
        <family val="2"/>
      </rPr>
      <t>VOIP No. 03258</t>
    </r>
  </si>
  <si>
    <r>
      <t xml:space="preserve">BELINDA ROE -            </t>
    </r>
    <r>
      <rPr>
        <b/>
        <sz val="10"/>
        <rFont val="Arial"/>
        <family val="2"/>
      </rPr>
      <t>VOIP No. 03259</t>
    </r>
  </si>
  <si>
    <t>0421 944 360</t>
  </si>
  <si>
    <t>KEN DONVEY</t>
  </si>
  <si>
    <t>ken.dovey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</si>
</sst>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0"/>
      <name val="Arial"/>
    </font>
    <font>
      <sz val="12"/>
      <name val="Helv"/>
    </font>
    <font>
      <u/>
      <sz val="7.5"/>
      <color indexed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</font>
    <font>
      <b/>
      <i/>
      <sz val="9"/>
      <name val="Arial"/>
      <family val="2"/>
    </font>
    <font>
      <sz val="9"/>
      <name val="Arial"/>
      <family val="2"/>
    </font>
    <font>
      <b/>
      <sz val="10"/>
      <color indexed="8"/>
      <name val="Lucida Sans"/>
      <family val="2"/>
    </font>
    <font>
      <sz val="10"/>
      <color indexed="8"/>
      <name val="Lucida Sans"/>
      <family val="2"/>
    </font>
    <font>
      <u/>
      <sz val="10"/>
      <color indexed="8"/>
      <name val="Lucida Sans"/>
      <family val="2"/>
    </font>
    <font>
      <sz val="7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1"/>
      <color indexed="9"/>
      <name val="Arial"/>
      <family val="2"/>
    </font>
    <font>
      <b/>
      <i/>
      <sz val="10"/>
      <name val="Arial"/>
      <family val="2"/>
    </font>
    <font>
      <u/>
      <sz val="9"/>
      <color indexed="12"/>
      <name val="Arial"/>
      <family val="2"/>
    </font>
    <font>
      <b/>
      <i/>
      <sz val="14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9">
    <xf numFmtId="0" fontId="0" fillId="0" borderId="0" applyNumberFormat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20">
    <xf numFmtId="0" fontId="0" fillId="0" borderId="0" xfId="0"/>
    <xf numFmtId="0" fontId="5" fillId="0" borderId="0" xfId="0" applyFont="1" applyBorder="1"/>
    <xf numFmtId="0" fontId="4" fillId="0" borderId="1" xfId="0" applyFont="1" applyBorder="1"/>
    <xf numFmtId="0" fontId="6" fillId="0" borderId="0" xfId="0" applyFont="1" applyBorder="1"/>
    <xf numFmtId="0" fontId="7" fillId="0" borderId="0" xfId="0" applyFont="1" applyBorder="1"/>
    <xf numFmtId="0" fontId="7" fillId="0" borderId="1" xfId="0" applyFont="1" applyBorder="1"/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2" xfId="0" applyFont="1" applyBorder="1"/>
    <xf numFmtId="0" fontId="7" fillId="0" borderId="3" xfId="0" applyFont="1" applyBorder="1"/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8" fillId="0" borderId="4" xfId="0" applyFont="1" applyBorder="1" applyAlignment="1">
      <alignment horizontal="center" wrapText="1"/>
    </xf>
    <xf numFmtId="49" fontId="8" fillId="0" borderId="5" xfId="0" applyNumberFormat="1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9" fillId="0" borderId="4" xfId="0" applyFont="1" applyBorder="1" applyAlignment="1">
      <alignment wrapText="1"/>
    </xf>
    <xf numFmtId="49" fontId="9" fillId="0" borderId="0" xfId="0" applyNumberFormat="1" applyFont="1" applyBorder="1" applyAlignment="1">
      <alignment horizontal="center" wrapText="1"/>
    </xf>
    <xf numFmtId="0" fontId="9" fillId="0" borderId="0" xfId="0" applyFont="1" applyBorder="1" applyAlignment="1">
      <alignment horizontal="center" wrapText="1"/>
    </xf>
    <xf numFmtId="0" fontId="9" fillId="0" borderId="0" xfId="0" applyFont="1" applyBorder="1" applyAlignment="1">
      <alignment wrapText="1"/>
    </xf>
    <xf numFmtId="49" fontId="9" fillId="0" borderId="6" xfId="0" applyNumberFormat="1" applyFont="1" applyBorder="1" applyAlignment="1">
      <alignment horizontal="center" wrapText="1"/>
    </xf>
    <xf numFmtId="0" fontId="9" fillId="0" borderId="0" xfId="0" quotePrefix="1" applyFont="1" applyBorder="1" applyAlignment="1">
      <alignment horizontal="center" wrapText="1"/>
    </xf>
    <xf numFmtId="0" fontId="10" fillId="0" borderId="0" xfId="0" applyFont="1" applyBorder="1" applyAlignment="1">
      <alignment wrapText="1"/>
    </xf>
    <xf numFmtId="0" fontId="11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/>
    </xf>
    <xf numFmtId="0" fontId="11" fillId="0" borderId="0" xfId="0" applyFont="1" applyBorder="1"/>
    <xf numFmtId="0" fontId="12" fillId="2" borderId="7" xfId="0" applyFont="1" applyFill="1" applyBorder="1" applyAlignment="1">
      <alignment horizontal="center"/>
    </xf>
    <xf numFmtId="0" fontId="12" fillId="2" borderId="7" xfId="0" applyFont="1" applyFill="1" applyBorder="1"/>
    <xf numFmtId="0" fontId="12" fillId="2" borderId="8" xfId="0" applyFont="1" applyFill="1" applyBorder="1"/>
    <xf numFmtId="0" fontId="13" fillId="0" borderId="0" xfId="0" applyFont="1" applyBorder="1"/>
    <xf numFmtId="0" fontId="3" fillId="0" borderId="0" xfId="0" applyFont="1" applyBorder="1"/>
    <xf numFmtId="0" fontId="15" fillId="0" borderId="1" xfId="0" applyFont="1" applyBorder="1"/>
    <xf numFmtId="0" fontId="16" fillId="0" borderId="0" xfId="0" applyFont="1" applyBorder="1"/>
    <xf numFmtId="0" fontId="15" fillId="0" borderId="1" xfId="0" applyFont="1" applyBorder="1" applyAlignment="1">
      <alignment horizontal="left"/>
    </xf>
    <xf numFmtId="0" fontId="17" fillId="2" borderId="9" xfId="0" applyFont="1" applyFill="1" applyBorder="1"/>
    <xf numFmtId="0" fontId="13" fillId="0" borderId="1" xfId="0" applyFont="1" applyBorder="1" applyAlignment="1">
      <alignment wrapText="1"/>
    </xf>
    <xf numFmtId="0" fontId="13" fillId="0" borderId="2" xfId="0" applyFont="1" applyBorder="1" applyAlignment="1">
      <alignment horizontal="center"/>
    </xf>
    <xf numFmtId="0" fontId="13" fillId="0" borderId="2" xfId="0" applyFont="1" applyBorder="1" applyAlignment="1">
      <alignment horizontal="left"/>
    </xf>
    <xf numFmtId="0" fontId="13" fillId="0" borderId="2" xfId="0" applyFont="1" applyBorder="1"/>
    <xf numFmtId="0" fontId="13" fillId="0" borderId="3" xfId="0" applyFont="1" applyBorder="1"/>
    <xf numFmtId="0" fontId="13" fillId="0" borderId="1" xfId="0" applyFont="1" applyBorder="1"/>
    <xf numFmtId="0" fontId="3" fillId="0" borderId="2" xfId="0" applyFont="1" applyBorder="1" applyAlignment="1">
      <alignment horizontal="center"/>
    </xf>
    <xf numFmtId="0" fontId="13" fillId="0" borderId="2" xfId="0" applyFont="1" applyBorder="1" applyAlignment="1">
      <alignment wrapText="1"/>
    </xf>
    <xf numFmtId="0" fontId="13" fillId="0" borderId="3" xfId="0" applyFont="1" applyBorder="1" applyAlignment="1">
      <alignment wrapText="1"/>
    </xf>
    <xf numFmtId="49" fontId="3" fillId="0" borderId="2" xfId="0" applyNumberFormat="1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3" xfId="0" quotePrefix="1" applyFont="1" applyBorder="1" applyAlignment="1">
      <alignment horizontal="left"/>
    </xf>
    <xf numFmtId="0" fontId="3" fillId="0" borderId="2" xfId="0" quotePrefix="1" applyFont="1" applyBorder="1" applyAlignment="1">
      <alignment horizontal="left"/>
    </xf>
    <xf numFmtId="0" fontId="13" fillId="0" borderId="2" xfId="0" quotePrefix="1" applyFont="1" applyBorder="1"/>
    <xf numFmtId="0" fontId="13" fillId="0" borderId="3" xfId="0" quotePrefix="1" applyFont="1" applyBorder="1"/>
    <xf numFmtId="0" fontId="3" fillId="0" borderId="3" xfId="0" applyFont="1" applyBorder="1"/>
    <xf numFmtId="49" fontId="13" fillId="0" borderId="2" xfId="0" applyNumberFormat="1" applyFont="1" applyBorder="1"/>
    <xf numFmtId="49" fontId="13" fillId="0" borderId="3" xfId="0" applyNumberFormat="1" applyFont="1" applyBorder="1"/>
    <xf numFmtId="0" fontId="3" fillId="0" borderId="2" xfId="0" applyFont="1" applyBorder="1"/>
    <xf numFmtId="49" fontId="3" fillId="0" borderId="2" xfId="0" applyNumberFormat="1" applyFont="1" applyBorder="1"/>
    <xf numFmtId="0" fontId="14" fillId="0" borderId="10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left"/>
    </xf>
    <xf numFmtId="0" fontId="14" fillId="0" borderId="12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5" fillId="0" borderId="14" xfId="0" applyFont="1" applyBorder="1"/>
    <xf numFmtId="0" fontId="7" fillId="0" borderId="15" xfId="0" applyFont="1" applyBorder="1" applyAlignment="1">
      <alignment horizontal="left"/>
    </xf>
    <xf numFmtId="0" fontId="7" fillId="0" borderId="15" xfId="0" applyFont="1" applyBorder="1"/>
    <xf numFmtId="0" fontId="7" fillId="0" borderId="16" xfId="0" applyFont="1" applyBorder="1"/>
    <xf numFmtId="0" fontId="13" fillId="0" borderId="17" xfId="0" applyFont="1" applyBorder="1" applyAlignment="1">
      <alignment horizontal="center"/>
    </xf>
    <xf numFmtId="0" fontId="13" fillId="0" borderId="17" xfId="0" applyFont="1" applyBorder="1" applyAlignment="1">
      <alignment horizontal="left"/>
    </xf>
    <xf numFmtId="0" fontId="13" fillId="0" borderId="17" xfId="0" applyFont="1" applyBorder="1"/>
    <xf numFmtId="0" fontId="13" fillId="0" borderId="18" xfId="0" applyFont="1" applyBorder="1"/>
    <xf numFmtId="0" fontId="19" fillId="0" borderId="2" xfId="8" applyFont="1" applyBorder="1" applyAlignment="1" applyProtection="1">
      <alignment horizontal="left"/>
    </xf>
    <xf numFmtId="0" fontId="14" fillId="0" borderId="1" xfId="0" applyFont="1" applyBorder="1" applyAlignment="1">
      <alignment wrapText="1"/>
    </xf>
    <xf numFmtId="0" fontId="7" fillId="0" borderId="19" xfId="0" applyFont="1" applyBorder="1"/>
    <xf numFmtId="2" fontId="12" fillId="2" borderId="7" xfId="0" applyNumberFormat="1" applyFont="1" applyFill="1" applyBorder="1"/>
    <xf numFmtId="2" fontId="14" fillId="0" borderId="11" xfId="0" applyNumberFormat="1" applyFont="1" applyBorder="1" applyAlignment="1">
      <alignment horizontal="center"/>
    </xf>
    <xf numFmtId="2" fontId="7" fillId="0" borderId="15" xfId="0" applyNumberFormat="1" applyFont="1" applyBorder="1"/>
    <xf numFmtId="2" fontId="7" fillId="0" borderId="2" xfId="0" applyNumberFormat="1" applyFont="1" applyBorder="1"/>
    <xf numFmtId="2" fontId="13" fillId="0" borderId="2" xfId="0" applyNumberFormat="1" applyFont="1" applyBorder="1"/>
    <xf numFmtId="2" fontId="13" fillId="0" borderId="2" xfId="0" applyNumberFormat="1" applyFont="1" applyBorder="1" applyAlignment="1">
      <alignment wrapText="1"/>
    </xf>
    <xf numFmtId="2" fontId="13" fillId="0" borderId="2" xfId="0" applyNumberFormat="1" applyFont="1" applyBorder="1" applyAlignment="1">
      <alignment horizontal="left"/>
    </xf>
    <xf numFmtId="2" fontId="18" fillId="0" borderId="2" xfId="0" applyNumberFormat="1" applyFont="1" applyBorder="1"/>
    <xf numFmtId="2" fontId="13" fillId="0" borderId="2" xfId="0" quotePrefix="1" applyNumberFormat="1" applyFont="1" applyBorder="1"/>
    <xf numFmtId="2" fontId="3" fillId="0" borderId="2" xfId="0" applyNumberFormat="1" applyFont="1" applyBorder="1"/>
    <xf numFmtId="2" fontId="11" fillId="0" borderId="0" xfId="0" applyNumberFormat="1" applyFont="1" applyBorder="1"/>
    <xf numFmtId="2" fontId="5" fillId="0" borderId="0" xfId="0" applyNumberFormat="1" applyFont="1" applyBorder="1"/>
    <xf numFmtId="0" fontId="3" fillId="0" borderId="3" xfId="0" applyFont="1" applyBorder="1" applyAlignment="1">
      <alignment wrapText="1"/>
    </xf>
    <xf numFmtId="0" fontId="13" fillId="0" borderId="20" xfId="0" applyFont="1" applyBorder="1"/>
    <xf numFmtId="49" fontId="13" fillId="0" borderId="20" xfId="0" applyNumberFormat="1" applyFont="1" applyBorder="1"/>
    <xf numFmtId="0" fontId="13" fillId="0" borderId="21" xfId="0" applyFont="1" applyBorder="1"/>
    <xf numFmtId="0" fontId="3" fillId="0" borderId="0" xfId="0" applyFont="1"/>
    <xf numFmtId="0" fontId="14" fillId="0" borderId="22" xfId="0" applyFont="1" applyBorder="1" applyAlignment="1">
      <alignment wrapText="1"/>
    </xf>
    <xf numFmtId="0" fontId="18" fillId="0" borderId="23" xfId="0" applyFont="1" applyBorder="1" applyAlignment="1">
      <alignment horizontal="center"/>
    </xf>
    <xf numFmtId="0" fontId="3" fillId="0" borderId="23" xfId="0" applyFont="1" applyBorder="1" applyAlignment="1">
      <alignment horizontal="left"/>
    </xf>
    <xf numFmtId="2" fontId="3" fillId="0" borderId="23" xfId="0" applyNumberFormat="1" applyFont="1" applyBorder="1"/>
    <xf numFmtId="0" fontId="3" fillId="0" borderId="23" xfId="0" applyFont="1" applyBorder="1"/>
    <xf numFmtId="0" fontId="3" fillId="0" borderId="24" xfId="0" applyFont="1" applyBorder="1"/>
    <xf numFmtId="0" fontId="13" fillId="0" borderId="20" xfId="8" applyFont="1" applyBorder="1" applyAlignment="1" applyProtection="1">
      <alignment horizontal="center" wrapText="1"/>
    </xf>
    <xf numFmtId="0" fontId="13" fillId="0" borderId="3" xfId="0" applyFont="1" applyBorder="1" applyAlignment="1">
      <alignment horizontal="left"/>
    </xf>
    <xf numFmtId="0" fontId="13" fillId="0" borderId="2" xfId="8" applyFont="1" applyBorder="1" applyAlignment="1" applyProtection="1">
      <alignment horizontal="left" wrapText="1"/>
    </xf>
    <xf numFmtId="2" fontId="0" fillId="0" borderId="2" xfId="0" applyNumberFormat="1" applyBorder="1"/>
    <xf numFmtId="49" fontId="0" fillId="0" borderId="2" xfId="0" applyNumberFormat="1" applyBorder="1"/>
    <xf numFmtId="0" fontId="0" fillId="0" borderId="2" xfId="0" applyBorder="1"/>
    <xf numFmtId="0" fontId="0" fillId="0" borderId="2" xfId="0" applyBorder="1" applyAlignment="1">
      <alignment horizontal="left" indent="2"/>
    </xf>
    <xf numFmtId="49" fontId="18" fillId="0" borderId="2" xfId="0" applyNumberFormat="1" applyFont="1" applyBorder="1" applyAlignment="1">
      <alignment horizontal="center"/>
    </xf>
    <xf numFmtId="2" fontId="13" fillId="0" borderId="17" xfId="0" applyNumberFormat="1" applyFont="1" applyBorder="1" applyAlignment="1">
      <alignment wrapText="1"/>
    </xf>
    <xf numFmtId="0" fontId="20" fillId="0" borderId="2" xfId="0" applyFont="1" applyBorder="1" applyAlignment="1">
      <alignment horizontal="center"/>
    </xf>
    <xf numFmtId="0" fontId="4" fillId="0" borderId="0" xfId="0" applyFont="1" applyBorder="1"/>
    <xf numFmtId="49" fontId="0" fillId="0" borderId="2" xfId="0" applyNumberFormat="1" applyBorder="1" applyAlignment="1">
      <alignment horizontal="left"/>
    </xf>
    <xf numFmtId="0" fontId="14" fillId="0" borderId="19" xfId="0" applyFont="1" applyBorder="1" applyAlignment="1">
      <alignment wrapText="1"/>
    </xf>
    <xf numFmtId="0" fontId="18" fillId="0" borderId="17" xfId="0" applyFont="1" applyBorder="1" applyAlignment="1">
      <alignment horizontal="center"/>
    </xf>
    <xf numFmtId="0" fontId="3" fillId="0" borderId="17" xfId="0" applyFont="1" applyBorder="1" applyAlignment="1">
      <alignment horizontal="left"/>
    </xf>
    <xf numFmtId="2" fontId="3" fillId="0" borderId="17" xfId="0" applyNumberFormat="1" applyFont="1" applyBorder="1"/>
    <xf numFmtId="0" fontId="3" fillId="0" borderId="17" xfId="0" applyFont="1" applyBorder="1"/>
    <xf numFmtId="0" fontId="3" fillId="0" borderId="18" xfId="0" applyFont="1" applyBorder="1" applyAlignment="1">
      <alignment horizontal="left"/>
    </xf>
    <xf numFmtId="0" fontId="13" fillId="0" borderId="15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13" fillId="0" borderId="18" xfId="0" applyFont="1" applyBorder="1" applyAlignment="1">
      <alignment wrapText="1"/>
    </xf>
    <xf numFmtId="49" fontId="13" fillId="0" borderId="3" xfId="0" applyNumberFormat="1" applyFont="1" applyBorder="1" applyAlignment="1">
      <alignment horizontal="left"/>
    </xf>
    <xf numFmtId="0" fontId="13" fillId="0" borderId="25" xfId="0" applyFont="1" applyFill="1" applyBorder="1"/>
    <xf numFmtId="0" fontId="13" fillId="0" borderId="2" xfId="0" applyNumberFormat="1" applyFont="1" applyBorder="1"/>
    <xf numFmtId="0" fontId="3" fillId="0" borderId="0" xfId="0" applyFont="1" applyBorder="1" applyAlignment="1">
      <alignment horizontal="left"/>
    </xf>
  </cellXfs>
  <cellStyles count="9">
    <cellStyle name="Comma  - Style1" xfId="1"/>
    <cellStyle name="Comma  - Style2" xfId="2"/>
    <cellStyle name="Comma  - Style3" xfId="3"/>
    <cellStyle name="Comma  - Style4" xfId="4"/>
    <cellStyle name="Comma  - Style5" xfId="5"/>
    <cellStyle name="Comma  - Style6" xfId="6"/>
    <cellStyle name="Comma  - Style7" xfId="7"/>
    <cellStyle name="Hyperlink" xfId="8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eter.east@xtra.co.nz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54" zoomScaleSheetLayoutView="6" workbookViewId="0"/>
  </sheetViews>
  <sheetFormatPr defaultRowHeight="12.75" x14ac:dyDescent="0.2"/>
  <sheetData/>
  <customSheetViews>
    <customSheetView guid="{2609CDC0-A8B5-11D3-9B4D-00A0C95D44E4}" state="veryHidden" showRuler="0">
      <pageMargins left="0.75" right="0.75" top="1" bottom="1" header="0.5" footer="0.5"/>
      <headerFooter alignWithMargins="0"/>
    </customSheetView>
  </customSheetView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2" zoomScaleSheetLayoutView="4" workbookViewId="0"/>
  </sheetViews>
  <sheetFormatPr defaultRowHeight="12.75" x14ac:dyDescent="0.2"/>
  <sheetData/>
  <customSheetViews>
    <customSheetView guid="{2609CDC0-A8B5-11D3-9B4D-00A0C95D44E4}" state="veryHidden" showRuler="0">
      <pageMargins left="0.75" right="0.75" top="1" bottom="1" header="0.5" footer="0.5"/>
      <headerFooter alignWithMargins="0"/>
    </customSheetView>
  </customSheetViews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2" zoomScaleSheetLayoutView="4" workbookViewId="0"/>
  </sheetViews>
  <sheetFormatPr defaultRowHeight="12.75" x14ac:dyDescent="0.2"/>
  <sheetData/>
  <customSheetViews>
    <customSheetView guid="{2609CDC0-A8B5-11D3-9B4D-00A0C95D44E4}" state="veryHidden" showRuler="0">
      <pageMargins left="0.75" right="0.75" top="1" bottom="1" header="0.5" footer="0.5"/>
      <headerFooter alignWithMargins="0"/>
    </customSheetView>
  </customSheetViews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2" zoomScaleSheetLayoutView="4" workbookViewId="0"/>
  </sheetViews>
  <sheetFormatPr defaultRowHeight="12.75" x14ac:dyDescent="0.2"/>
  <sheetData/>
  <customSheetViews>
    <customSheetView guid="{2609CDC0-A8B5-11D3-9B4D-00A0C95D44E4}" state="veryHidden" showRuler="0">
      <pageMargins left="0.75" right="0.75" top="1" bottom="1" header="0.5" footer="0.5"/>
      <headerFooter alignWithMargins="0"/>
    </customSheetView>
  </customSheetViews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6"/>
  <sheetViews>
    <sheetView tabSelected="1" view="pageBreakPreview" zoomScaleNormal="100" zoomScaleSheetLayoutView="100" workbookViewId="0">
      <pane ySplit="2" topLeftCell="A60" activePane="bottomLeft" state="frozen"/>
      <selection pane="bottomLeft" activeCell="B81" sqref="B81"/>
    </sheetView>
  </sheetViews>
  <sheetFormatPr defaultRowHeight="12" x14ac:dyDescent="0.2"/>
  <cols>
    <col min="1" max="1" width="36.7109375" style="1" customWidth="1"/>
    <col min="2" max="2" width="18.140625" style="10" bestFit="1" customWidth="1"/>
    <col min="3" max="3" width="10" style="10" bestFit="1" customWidth="1"/>
    <col min="4" max="4" width="15" style="83" bestFit="1" customWidth="1"/>
    <col min="5" max="5" width="15.28515625" style="1" bestFit="1" customWidth="1"/>
    <col min="6" max="6" width="13.42578125" style="1" bestFit="1" customWidth="1"/>
    <col min="7" max="7" width="24.28515625" style="1" bestFit="1" customWidth="1"/>
    <col min="8" max="8" width="8.42578125" style="1" customWidth="1"/>
    <col min="9" max="16384" width="9.140625" style="1"/>
  </cols>
  <sheetData>
    <row r="1" spans="1:7" ht="15.75" thickBot="1" x14ac:dyDescent="0.3">
      <c r="A1" s="33" t="s">
        <v>540</v>
      </c>
      <c r="B1" s="25"/>
      <c r="C1" s="25"/>
      <c r="D1" s="72"/>
      <c r="E1" s="26"/>
      <c r="F1" s="26"/>
      <c r="G1" s="27"/>
    </row>
    <row r="2" spans="1:7" s="4" customFormat="1" ht="16.5" thickBot="1" x14ac:dyDescent="0.3">
      <c r="A2" s="56" t="s">
        <v>194</v>
      </c>
      <c r="B2" s="57" t="s">
        <v>195</v>
      </c>
      <c r="C2" s="58" t="s">
        <v>196</v>
      </c>
      <c r="D2" s="73" t="s">
        <v>197</v>
      </c>
      <c r="E2" s="59" t="s">
        <v>198</v>
      </c>
      <c r="F2" s="59" t="s">
        <v>207</v>
      </c>
      <c r="G2" s="60" t="s">
        <v>208</v>
      </c>
    </row>
    <row r="3" spans="1:7" s="31" customFormat="1" ht="20.25" x14ac:dyDescent="0.3">
      <c r="A3" s="61" t="s">
        <v>200</v>
      </c>
      <c r="B3" s="113">
        <v>504</v>
      </c>
      <c r="C3" s="62" t="s">
        <v>24</v>
      </c>
      <c r="D3" s="74"/>
      <c r="E3" s="63" t="s">
        <v>311</v>
      </c>
      <c r="F3" s="63" t="s">
        <v>192</v>
      </c>
      <c r="G3" s="64"/>
    </row>
    <row r="4" spans="1:7" s="31" customFormat="1" ht="20.25" x14ac:dyDescent="0.3">
      <c r="A4" s="2" t="s">
        <v>175</v>
      </c>
      <c r="B4" s="6"/>
      <c r="C4" s="7"/>
      <c r="D4" s="75"/>
      <c r="E4" s="8" t="s">
        <v>176</v>
      </c>
      <c r="F4" s="8"/>
      <c r="G4" s="9"/>
    </row>
    <row r="5" spans="1:7" s="28" customFormat="1" ht="12.75" x14ac:dyDescent="0.2">
      <c r="A5" s="39" t="s">
        <v>516</v>
      </c>
      <c r="B5" s="35">
        <v>268</v>
      </c>
      <c r="C5" s="36" t="s">
        <v>517</v>
      </c>
      <c r="D5" s="118" t="s">
        <v>519</v>
      </c>
      <c r="E5" s="85"/>
      <c r="F5" s="85"/>
      <c r="G5" s="38" t="s">
        <v>518</v>
      </c>
    </row>
    <row r="6" spans="1:7" s="28" customFormat="1" ht="12.75" x14ac:dyDescent="0.2">
      <c r="A6" s="39" t="s">
        <v>266</v>
      </c>
      <c r="B6" s="35">
        <v>218</v>
      </c>
      <c r="C6" s="36" t="s">
        <v>224</v>
      </c>
      <c r="D6" s="76" t="s">
        <v>429</v>
      </c>
      <c r="E6" s="85"/>
      <c r="F6" s="85"/>
      <c r="G6" s="38" t="s">
        <v>412</v>
      </c>
    </row>
    <row r="7" spans="1:7" s="29" customFormat="1" ht="12.75" x14ac:dyDescent="0.2">
      <c r="A7" s="34" t="s">
        <v>217</v>
      </c>
      <c r="B7" s="35">
        <v>210</v>
      </c>
      <c r="C7" s="36" t="s">
        <v>218</v>
      </c>
      <c r="D7" s="37" t="s">
        <v>333</v>
      </c>
      <c r="E7" s="86"/>
      <c r="F7" s="85"/>
      <c r="G7" s="38" t="s">
        <v>221</v>
      </c>
    </row>
    <row r="8" spans="1:7" s="29" customFormat="1" ht="12.75" x14ac:dyDescent="0.2">
      <c r="A8" s="34" t="s">
        <v>439</v>
      </c>
      <c r="B8" s="35">
        <v>287</v>
      </c>
      <c r="C8" s="36" t="s">
        <v>443</v>
      </c>
      <c r="D8" s="37" t="s">
        <v>437</v>
      </c>
      <c r="E8" s="86"/>
      <c r="F8" s="85"/>
      <c r="G8" s="38" t="s">
        <v>438</v>
      </c>
    </row>
    <row r="9" spans="1:7" s="29" customFormat="1" ht="12.75" x14ac:dyDescent="0.2">
      <c r="A9" s="34" t="s">
        <v>458</v>
      </c>
      <c r="B9" s="35">
        <v>242</v>
      </c>
      <c r="C9" s="36" t="s">
        <v>408</v>
      </c>
      <c r="D9" s="37" t="s">
        <v>431</v>
      </c>
      <c r="E9" s="86"/>
      <c r="F9" s="85"/>
      <c r="G9" s="38" t="s">
        <v>409</v>
      </c>
    </row>
    <row r="10" spans="1:7" s="28" customFormat="1" ht="12.75" x14ac:dyDescent="0.2">
      <c r="A10" s="39" t="s">
        <v>0</v>
      </c>
      <c r="B10" s="35">
        <v>221</v>
      </c>
      <c r="C10" s="36" t="s">
        <v>51</v>
      </c>
      <c r="D10" s="76" t="s">
        <v>345</v>
      </c>
      <c r="E10" s="37"/>
      <c r="F10" s="37"/>
      <c r="G10" s="38" t="s">
        <v>188</v>
      </c>
    </row>
    <row r="11" spans="1:7" s="28" customFormat="1" ht="12.75" x14ac:dyDescent="0.2">
      <c r="A11" s="39" t="s">
        <v>267</v>
      </c>
      <c r="B11" s="35">
        <v>202</v>
      </c>
      <c r="C11" s="36" t="s">
        <v>268</v>
      </c>
      <c r="D11" s="37" t="s">
        <v>334</v>
      </c>
      <c r="E11" s="85"/>
      <c r="F11" s="85"/>
      <c r="G11" s="38" t="s">
        <v>269</v>
      </c>
    </row>
    <row r="12" spans="1:7" s="28" customFormat="1" ht="12.75" x14ac:dyDescent="0.2">
      <c r="A12" s="39" t="s">
        <v>1</v>
      </c>
      <c r="B12" s="35">
        <v>207</v>
      </c>
      <c r="C12" s="36" t="s">
        <v>25</v>
      </c>
      <c r="D12" s="76" t="s">
        <v>403</v>
      </c>
      <c r="E12" s="37"/>
      <c r="F12" s="37"/>
      <c r="G12" s="38" t="s">
        <v>177</v>
      </c>
    </row>
    <row r="13" spans="1:7" s="28" customFormat="1" ht="12.75" x14ac:dyDescent="0.2">
      <c r="A13" s="39" t="s">
        <v>477</v>
      </c>
      <c r="B13" s="44">
        <v>252</v>
      </c>
      <c r="C13" s="36"/>
      <c r="D13" s="76"/>
      <c r="E13" s="37"/>
      <c r="F13" s="37"/>
      <c r="G13" s="38"/>
    </row>
    <row r="14" spans="1:7" s="28" customFormat="1" ht="12.75" x14ac:dyDescent="0.2">
      <c r="A14" s="39" t="s">
        <v>280</v>
      </c>
      <c r="B14" s="35">
        <v>273</v>
      </c>
      <c r="C14" s="36" t="s">
        <v>281</v>
      </c>
      <c r="D14" s="76" t="s">
        <v>282</v>
      </c>
      <c r="E14" s="37"/>
      <c r="F14" s="37"/>
      <c r="G14" s="38" t="s">
        <v>306</v>
      </c>
    </row>
    <row r="15" spans="1:7" s="28" customFormat="1" ht="12.75" x14ac:dyDescent="0.2">
      <c r="A15" s="39" t="s">
        <v>2</v>
      </c>
      <c r="B15" s="35">
        <v>220</v>
      </c>
      <c r="C15" s="36" t="s">
        <v>26</v>
      </c>
      <c r="D15" s="76" t="s">
        <v>346</v>
      </c>
      <c r="E15" s="37"/>
      <c r="F15" s="37"/>
      <c r="G15" s="38" t="s">
        <v>312</v>
      </c>
    </row>
    <row r="16" spans="1:7" s="28" customFormat="1" ht="12.75" x14ac:dyDescent="0.2">
      <c r="A16" s="39" t="s">
        <v>415</v>
      </c>
      <c r="B16" s="35">
        <v>230</v>
      </c>
      <c r="C16" s="36" t="s">
        <v>414</v>
      </c>
      <c r="D16" s="76" t="s">
        <v>435</v>
      </c>
      <c r="E16" s="37"/>
      <c r="F16" s="37"/>
      <c r="G16" s="38" t="s">
        <v>416</v>
      </c>
    </row>
    <row r="17" spans="1:7" s="28" customFormat="1" ht="12.75" x14ac:dyDescent="0.2">
      <c r="A17" s="39" t="s">
        <v>456</v>
      </c>
      <c r="B17" s="44">
        <v>250</v>
      </c>
      <c r="C17" s="36"/>
      <c r="D17" s="76"/>
      <c r="E17" s="37"/>
      <c r="F17" s="37"/>
      <c r="G17" s="38"/>
    </row>
    <row r="18" spans="1:7" s="28" customFormat="1" ht="12.75" x14ac:dyDescent="0.2">
      <c r="A18" s="39" t="s">
        <v>417</v>
      </c>
      <c r="B18" s="35">
        <v>281</v>
      </c>
      <c r="C18" s="36" t="s">
        <v>418</v>
      </c>
      <c r="D18" s="76" t="s">
        <v>470</v>
      </c>
      <c r="E18" s="37"/>
      <c r="F18" s="37"/>
      <c r="G18" s="38" t="s">
        <v>426</v>
      </c>
    </row>
    <row r="19" spans="1:7" s="28" customFormat="1" ht="12.75" x14ac:dyDescent="0.2">
      <c r="A19" s="39" t="s">
        <v>472</v>
      </c>
      <c r="B19" s="35">
        <v>225</v>
      </c>
      <c r="C19" s="36" t="s">
        <v>473</v>
      </c>
      <c r="D19" s="76" t="s">
        <v>471</v>
      </c>
      <c r="E19" s="37"/>
      <c r="F19" s="37"/>
      <c r="G19" s="96" t="s">
        <v>510</v>
      </c>
    </row>
    <row r="20" spans="1:7" s="28" customFormat="1" ht="12.75" x14ac:dyDescent="0.2">
      <c r="A20" s="39" t="s">
        <v>309</v>
      </c>
      <c r="B20" s="35">
        <v>271</v>
      </c>
      <c r="C20" s="36" t="s">
        <v>308</v>
      </c>
      <c r="D20" s="76" t="s">
        <v>313</v>
      </c>
      <c r="E20" s="37"/>
      <c r="F20" s="37"/>
      <c r="G20" s="38" t="s">
        <v>314</v>
      </c>
    </row>
    <row r="21" spans="1:7" s="28" customFormat="1" ht="12.75" x14ac:dyDescent="0.2">
      <c r="A21" s="39" t="s">
        <v>391</v>
      </c>
      <c r="B21" s="35">
        <v>283</v>
      </c>
      <c r="C21" s="36" t="s">
        <v>392</v>
      </c>
      <c r="D21" s="76"/>
      <c r="E21" s="37"/>
      <c r="F21" s="37"/>
      <c r="G21" s="38" t="s">
        <v>393</v>
      </c>
    </row>
    <row r="22" spans="1:7" s="28" customFormat="1" ht="12.75" x14ac:dyDescent="0.2">
      <c r="A22" s="39" t="s">
        <v>52</v>
      </c>
      <c r="B22" s="35">
        <v>275</v>
      </c>
      <c r="C22" s="36" t="s">
        <v>27</v>
      </c>
      <c r="D22" s="76" t="s">
        <v>347</v>
      </c>
      <c r="E22" s="37"/>
      <c r="F22" s="37"/>
      <c r="G22" s="38" t="s">
        <v>3</v>
      </c>
    </row>
    <row r="23" spans="1:7" s="28" customFormat="1" ht="12.75" x14ac:dyDescent="0.2">
      <c r="A23" s="39" t="s">
        <v>494</v>
      </c>
      <c r="B23" s="35">
        <v>217</v>
      </c>
      <c r="C23" s="36" t="s">
        <v>495</v>
      </c>
      <c r="D23" s="98"/>
      <c r="E23" s="41"/>
      <c r="F23" s="41"/>
      <c r="G23" s="38" t="s">
        <v>496</v>
      </c>
    </row>
    <row r="24" spans="1:7" s="28" customFormat="1" ht="12.75" x14ac:dyDescent="0.2">
      <c r="A24" s="39" t="s">
        <v>4</v>
      </c>
      <c r="B24" s="35">
        <v>223</v>
      </c>
      <c r="C24" s="36" t="s">
        <v>28</v>
      </c>
      <c r="D24" s="76" t="s">
        <v>259</v>
      </c>
      <c r="E24" s="37"/>
      <c r="F24" s="37"/>
      <c r="G24" s="38" t="s">
        <v>329</v>
      </c>
    </row>
    <row r="25" spans="1:7" s="28" customFormat="1" ht="12.75" x14ac:dyDescent="0.2">
      <c r="A25" s="39" t="s">
        <v>389</v>
      </c>
      <c r="B25" s="35">
        <v>284</v>
      </c>
      <c r="C25" s="36" t="s">
        <v>390</v>
      </c>
      <c r="D25" s="76" t="s">
        <v>432</v>
      </c>
      <c r="E25" s="85"/>
      <c r="F25" s="85"/>
      <c r="G25" s="38" t="s">
        <v>502</v>
      </c>
    </row>
    <row r="26" spans="1:7" s="28" customFormat="1" ht="12.75" x14ac:dyDescent="0.2">
      <c r="A26" s="39" t="s">
        <v>340</v>
      </c>
      <c r="B26" s="35">
        <v>286</v>
      </c>
      <c r="C26" s="36" t="s">
        <v>341</v>
      </c>
      <c r="D26" s="76" t="s">
        <v>342</v>
      </c>
      <c r="E26" s="85"/>
      <c r="F26" s="85"/>
      <c r="G26" s="38" t="s">
        <v>343</v>
      </c>
    </row>
    <row r="27" spans="1:7" s="28" customFormat="1" ht="12.75" x14ac:dyDescent="0.2">
      <c r="A27" s="39" t="s">
        <v>536</v>
      </c>
      <c r="B27" s="35">
        <v>247</v>
      </c>
      <c r="C27" s="36" t="s">
        <v>537</v>
      </c>
      <c r="D27" s="76" t="s">
        <v>538</v>
      </c>
      <c r="E27" s="85"/>
      <c r="F27" s="85"/>
      <c r="G27" s="38" t="s">
        <v>539</v>
      </c>
    </row>
    <row r="28" spans="1:7" s="28" customFormat="1" ht="12.75" x14ac:dyDescent="0.2">
      <c r="A28" s="39" t="s">
        <v>405</v>
      </c>
      <c r="B28" s="35">
        <v>294</v>
      </c>
      <c r="C28" s="36" t="s">
        <v>406</v>
      </c>
      <c r="D28" s="76" t="s">
        <v>433</v>
      </c>
      <c r="E28" s="85"/>
      <c r="F28" s="85"/>
      <c r="G28" s="38" t="s">
        <v>407</v>
      </c>
    </row>
    <row r="29" spans="1:7" s="28" customFormat="1" ht="12.75" x14ac:dyDescent="0.2">
      <c r="A29" s="39" t="s">
        <v>263</v>
      </c>
      <c r="B29" s="35">
        <v>289</v>
      </c>
      <c r="C29" s="36" t="s">
        <v>303</v>
      </c>
      <c r="D29" s="37" t="s">
        <v>264</v>
      </c>
      <c r="E29" s="85"/>
      <c r="F29" s="85"/>
      <c r="G29" s="38" t="s">
        <v>265</v>
      </c>
    </row>
    <row r="30" spans="1:7" s="28" customFormat="1" ht="12.75" x14ac:dyDescent="0.2">
      <c r="A30" s="39" t="s">
        <v>179</v>
      </c>
      <c r="B30" s="35">
        <v>226</v>
      </c>
      <c r="C30" s="36" t="s">
        <v>180</v>
      </c>
      <c r="D30" s="76" t="s">
        <v>367</v>
      </c>
      <c r="E30" s="37"/>
      <c r="F30" s="37"/>
      <c r="G30" s="38" t="s">
        <v>357</v>
      </c>
    </row>
    <row r="31" spans="1:7" s="28" customFormat="1" ht="12.75" x14ac:dyDescent="0.2">
      <c r="A31" s="39" t="s">
        <v>480</v>
      </c>
      <c r="B31" s="35">
        <v>267</v>
      </c>
      <c r="C31" s="36" t="s">
        <v>481</v>
      </c>
      <c r="D31" s="76" t="s">
        <v>482</v>
      </c>
      <c r="E31" s="37"/>
      <c r="F31" s="37"/>
      <c r="G31" s="117" t="s">
        <v>483</v>
      </c>
    </row>
    <row r="32" spans="1:7" s="28" customFormat="1" ht="12.75" x14ac:dyDescent="0.2">
      <c r="A32" s="39" t="s">
        <v>484</v>
      </c>
      <c r="B32" s="35">
        <v>260</v>
      </c>
      <c r="C32" s="36" t="s">
        <v>485</v>
      </c>
      <c r="D32" s="76" t="s">
        <v>543</v>
      </c>
      <c r="E32" s="37"/>
      <c r="F32" s="37"/>
      <c r="G32" s="38" t="s">
        <v>221</v>
      </c>
    </row>
    <row r="33" spans="1:7" s="28" customFormat="1" ht="12.75" x14ac:dyDescent="0.2">
      <c r="A33" s="39" t="s">
        <v>5</v>
      </c>
      <c r="B33" s="35">
        <v>209</v>
      </c>
      <c r="C33" s="36" t="s">
        <v>29</v>
      </c>
      <c r="D33" s="76" t="s">
        <v>348</v>
      </c>
      <c r="E33" s="37"/>
      <c r="F33" s="37"/>
      <c r="G33" s="38" t="s">
        <v>385</v>
      </c>
    </row>
    <row r="34" spans="1:7" s="28" customFormat="1" ht="12.75" x14ac:dyDescent="0.2">
      <c r="A34" s="39" t="s">
        <v>398</v>
      </c>
      <c r="B34" s="35">
        <v>206</v>
      </c>
      <c r="C34" s="36" t="s">
        <v>399</v>
      </c>
      <c r="D34" s="76" t="s">
        <v>400</v>
      </c>
      <c r="E34" s="37"/>
      <c r="F34" s="37"/>
      <c r="G34" s="38" t="s">
        <v>401</v>
      </c>
    </row>
    <row r="35" spans="1:7" s="28" customFormat="1" ht="12.75" x14ac:dyDescent="0.2">
      <c r="A35" s="39" t="s">
        <v>394</v>
      </c>
      <c r="B35" s="35">
        <v>290</v>
      </c>
      <c r="C35" s="36" t="s">
        <v>395</v>
      </c>
      <c r="D35" s="76" t="s">
        <v>396</v>
      </c>
      <c r="E35" s="37"/>
      <c r="F35" s="37"/>
      <c r="G35" s="38" t="s">
        <v>397</v>
      </c>
    </row>
    <row r="36" spans="1:7" s="28" customFormat="1" ht="12.75" x14ac:dyDescent="0.2">
      <c r="A36" s="39" t="s">
        <v>226</v>
      </c>
      <c r="B36" s="35">
        <v>213</v>
      </c>
      <c r="C36" s="36" t="s">
        <v>225</v>
      </c>
      <c r="D36" s="76" t="s">
        <v>260</v>
      </c>
      <c r="E36" s="37"/>
      <c r="F36" s="37"/>
      <c r="G36" s="38" t="s">
        <v>261</v>
      </c>
    </row>
    <row r="37" spans="1:7" s="28" customFormat="1" ht="12.75" x14ac:dyDescent="0.2">
      <c r="A37" s="39" t="s">
        <v>419</v>
      </c>
      <c r="B37" s="35">
        <v>297</v>
      </c>
      <c r="C37" s="36" t="s">
        <v>468</v>
      </c>
      <c r="D37" s="98" t="s">
        <v>427</v>
      </c>
      <c r="E37" s="41"/>
      <c r="F37" s="37"/>
      <c r="G37" s="38" t="s">
        <v>428</v>
      </c>
    </row>
    <row r="38" spans="1:7" s="28" customFormat="1" ht="12.75" x14ac:dyDescent="0.2">
      <c r="A38" s="39" t="s">
        <v>272</v>
      </c>
      <c r="B38" s="95">
        <v>224</v>
      </c>
      <c r="C38" s="97" t="s">
        <v>273</v>
      </c>
      <c r="D38" s="52" t="s">
        <v>434</v>
      </c>
      <c r="E38" s="85"/>
      <c r="F38" s="85"/>
      <c r="G38" s="53" t="s">
        <v>274</v>
      </c>
    </row>
    <row r="39" spans="1:7" s="28" customFormat="1" ht="12.75" x14ac:dyDescent="0.2">
      <c r="A39" s="39" t="s">
        <v>464</v>
      </c>
      <c r="B39" s="95">
        <v>296</v>
      </c>
      <c r="C39" s="97" t="s">
        <v>466</v>
      </c>
      <c r="D39" s="52" t="s">
        <v>467</v>
      </c>
      <c r="E39" s="85"/>
      <c r="F39" s="85"/>
      <c r="G39" s="53" t="s">
        <v>465</v>
      </c>
    </row>
    <row r="40" spans="1:7" s="28" customFormat="1" ht="12.75" x14ac:dyDescent="0.2">
      <c r="A40" s="39" t="s">
        <v>386</v>
      </c>
      <c r="B40" s="95">
        <v>243</v>
      </c>
      <c r="C40" s="97" t="s">
        <v>387</v>
      </c>
      <c r="D40" s="52" t="s">
        <v>388</v>
      </c>
      <c r="E40" s="85"/>
      <c r="F40" s="85"/>
      <c r="G40" s="53" t="s">
        <v>511</v>
      </c>
    </row>
    <row r="41" spans="1:7" s="28" customFormat="1" ht="12.75" x14ac:dyDescent="0.2">
      <c r="A41" s="39" t="s">
        <v>6</v>
      </c>
      <c r="B41" s="35">
        <v>214</v>
      </c>
      <c r="C41" s="36" t="s">
        <v>30</v>
      </c>
      <c r="D41" s="76" t="s">
        <v>349</v>
      </c>
      <c r="E41" s="37"/>
      <c r="F41" s="37"/>
      <c r="G41" s="38" t="s">
        <v>328</v>
      </c>
    </row>
    <row r="42" spans="1:7" s="28" customFormat="1" ht="12.75" x14ac:dyDescent="0.2">
      <c r="A42" s="39" t="s">
        <v>164</v>
      </c>
      <c r="B42" s="40">
        <v>34</v>
      </c>
      <c r="C42" s="36" t="s">
        <v>165</v>
      </c>
      <c r="D42" s="98" t="s">
        <v>169</v>
      </c>
      <c r="E42" s="37"/>
      <c r="F42" s="41" t="s">
        <v>525</v>
      </c>
      <c r="G42" s="38" t="s">
        <v>520</v>
      </c>
    </row>
    <row r="43" spans="1:7" s="28" customFormat="1" ht="12.75" x14ac:dyDescent="0.2">
      <c r="A43" s="39" t="s">
        <v>299</v>
      </c>
      <c r="B43" s="35">
        <v>229</v>
      </c>
      <c r="C43" s="36" t="s">
        <v>300</v>
      </c>
      <c r="D43" s="98" t="s">
        <v>301</v>
      </c>
      <c r="E43" s="37"/>
      <c r="F43" s="41"/>
      <c r="G43" s="38" t="s">
        <v>302</v>
      </c>
    </row>
    <row r="44" spans="1:7" s="28" customFormat="1" ht="12.75" x14ac:dyDescent="0.2">
      <c r="A44" s="39" t="s">
        <v>189</v>
      </c>
      <c r="B44" s="35">
        <v>212</v>
      </c>
      <c r="C44" s="36" t="s">
        <v>190</v>
      </c>
      <c r="D44" s="98" t="s">
        <v>191</v>
      </c>
      <c r="E44" s="41"/>
      <c r="F44" s="37"/>
      <c r="G44" s="38" t="s">
        <v>318</v>
      </c>
    </row>
    <row r="45" spans="1:7" s="28" customFormat="1" ht="12.75" x14ac:dyDescent="0.2">
      <c r="A45" s="39" t="s">
        <v>460</v>
      </c>
      <c r="B45" s="35">
        <v>246</v>
      </c>
      <c r="C45" s="36" t="s">
        <v>461</v>
      </c>
      <c r="D45" s="98" t="s">
        <v>462</v>
      </c>
      <c r="E45" s="41"/>
      <c r="F45" s="37"/>
      <c r="G45" s="38" t="s">
        <v>463</v>
      </c>
    </row>
    <row r="46" spans="1:7" s="28" customFormat="1" ht="12.75" x14ac:dyDescent="0.2">
      <c r="A46" s="39" t="s">
        <v>7</v>
      </c>
      <c r="B46" s="35">
        <v>228</v>
      </c>
      <c r="C46" s="36" t="s">
        <v>31</v>
      </c>
      <c r="D46" s="98" t="s">
        <v>350</v>
      </c>
      <c r="E46" s="37"/>
      <c r="F46" s="37"/>
      <c r="G46" s="38" t="s">
        <v>45</v>
      </c>
    </row>
    <row r="47" spans="1:7" s="28" customFormat="1" ht="12.75" x14ac:dyDescent="0.2">
      <c r="A47" s="39" t="s">
        <v>544</v>
      </c>
      <c r="B47" s="35">
        <v>261</v>
      </c>
      <c r="C47" s="36" t="s">
        <v>545</v>
      </c>
      <c r="D47" s="98"/>
      <c r="E47" s="37"/>
      <c r="F47" s="37"/>
      <c r="G47" s="38"/>
    </row>
    <row r="48" spans="1:7" s="28" customFormat="1" ht="12.75" x14ac:dyDescent="0.2">
      <c r="A48" s="39" t="s">
        <v>521</v>
      </c>
      <c r="B48" s="35">
        <v>285</v>
      </c>
      <c r="C48" s="36" t="s">
        <v>522</v>
      </c>
      <c r="D48" s="98" t="s">
        <v>523</v>
      </c>
      <c r="E48" s="37"/>
      <c r="F48" s="37"/>
      <c r="G48" s="38" t="s">
        <v>524</v>
      </c>
    </row>
    <row r="49" spans="1:7" s="28" customFormat="1" ht="12.75" x14ac:dyDescent="0.2">
      <c r="A49" s="39" t="s">
        <v>42</v>
      </c>
      <c r="B49" s="35">
        <v>219</v>
      </c>
      <c r="C49" s="36" t="s">
        <v>43</v>
      </c>
      <c r="D49" s="98" t="s">
        <v>366</v>
      </c>
      <c r="E49" s="37"/>
      <c r="F49" s="37"/>
      <c r="G49" s="38" t="s">
        <v>46</v>
      </c>
    </row>
    <row r="50" spans="1:7" s="28" customFormat="1" ht="12.75" x14ac:dyDescent="0.2">
      <c r="A50" s="39" t="s">
        <v>185</v>
      </c>
      <c r="B50" s="35">
        <v>276</v>
      </c>
      <c r="C50" s="36" t="s">
        <v>186</v>
      </c>
      <c r="D50" s="98" t="s">
        <v>351</v>
      </c>
      <c r="E50" s="37"/>
      <c r="F50" s="37"/>
      <c r="G50" s="38" t="s">
        <v>187</v>
      </c>
    </row>
    <row r="51" spans="1:7" s="28" customFormat="1" ht="12.75" x14ac:dyDescent="0.2">
      <c r="A51" s="39" t="s">
        <v>410</v>
      </c>
      <c r="B51" s="35">
        <v>241</v>
      </c>
      <c r="C51" s="36" t="s">
        <v>411</v>
      </c>
      <c r="D51" s="98" t="s">
        <v>430</v>
      </c>
      <c r="E51" s="37"/>
      <c r="F51" s="37"/>
      <c r="G51" s="38" t="s">
        <v>409</v>
      </c>
    </row>
    <row r="52" spans="1:7" s="28" customFormat="1" ht="12.75" x14ac:dyDescent="0.2">
      <c r="A52" s="39" t="s">
        <v>492</v>
      </c>
      <c r="B52" s="35">
        <v>274</v>
      </c>
      <c r="C52" s="36" t="s">
        <v>493</v>
      </c>
      <c r="D52" s="98" t="s">
        <v>497</v>
      </c>
      <c r="E52" s="37"/>
      <c r="F52" s="37"/>
      <c r="G52" s="38"/>
    </row>
    <row r="53" spans="1:7" s="28" customFormat="1" ht="12.75" x14ac:dyDescent="0.2">
      <c r="A53" s="39" t="s">
        <v>258</v>
      </c>
      <c r="B53" s="35">
        <v>291</v>
      </c>
      <c r="C53" s="36" t="s">
        <v>227</v>
      </c>
      <c r="D53" s="98" t="s">
        <v>262</v>
      </c>
      <c r="E53" s="37"/>
      <c r="F53" s="37"/>
      <c r="G53" s="38" t="s">
        <v>315</v>
      </c>
    </row>
    <row r="54" spans="1:7" s="28" customFormat="1" ht="12.75" x14ac:dyDescent="0.2">
      <c r="A54" s="39" t="s">
        <v>10</v>
      </c>
      <c r="B54" s="35">
        <v>227</v>
      </c>
      <c r="C54" s="36" t="s">
        <v>33</v>
      </c>
      <c r="D54" s="98" t="s">
        <v>352</v>
      </c>
      <c r="E54" s="41"/>
      <c r="F54" s="37"/>
      <c r="G54" s="38" t="s">
        <v>452</v>
      </c>
    </row>
    <row r="55" spans="1:7" s="28" customFormat="1" ht="15" x14ac:dyDescent="0.25">
      <c r="A55" s="39" t="s">
        <v>448</v>
      </c>
      <c r="B55" s="114">
        <v>762</v>
      </c>
      <c r="C55" s="36" t="s">
        <v>449</v>
      </c>
      <c r="D55" s="106" t="s">
        <v>512</v>
      </c>
      <c r="E55" s="41"/>
      <c r="F55" s="37"/>
      <c r="G55" s="116" t="s">
        <v>450</v>
      </c>
    </row>
    <row r="56" spans="1:7" s="28" customFormat="1" ht="12.75" x14ac:dyDescent="0.2">
      <c r="A56" s="39" t="s">
        <v>290</v>
      </c>
      <c r="B56" s="35">
        <v>292</v>
      </c>
      <c r="C56" s="36" t="s">
        <v>344</v>
      </c>
      <c r="D56" s="98" t="s">
        <v>316</v>
      </c>
      <c r="E56" s="41"/>
      <c r="F56" s="37"/>
      <c r="G56" s="38" t="s">
        <v>317</v>
      </c>
    </row>
    <row r="57" spans="1:7" s="28" customFormat="1" ht="12.75" x14ac:dyDescent="0.2">
      <c r="A57" s="39" t="s">
        <v>453</v>
      </c>
      <c r="B57" s="35">
        <v>293</v>
      </c>
      <c r="C57" s="36" t="s">
        <v>454</v>
      </c>
      <c r="D57" s="98" t="s">
        <v>469</v>
      </c>
      <c r="E57" s="41"/>
      <c r="F57" s="37"/>
      <c r="G57" s="38" t="s">
        <v>455</v>
      </c>
    </row>
    <row r="58" spans="1:7" s="28" customFormat="1" ht="12.75" x14ac:dyDescent="0.2">
      <c r="A58" s="39" t="s">
        <v>12</v>
      </c>
      <c r="B58" s="35">
        <v>208</v>
      </c>
      <c r="C58" s="36" t="s">
        <v>36</v>
      </c>
      <c r="D58" s="98" t="s">
        <v>381</v>
      </c>
      <c r="E58" s="37"/>
      <c r="F58" s="37"/>
      <c r="G58" s="38" t="s">
        <v>13</v>
      </c>
    </row>
    <row r="59" spans="1:7" s="28" customFormat="1" ht="12.75" x14ac:dyDescent="0.2">
      <c r="A59" s="39" t="s">
        <v>292</v>
      </c>
      <c r="B59" s="35">
        <v>231</v>
      </c>
      <c r="C59" s="36" t="s">
        <v>293</v>
      </c>
      <c r="D59" s="98" t="s">
        <v>335</v>
      </c>
      <c r="E59" s="37"/>
      <c r="F59" s="37"/>
      <c r="G59" s="38" t="s">
        <v>296</v>
      </c>
    </row>
    <row r="60" spans="1:7" s="28" customFormat="1" ht="12.75" x14ac:dyDescent="0.2">
      <c r="A60" s="39" t="s">
        <v>358</v>
      </c>
      <c r="B60" s="35">
        <v>269</v>
      </c>
      <c r="C60" s="36" t="s">
        <v>359</v>
      </c>
      <c r="D60" s="98" t="s">
        <v>360</v>
      </c>
      <c r="E60" s="37"/>
      <c r="F60" s="37"/>
      <c r="G60" s="38" t="s">
        <v>361</v>
      </c>
    </row>
    <row r="61" spans="1:7" s="28" customFormat="1" ht="12.75" x14ac:dyDescent="0.2">
      <c r="A61" s="39" t="s">
        <v>199</v>
      </c>
      <c r="B61" s="35">
        <v>280</v>
      </c>
      <c r="C61" s="36" t="s">
        <v>289</v>
      </c>
      <c r="D61" s="98" t="s">
        <v>336</v>
      </c>
      <c r="E61" s="37"/>
      <c r="F61" s="37"/>
      <c r="G61" s="96" t="s">
        <v>457</v>
      </c>
    </row>
    <row r="62" spans="1:7" s="28" customFormat="1" ht="12.75" x14ac:dyDescent="0.2">
      <c r="A62" s="39" t="s">
        <v>532</v>
      </c>
      <c r="B62" s="35">
        <v>272</v>
      </c>
      <c r="C62" s="36" t="s">
        <v>533</v>
      </c>
      <c r="D62" s="98" t="s">
        <v>534</v>
      </c>
      <c r="E62" s="37"/>
      <c r="F62" s="37"/>
      <c r="G62" s="96" t="s">
        <v>535</v>
      </c>
    </row>
    <row r="63" spans="1:7" s="28" customFormat="1" ht="12.75" x14ac:dyDescent="0.2">
      <c r="A63" s="39" t="s">
        <v>275</v>
      </c>
      <c r="B63" s="35">
        <v>295</v>
      </c>
      <c r="C63" s="36" t="s">
        <v>276</v>
      </c>
      <c r="D63" s="98" t="s">
        <v>277</v>
      </c>
      <c r="E63" s="37"/>
      <c r="F63" s="37"/>
      <c r="G63" s="38" t="s">
        <v>319</v>
      </c>
    </row>
    <row r="64" spans="1:7" s="28" customFormat="1" ht="12.75" x14ac:dyDescent="0.2">
      <c r="A64" s="39" t="s">
        <v>14</v>
      </c>
      <c r="B64" s="35">
        <v>201</v>
      </c>
      <c r="C64" s="36" t="s">
        <v>37</v>
      </c>
      <c r="D64" s="98" t="s">
        <v>353</v>
      </c>
      <c r="E64" s="37"/>
      <c r="F64" s="37"/>
      <c r="G64" s="38" t="s">
        <v>50</v>
      </c>
    </row>
    <row r="65" spans="1:7" s="28" customFormat="1" ht="12.75" x14ac:dyDescent="0.2">
      <c r="A65" s="39" t="s">
        <v>214</v>
      </c>
      <c r="B65" s="35">
        <v>215</v>
      </c>
      <c r="C65" s="36" t="s">
        <v>213</v>
      </c>
      <c r="D65" s="98" t="s">
        <v>354</v>
      </c>
      <c r="E65" s="37"/>
      <c r="F65" s="37"/>
      <c r="G65" s="38" t="s">
        <v>321</v>
      </c>
    </row>
    <row r="66" spans="1:7" s="28" customFormat="1" ht="12.75" x14ac:dyDescent="0.2">
      <c r="A66" s="39" t="s">
        <v>15</v>
      </c>
      <c r="B66" s="35">
        <v>203</v>
      </c>
      <c r="C66" s="36" t="s">
        <v>38</v>
      </c>
      <c r="D66" s="98" t="s">
        <v>17</v>
      </c>
      <c r="E66" s="37"/>
      <c r="F66" s="37"/>
      <c r="G66" s="38" t="s">
        <v>16</v>
      </c>
    </row>
    <row r="67" spans="1:7" s="28" customFormat="1" ht="12.75" x14ac:dyDescent="0.2">
      <c r="A67" s="39" t="s">
        <v>295</v>
      </c>
      <c r="B67" s="35">
        <v>245</v>
      </c>
      <c r="C67" s="36" t="s">
        <v>294</v>
      </c>
      <c r="D67" s="98" t="s">
        <v>297</v>
      </c>
      <c r="E67" s="37"/>
      <c r="F67" s="37"/>
      <c r="G67" s="38" t="s">
        <v>402</v>
      </c>
    </row>
    <row r="68" spans="1:7" s="28" customFormat="1" ht="12.75" x14ac:dyDescent="0.2">
      <c r="A68" s="39" t="s">
        <v>21</v>
      </c>
      <c r="B68" s="35">
        <v>232</v>
      </c>
      <c r="C68" s="36" t="s">
        <v>40</v>
      </c>
      <c r="D68" s="98" t="s">
        <v>355</v>
      </c>
      <c r="E68" s="37"/>
      <c r="F68" s="37"/>
      <c r="G68" s="38" t="s">
        <v>320</v>
      </c>
    </row>
    <row r="69" spans="1:7" s="28" customFormat="1" ht="12.75" x14ac:dyDescent="0.2">
      <c r="A69" s="39" t="s">
        <v>286</v>
      </c>
      <c r="B69" s="35">
        <v>279</v>
      </c>
      <c r="C69" s="36" t="s">
        <v>287</v>
      </c>
      <c r="D69" s="99" t="s">
        <v>332</v>
      </c>
      <c r="E69" s="37"/>
      <c r="F69" s="37"/>
      <c r="G69" s="38" t="s">
        <v>436</v>
      </c>
    </row>
    <row r="70" spans="1:7" s="28" customFormat="1" ht="12.75" x14ac:dyDescent="0.2">
      <c r="A70" s="39" t="s">
        <v>382</v>
      </c>
      <c r="B70" s="35">
        <v>278</v>
      </c>
      <c r="C70" s="36" t="s">
        <v>459</v>
      </c>
      <c r="D70" s="99" t="s">
        <v>383</v>
      </c>
      <c r="E70" s="37"/>
      <c r="F70" s="37"/>
      <c r="G70" s="38" t="s">
        <v>384</v>
      </c>
    </row>
    <row r="71" spans="1:7" s="28" customFormat="1" ht="12.75" x14ac:dyDescent="0.2">
      <c r="A71" s="39" t="s">
        <v>325</v>
      </c>
      <c r="B71" s="35">
        <v>282</v>
      </c>
      <c r="C71" s="36" t="s">
        <v>326</v>
      </c>
      <c r="D71" s="98" t="s">
        <v>337</v>
      </c>
      <c r="E71" s="37"/>
      <c r="F71" s="37"/>
      <c r="G71" s="38" t="s">
        <v>327</v>
      </c>
    </row>
    <row r="72" spans="1:7" s="28" customFormat="1" ht="12.75" x14ac:dyDescent="0.2">
      <c r="A72" s="39" t="s">
        <v>19</v>
      </c>
      <c r="B72" s="35">
        <v>270</v>
      </c>
      <c r="C72" s="36" t="s">
        <v>39</v>
      </c>
      <c r="D72" s="98" t="s">
        <v>338</v>
      </c>
      <c r="E72" s="37"/>
      <c r="F72" s="37"/>
      <c r="G72" s="38" t="s">
        <v>20</v>
      </c>
    </row>
    <row r="73" spans="1:7" s="28" customFormat="1" ht="12.75" x14ac:dyDescent="0.2">
      <c r="A73" s="39" t="s">
        <v>22</v>
      </c>
      <c r="B73" s="35">
        <v>204</v>
      </c>
      <c r="C73" s="36" t="s">
        <v>41</v>
      </c>
      <c r="D73" s="98" t="s">
        <v>356</v>
      </c>
      <c r="E73" s="37"/>
      <c r="F73" s="37"/>
      <c r="G73" s="38" t="s">
        <v>23</v>
      </c>
    </row>
    <row r="74" spans="1:7" s="28" customFormat="1" ht="12.75" x14ac:dyDescent="0.2">
      <c r="A74" s="39" t="s">
        <v>528</v>
      </c>
      <c r="B74" s="35">
        <v>236</v>
      </c>
      <c r="C74" s="36" t="s">
        <v>529</v>
      </c>
      <c r="D74" s="98" t="s">
        <v>530</v>
      </c>
      <c r="E74" s="87"/>
      <c r="F74" s="87"/>
      <c r="G74" s="68" t="s">
        <v>531</v>
      </c>
    </row>
    <row r="75" spans="1:7" s="28" customFormat="1" ht="12.75" x14ac:dyDescent="0.2">
      <c r="A75" s="39" t="s">
        <v>440</v>
      </c>
      <c r="B75" s="35">
        <v>257</v>
      </c>
      <c r="C75" s="36" t="s">
        <v>441</v>
      </c>
      <c r="D75" s="98"/>
      <c r="E75" s="87"/>
      <c r="F75" s="87"/>
      <c r="G75" s="68" t="s">
        <v>442</v>
      </c>
    </row>
    <row r="76" spans="1:7" s="28" customFormat="1" ht="12.75" x14ac:dyDescent="0.2">
      <c r="A76" s="39" t="s">
        <v>219</v>
      </c>
      <c r="B76" s="35">
        <v>205</v>
      </c>
      <c r="C76" s="36" t="s">
        <v>220</v>
      </c>
      <c r="D76" s="100" t="s">
        <v>339</v>
      </c>
      <c r="E76" s="87"/>
      <c r="F76" s="87"/>
      <c r="G76" s="68" t="s">
        <v>222</v>
      </c>
    </row>
    <row r="77" spans="1:7" s="28" customFormat="1" ht="25.5" x14ac:dyDescent="0.2">
      <c r="A77" s="39" t="s">
        <v>362</v>
      </c>
      <c r="B77" s="35">
        <v>216</v>
      </c>
      <c r="C77" s="36" t="s">
        <v>363</v>
      </c>
      <c r="D77" s="100" t="s">
        <v>364</v>
      </c>
      <c r="E77" s="87"/>
      <c r="F77" s="87"/>
      <c r="G77" s="115" t="s">
        <v>486</v>
      </c>
    </row>
    <row r="78" spans="1:7" s="4" customFormat="1" ht="20.25" x14ac:dyDescent="0.3">
      <c r="A78" s="32" t="s">
        <v>193</v>
      </c>
      <c r="B78" s="104" t="s">
        <v>506</v>
      </c>
      <c r="C78" s="45"/>
      <c r="D78" s="98"/>
      <c r="E78" s="45" t="s">
        <v>44</v>
      </c>
      <c r="F78" s="45" t="s">
        <v>167</v>
      </c>
      <c r="G78" s="46"/>
    </row>
    <row r="79" spans="1:7" s="28" customFormat="1" ht="12.75" x14ac:dyDescent="0.2">
      <c r="A79" s="39" t="s">
        <v>513</v>
      </c>
      <c r="B79" s="102"/>
      <c r="C79" s="36"/>
      <c r="D79" s="98"/>
      <c r="E79" s="45" t="s">
        <v>514</v>
      </c>
      <c r="F79" s="37"/>
      <c r="G79" s="38"/>
    </row>
    <row r="80" spans="1:7" s="28" customFormat="1" ht="12.75" x14ac:dyDescent="0.2">
      <c r="A80" s="39" t="s">
        <v>503</v>
      </c>
      <c r="B80" s="102" t="s">
        <v>498</v>
      </c>
      <c r="C80" s="36" t="s">
        <v>49</v>
      </c>
      <c r="D80" s="98" t="s">
        <v>527</v>
      </c>
      <c r="E80" s="37"/>
      <c r="F80" s="37"/>
      <c r="G80" s="38" t="s">
        <v>223</v>
      </c>
    </row>
    <row r="81" spans="1:7" s="28" customFormat="1" ht="12.75" x14ac:dyDescent="0.2">
      <c r="A81" s="34" t="s">
        <v>504</v>
      </c>
      <c r="B81" s="44">
        <v>251</v>
      </c>
      <c r="C81" s="36" t="s">
        <v>32</v>
      </c>
      <c r="D81" s="98" t="s">
        <v>526</v>
      </c>
      <c r="E81" s="37"/>
      <c r="F81" s="41"/>
      <c r="G81" s="42" t="s">
        <v>445</v>
      </c>
    </row>
    <row r="82" spans="1:7" s="28" customFormat="1" ht="12.75" x14ac:dyDescent="0.2">
      <c r="A82" s="34" t="s">
        <v>216</v>
      </c>
      <c r="B82" s="40"/>
      <c r="C82" s="36"/>
      <c r="D82" s="77" t="s">
        <v>215</v>
      </c>
      <c r="E82" s="37"/>
      <c r="F82" s="41"/>
      <c r="G82" s="42"/>
    </row>
    <row r="83" spans="1:7" s="3" customFormat="1" ht="20.25" x14ac:dyDescent="0.3">
      <c r="A83" s="32" t="s">
        <v>8</v>
      </c>
      <c r="B83" s="104" t="s">
        <v>507</v>
      </c>
      <c r="C83" s="45"/>
      <c r="D83" s="79"/>
      <c r="E83" s="45" t="s">
        <v>9</v>
      </c>
      <c r="F83" s="45" t="s">
        <v>168</v>
      </c>
      <c r="G83" s="46"/>
    </row>
    <row r="84" spans="1:7" s="4" customFormat="1" ht="12.75" x14ac:dyDescent="0.2">
      <c r="A84" s="39" t="s">
        <v>513</v>
      </c>
      <c r="B84" s="44"/>
      <c r="C84" s="36"/>
      <c r="D84" s="76"/>
      <c r="E84" s="54" t="s">
        <v>515</v>
      </c>
      <c r="F84" s="37"/>
      <c r="G84" s="38" t="s">
        <v>310</v>
      </c>
    </row>
    <row r="85" spans="1:7" s="4" customFormat="1" ht="12.75" x14ac:dyDescent="0.2">
      <c r="A85" s="39" t="s">
        <v>542</v>
      </c>
      <c r="B85" s="44">
        <v>259</v>
      </c>
      <c r="C85" s="36" t="s">
        <v>178</v>
      </c>
      <c r="D85" s="76" t="s">
        <v>181</v>
      </c>
      <c r="E85" s="37"/>
      <c r="F85" s="37"/>
      <c r="G85" s="38" t="s">
        <v>310</v>
      </c>
    </row>
    <row r="86" spans="1:7" s="4" customFormat="1" ht="12.75" x14ac:dyDescent="0.2">
      <c r="A86" s="39" t="s">
        <v>541</v>
      </c>
      <c r="B86" s="44">
        <v>258</v>
      </c>
      <c r="C86" s="36" t="s">
        <v>35</v>
      </c>
      <c r="D86" s="76" t="s">
        <v>365</v>
      </c>
      <c r="E86" s="49"/>
      <c r="F86" s="37"/>
      <c r="G86" s="38"/>
    </row>
    <row r="87" spans="1:7" s="4" customFormat="1" ht="27" x14ac:dyDescent="0.3">
      <c r="A87" s="30" t="s">
        <v>211</v>
      </c>
      <c r="B87" s="104" t="s">
        <v>508</v>
      </c>
      <c r="C87" s="45"/>
      <c r="D87" s="76"/>
      <c r="E87" s="55" t="s">
        <v>173</v>
      </c>
      <c r="F87" s="55" t="s">
        <v>174</v>
      </c>
      <c r="G87" s="84" t="s">
        <v>212</v>
      </c>
    </row>
    <row r="88" spans="1:7" s="4" customFormat="1" ht="12.75" x14ac:dyDescent="0.2">
      <c r="A88" s="39" t="s">
        <v>170</v>
      </c>
      <c r="B88" s="44">
        <v>237</v>
      </c>
      <c r="C88" s="36" t="s">
        <v>182</v>
      </c>
      <c r="D88" s="52" t="s">
        <v>490</v>
      </c>
      <c r="E88" s="52" t="s">
        <v>171</v>
      </c>
      <c r="F88" s="52" t="s">
        <v>172</v>
      </c>
      <c r="G88" s="53"/>
    </row>
    <row r="89" spans="1:7" s="4" customFormat="1" ht="12.75" x14ac:dyDescent="0.2">
      <c r="A89" s="39" t="s">
        <v>487</v>
      </c>
      <c r="B89" s="44">
        <v>238</v>
      </c>
      <c r="C89" s="36" t="s">
        <v>488</v>
      </c>
      <c r="D89" s="52" t="s">
        <v>489</v>
      </c>
      <c r="E89" s="52" t="s">
        <v>171</v>
      </c>
      <c r="F89" s="52" t="s">
        <v>172</v>
      </c>
      <c r="G89" s="53"/>
    </row>
    <row r="90" spans="1:7" s="4" customFormat="1" ht="12.75" x14ac:dyDescent="0.2">
      <c r="A90" s="39" t="s">
        <v>500</v>
      </c>
      <c r="B90" s="44">
        <v>239</v>
      </c>
      <c r="C90" s="36" t="s">
        <v>501</v>
      </c>
      <c r="D90" s="52"/>
      <c r="E90" s="52" t="s">
        <v>171</v>
      </c>
      <c r="F90" s="52" t="s">
        <v>172</v>
      </c>
      <c r="G90" s="53"/>
    </row>
    <row r="91" spans="1:7" s="4" customFormat="1" ht="12.75" x14ac:dyDescent="0.2">
      <c r="A91" s="39" t="s">
        <v>183</v>
      </c>
      <c r="B91" s="69" t="s">
        <v>184</v>
      </c>
      <c r="C91" s="37"/>
      <c r="D91" s="78" t="s">
        <v>209</v>
      </c>
      <c r="E91" s="37"/>
      <c r="F91" s="37"/>
      <c r="G91" s="38"/>
    </row>
    <row r="92" spans="1:7" s="3" customFormat="1" ht="20.25" x14ac:dyDescent="0.3">
      <c r="A92" s="32" t="s">
        <v>18</v>
      </c>
      <c r="B92" s="104" t="s">
        <v>509</v>
      </c>
      <c r="C92" s="45"/>
      <c r="D92" s="79"/>
      <c r="E92" s="48" t="s">
        <v>283</v>
      </c>
      <c r="F92" s="48" t="s">
        <v>284</v>
      </c>
      <c r="G92" s="47"/>
    </row>
    <row r="93" spans="1:7" s="4" customFormat="1" ht="12.75" x14ac:dyDescent="0.2">
      <c r="A93" s="39" t="s">
        <v>11</v>
      </c>
      <c r="B93" s="102" t="s">
        <v>499</v>
      </c>
      <c r="C93" s="36" t="s">
        <v>34</v>
      </c>
      <c r="D93" s="80" t="s">
        <v>210</v>
      </c>
      <c r="E93" s="37"/>
      <c r="F93" s="37"/>
      <c r="G93" s="50" t="s">
        <v>285</v>
      </c>
    </row>
    <row r="94" spans="1:7" s="4" customFormat="1" ht="12.75" x14ac:dyDescent="0.2">
      <c r="A94" s="39" t="s">
        <v>307</v>
      </c>
      <c r="B94" s="43"/>
      <c r="C94" s="36"/>
      <c r="D94" s="80" t="s">
        <v>304</v>
      </c>
      <c r="E94" s="37"/>
      <c r="F94" s="37"/>
      <c r="G94" s="50"/>
    </row>
    <row r="95" spans="1:7" s="4" customFormat="1" ht="12.75" x14ac:dyDescent="0.2">
      <c r="A95" s="39" t="s">
        <v>307</v>
      </c>
      <c r="B95" s="43"/>
      <c r="C95" s="36"/>
      <c r="D95" s="80" t="s">
        <v>305</v>
      </c>
      <c r="E95" s="37"/>
      <c r="F95" s="37"/>
      <c r="G95" s="50"/>
    </row>
    <row r="96" spans="1:7" s="4" customFormat="1" ht="20.25" x14ac:dyDescent="0.3">
      <c r="A96" s="30" t="s">
        <v>201</v>
      </c>
      <c r="B96" s="44"/>
      <c r="C96" s="45"/>
      <c r="D96" s="76"/>
      <c r="E96" s="54" t="s">
        <v>202</v>
      </c>
      <c r="F96" s="54" t="s">
        <v>203</v>
      </c>
      <c r="G96" s="51"/>
    </row>
    <row r="97" spans="1:7" s="4" customFormat="1" ht="12.75" x14ac:dyDescent="0.2">
      <c r="A97" s="5" t="s">
        <v>270</v>
      </c>
      <c r="B97" s="43"/>
      <c r="C97" s="36"/>
      <c r="D97" s="76" t="s">
        <v>271</v>
      </c>
      <c r="E97" s="37"/>
      <c r="F97" s="37"/>
      <c r="G97" s="38"/>
    </row>
    <row r="98" spans="1:7" s="29" customFormat="1" ht="12.75" x14ac:dyDescent="0.2">
      <c r="A98" s="34" t="s">
        <v>404</v>
      </c>
      <c r="B98" s="35"/>
      <c r="C98" s="36"/>
      <c r="D98" s="37" t="s">
        <v>444</v>
      </c>
      <c r="E98" s="86"/>
      <c r="F98" s="85"/>
      <c r="G98" s="38"/>
    </row>
    <row r="99" spans="1:7" s="4" customFormat="1" ht="12.75" x14ac:dyDescent="0.2">
      <c r="A99" s="71" t="s">
        <v>478</v>
      </c>
      <c r="B99" s="65"/>
      <c r="C99" s="66"/>
      <c r="D99" s="103" t="s">
        <v>479</v>
      </c>
      <c r="E99" s="67"/>
      <c r="F99" s="67"/>
      <c r="G99" s="68"/>
    </row>
    <row r="100" spans="1:7" s="29" customFormat="1" ht="15.75" x14ac:dyDescent="0.25">
      <c r="A100" s="70" t="s">
        <v>204</v>
      </c>
      <c r="B100" s="44"/>
      <c r="C100" s="45"/>
      <c r="D100" s="81"/>
      <c r="E100" s="45" t="s">
        <v>205</v>
      </c>
      <c r="F100" s="54" t="s">
        <v>206</v>
      </c>
      <c r="G100" s="46"/>
    </row>
    <row r="101" spans="1:7" s="29" customFormat="1" ht="15.75" x14ac:dyDescent="0.25">
      <c r="A101" s="107" t="s">
        <v>474</v>
      </c>
      <c r="B101" s="108"/>
      <c r="C101" s="109"/>
      <c r="D101" s="110"/>
      <c r="E101" s="109" t="s">
        <v>475</v>
      </c>
      <c r="F101" s="111" t="s">
        <v>476</v>
      </c>
      <c r="G101" s="112"/>
    </row>
    <row r="102" spans="1:7" s="29" customFormat="1" ht="16.5" thickBot="1" x14ac:dyDescent="0.3">
      <c r="A102" s="89" t="s">
        <v>48</v>
      </c>
      <c r="B102" s="90"/>
      <c r="C102" s="91"/>
      <c r="D102" s="92"/>
      <c r="E102" s="93" t="s">
        <v>413</v>
      </c>
      <c r="F102" s="93"/>
      <c r="G102" s="94"/>
    </row>
    <row r="103" spans="1:7" x14ac:dyDescent="0.2">
      <c r="A103" s="105" t="s">
        <v>446</v>
      </c>
      <c r="B103" s="22"/>
      <c r="C103" s="23"/>
      <c r="D103" s="82"/>
      <c r="F103" s="24"/>
    </row>
    <row r="104" spans="1:7" x14ac:dyDescent="0.2">
      <c r="A104" s="4" t="s">
        <v>451</v>
      </c>
      <c r="B104" s="22"/>
      <c r="C104" s="23"/>
      <c r="D104" s="82"/>
      <c r="E104" s="24"/>
    </row>
    <row r="105" spans="1:7" s="28" customFormat="1" ht="12.75" x14ac:dyDescent="0.2">
      <c r="A105" s="119" t="s">
        <v>447</v>
      </c>
      <c r="B105" s="119"/>
      <c r="C105" s="119"/>
      <c r="D105" s="119"/>
      <c r="E105" s="119"/>
    </row>
    <row r="106" spans="1:7" s="28" customFormat="1" ht="12.75" x14ac:dyDescent="0.2">
      <c r="A106" s="119" t="s">
        <v>505</v>
      </c>
      <c r="B106" s="119"/>
      <c r="C106" s="119"/>
      <c r="D106" s="119"/>
      <c r="E106" s="119"/>
      <c r="F106" s="119"/>
      <c r="G106" s="119"/>
    </row>
    <row r="107" spans="1:7" ht="12.75" x14ac:dyDescent="0.2">
      <c r="A107" s="105" t="s">
        <v>491</v>
      </c>
      <c r="C107" s="11"/>
      <c r="E107" s="29"/>
    </row>
    <row r="108" spans="1:7" x14ac:dyDescent="0.2">
      <c r="C108" s="11"/>
    </row>
    <row r="109" spans="1:7" x14ac:dyDescent="0.2">
      <c r="C109" s="11"/>
    </row>
    <row r="110" spans="1:7" x14ac:dyDescent="0.2">
      <c r="C110" s="11"/>
    </row>
    <row r="111" spans="1:7" x14ac:dyDescent="0.2">
      <c r="C111" s="11"/>
    </row>
    <row r="112" spans="1:7" x14ac:dyDescent="0.2">
      <c r="C112" s="11"/>
    </row>
    <row r="113" spans="3:3" x14ac:dyDescent="0.2">
      <c r="C113" s="11"/>
    </row>
    <row r="114" spans="3:3" x14ac:dyDescent="0.2">
      <c r="C114" s="11"/>
    </row>
    <row r="115" spans="3:3" x14ac:dyDescent="0.2">
      <c r="C115" s="11"/>
    </row>
    <row r="116" spans="3:3" x14ac:dyDescent="0.2">
      <c r="C116" s="11"/>
    </row>
    <row r="117" spans="3:3" x14ac:dyDescent="0.2">
      <c r="C117" s="11"/>
    </row>
    <row r="118" spans="3:3" x14ac:dyDescent="0.2">
      <c r="C118" s="11"/>
    </row>
    <row r="119" spans="3:3" x14ac:dyDescent="0.2">
      <c r="C119" s="11"/>
    </row>
    <row r="120" spans="3:3" x14ac:dyDescent="0.2">
      <c r="C120" s="11"/>
    </row>
    <row r="121" spans="3:3" x14ac:dyDescent="0.2">
      <c r="C121" s="11"/>
    </row>
    <row r="122" spans="3:3" x14ac:dyDescent="0.2">
      <c r="C122" s="11"/>
    </row>
    <row r="123" spans="3:3" x14ac:dyDescent="0.2">
      <c r="C123" s="11"/>
    </row>
    <row r="124" spans="3:3" x14ac:dyDescent="0.2">
      <c r="C124" s="11"/>
    </row>
    <row r="125" spans="3:3" x14ac:dyDescent="0.2">
      <c r="C125" s="11"/>
    </row>
    <row r="126" spans="3:3" x14ac:dyDescent="0.2">
      <c r="C126" s="11"/>
    </row>
    <row r="127" spans="3:3" x14ac:dyDescent="0.2">
      <c r="C127" s="11"/>
    </row>
    <row r="128" spans="3:3" x14ac:dyDescent="0.2">
      <c r="C128" s="11"/>
    </row>
    <row r="129" spans="3:3" x14ac:dyDescent="0.2">
      <c r="C129" s="11"/>
    </row>
    <row r="130" spans="3:3" x14ac:dyDescent="0.2">
      <c r="C130" s="11"/>
    </row>
    <row r="131" spans="3:3" x14ac:dyDescent="0.2">
      <c r="C131" s="11"/>
    </row>
    <row r="132" spans="3:3" x14ac:dyDescent="0.2">
      <c r="C132" s="11"/>
    </row>
    <row r="133" spans="3:3" x14ac:dyDescent="0.2">
      <c r="C133" s="11"/>
    </row>
    <row r="134" spans="3:3" x14ac:dyDescent="0.2">
      <c r="C134" s="11"/>
    </row>
    <row r="135" spans="3:3" x14ac:dyDescent="0.2">
      <c r="C135" s="11"/>
    </row>
    <row r="136" spans="3:3" x14ac:dyDescent="0.2">
      <c r="C136" s="11"/>
    </row>
  </sheetData>
  <mergeCells count="2">
    <mergeCell ref="A105:E105"/>
    <mergeCell ref="A106:G106"/>
  </mergeCells>
  <phoneticPr fontId="0" type="noConversion"/>
  <hyperlinks>
    <hyperlink ref="B91" r:id="rId1"/>
  </hyperlinks>
  <pageMargins left="0" right="0" top="0" bottom="0" header="0.51181102362204722" footer="0.51181102362204722"/>
  <pageSetup paperSize="9" scale="58" orientation="portrait" horizontalDpi="300" verticalDpi="300" r:id="rId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opLeftCell="A80" workbookViewId="0">
      <selection activeCell="B89" sqref="B89"/>
    </sheetView>
  </sheetViews>
  <sheetFormatPr defaultRowHeight="12.75" x14ac:dyDescent="0.2"/>
  <cols>
    <col min="1" max="1" width="12.85546875" customWidth="1"/>
    <col min="2" max="2" width="11.7109375" customWidth="1"/>
    <col min="3" max="3" width="22.42578125" customWidth="1"/>
    <col min="4" max="4" width="15.28515625" bestFit="1" customWidth="1"/>
  </cols>
  <sheetData>
    <row r="1" spans="1:4" s="88" customFormat="1" x14ac:dyDescent="0.2">
      <c r="A1" s="54" t="s">
        <v>228</v>
      </c>
      <c r="B1" s="54" t="s">
        <v>251</v>
      </c>
      <c r="C1" s="54" t="s">
        <v>47</v>
      </c>
      <c r="D1" s="54" t="s">
        <v>372</v>
      </c>
    </row>
    <row r="2" spans="1:4" x14ac:dyDescent="0.2">
      <c r="A2" s="100">
        <v>200</v>
      </c>
      <c r="B2" s="100"/>
      <c r="C2" s="100"/>
      <c r="D2" s="100" t="s">
        <v>374</v>
      </c>
    </row>
    <row r="3" spans="1:4" x14ac:dyDescent="0.2">
      <c r="A3" s="100">
        <v>201</v>
      </c>
      <c r="B3" s="100" t="s">
        <v>253</v>
      </c>
      <c r="C3" s="100" t="s">
        <v>229</v>
      </c>
      <c r="D3" s="100"/>
    </row>
    <row r="4" spans="1:4" x14ac:dyDescent="0.2">
      <c r="A4" s="100">
        <f>A3+1</f>
        <v>202</v>
      </c>
      <c r="B4" s="100" t="s">
        <v>253</v>
      </c>
      <c r="C4" s="100" t="s">
        <v>323</v>
      </c>
      <c r="D4" s="100"/>
    </row>
    <row r="5" spans="1:4" x14ac:dyDescent="0.2">
      <c r="A5" s="100">
        <f t="shared" ref="A5:A68" si="0">A4+1</f>
        <v>203</v>
      </c>
      <c r="B5" s="100" t="s">
        <v>253</v>
      </c>
      <c r="C5" s="100" t="s">
        <v>230</v>
      </c>
      <c r="D5" s="100"/>
    </row>
    <row r="6" spans="1:4" x14ac:dyDescent="0.2">
      <c r="A6" s="100">
        <f t="shared" si="0"/>
        <v>204</v>
      </c>
      <c r="B6" s="100" t="s">
        <v>253</v>
      </c>
      <c r="C6" s="100" t="s">
        <v>231</v>
      </c>
      <c r="D6" s="100"/>
    </row>
    <row r="7" spans="1:4" x14ac:dyDescent="0.2">
      <c r="A7" s="100">
        <f t="shared" si="0"/>
        <v>205</v>
      </c>
      <c r="B7" s="100" t="s">
        <v>253</v>
      </c>
      <c r="C7" s="100" t="s">
        <v>232</v>
      </c>
      <c r="D7" s="100"/>
    </row>
    <row r="8" spans="1:4" x14ac:dyDescent="0.2">
      <c r="A8" s="100">
        <f t="shared" si="0"/>
        <v>206</v>
      </c>
      <c r="B8" s="100" t="s">
        <v>253</v>
      </c>
      <c r="C8" s="100" t="s">
        <v>420</v>
      </c>
      <c r="D8" s="100"/>
    </row>
    <row r="9" spans="1:4" x14ac:dyDescent="0.2">
      <c r="A9" s="100">
        <f t="shared" si="0"/>
        <v>207</v>
      </c>
      <c r="B9" s="100" t="s">
        <v>253</v>
      </c>
      <c r="C9" s="100" t="s">
        <v>233</v>
      </c>
      <c r="D9" s="100"/>
    </row>
    <row r="10" spans="1:4" x14ac:dyDescent="0.2">
      <c r="A10" s="100">
        <f t="shared" si="0"/>
        <v>208</v>
      </c>
      <c r="B10" s="100" t="s">
        <v>253</v>
      </c>
      <c r="C10" s="100" t="s">
        <v>234</v>
      </c>
      <c r="D10" s="100"/>
    </row>
    <row r="11" spans="1:4" x14ac:dyDescent="0.2">
      <c r="A11" s="100">
        <f t="shared" si="0"/>
        <v>209</v>
      </c>
      <c r="B11" s="100" t="s">
        <v>253</v>
      </c>
      <c r="C11" s="100" t="s">
        <v>235</v>
      </c>
      <c r="D11" s="100"/>
    </row>
    <row r="12" spans="1:4" x14ac:dyDescent="0.2">
      <c r="A12" s="100">
        <f t="shared" si="0"/>
        <v>210</v>
      </c>
      <c r="B12" s="100" t="s">
        <v>253</v>
      </c>
      <c r="C12" s="100" t="s">
        <v>236</v>
      </c>
      <c r="D12" s="100"/>
    </row>
    <row r="13" spans="1:4" x14ac:dyDescent="0.2">
      <c r="A13" s="100">
        <f t="shared" si="0"/>
        <v>211</v>
      </c>
      <c r="B13" s="100" t="s">
        <v>253</v>
      </c>
      <c r="C13" s="100"/>
      <c r="D13" s="100" t="s">
        <v>373</v>
      </c>
    </row>
    <row r="14" spans="1:4" x14ac:dyDescent="0.2">
      <c r="A14" s="100">
        <f t="shared" si="0"/>
        <v>212</v>
      </c>
      <c r="B14" s="100" t="s">
        <v>253</v>
      </c>
      <c r="C14" s="100" t="s">
        <v>237</v>
      </c>
      <c r="D14" s="100"/>
    </row>
    <row r="15" spans="1:4" x14ac:dyDescent="0.2">
      <c r="A15" s="100">
        <f t="shared" si="0"/>
        <v>213</v>
      </c>
      <c r="B15" s="100" t="s">
        <v>253</v>
      </c>
      <c r="C15" s="100" t="s">
        <v>241</v>
      </c>
      <c r="D15" s="100"/>
    </row>
    <row r="16" spans="1:4" x14ac:dyDescent="0.2">
      <c r="A16" s="100">
        <f t="shared" si="0"/>
        <v>214</v>
      </c>
      <c r="B16" s="100" t="s">
        <v>253</v>
      </c>
      <c r="C16" s="100" t="s">
        <v>238</v>
      </c>
      <c r="D16" s="100"/>
    </row>
    <row r="17" spans="1:4" x14ac:dyDescent="0.2">
      <c r="A17" s="100">
        <f t="shared" si="0"/>
        <v>215</v>
      </c>
      <c r="B17" s="100" t="s">
        <v>253</v>
      </c>
      <c r="C17" s="100" t="s">
        <v>239</v>
      </c>
      <c r="D17" s="100"/>
    </row>
    <row r="18" spans="1:4" x14ac:dyDescent="0.2">
      <c r="A18" s="100">
        <f t="shared" si="0"/>
        <v>216</v>
      </c>
      <c r="B18" s="100" t="s">
        <v>253</v>
      </c>
      <c r="C18" s="100" t="s">
        <v>363</v>
      </c>
      <c r="D18" s="100"/>
    </row>
    <row r="19" spans="1:4" x14ac:dyDescent="0.2">
      <c r="A19" s="100">
        <f t="shared" si="0"/>
        <v>217</v>
      </c>
      <c r="B19" s="100" t="s">
        <v>253</v>
      </c>
      <c r="C19" s="100" t="s">
        <v>240</v>
      </c>
      <c r="D19" s="100"/>
    </row>
    <row r="20" spans="1:4" x14ac:dyDescent="0.2">
      <c r="A20" s="100">
        <f t="shared" si="0"/>
        <v>218</v>
      </c>
      <c r="B20" s="100" t="s">
        <v>253</v>
      </c>
      <c r="C20" s="100" t="s">
        <v>242</v>
      </c>
      <c r="D20" s="100"/>
    </row>
    <row r="21" spans="1:4" x14ac:dyDescent="0.2">
      <c r="A21" s="100">
        <f t="shared" si="0"/>
        <v>219</v>
      </c>
      <c r="B21" s="100" t="s">
        <v>253</v>
      </c>
      <c r="C21" s="100" t="s">
        <v>243</v>
      </c>
      <c r="D21" s="100"/>
    </row>
    <row r="22" spans="1:4" x14ac:dyDescent="0.2">
      <c r="A22" s="100">
        <f t="shared" si="0"/>
        <v>220</v>
      </c>
      <c r="B22" s="100" t="s">
        <v>253</v>
      </c>
      <c r="C22" s="100" t="s">
        <v>244</v>
      </c>
      <c r="D22" s="100"/>
    </row>
    <row r="23" spans="1:4" x14ac:dyDescent="0.2">
      <c r="A23" s="100">
        <f t="shared" si="0"/>
        <v>221</v>
      </c>
      <c r="B23" s="100" t="s">
        <v>253</v>
      </c>
      <c r="C23" s="100" t="s">
        <v>245</v>
      </c>
      <c r="D23" s="100"/>
    </row>
    <row r="24" spans="1:4" x14ac:dyDescent="0.2">
      <c r="A24" s="100">
        <f t="shared" si="0"/>
        <v>222</v>
      </c>
      <c r="B24" s="100" t="s">
        <v>253</v>
      </c>
      <c r="C24" s="100"/>
      <c r="D24" s="100"/>
    </row>
    <row r="25" spans="1:4" x14ac:dyDescent="0.2">
      <c r="A25" s="100">
        <f t="shared" si="0"/>
        <v>223</v>
      </c>
      <c r="B25" s="100" t="s">
        <v>253</v>
      </c>
      <c r="C25" s="100" t="s">
        <v>246</v>
      </c>
      <c r="D25" s="100"/>
    </row>
    <row r="26" spans="1:4" x14ac:dyDescent="0.2">
      <c r="A26" s="100">
        <f t="shared" si="0"/>
        <v>224</v>
      </c>
      <c r="B26" s="100" t="s">
        <v>253</v>
      </c>
      <c r="C26" s="100" t="s">
        <v>324</v>
      </c>
      <c r="D26" s="100"/>
    </row>
    <row r="27" spans="1:4" x14ac:dyDescent="0.2">
      <c r="A27" s="100">
        <f t="shared" si="0"/>
        <v>225</v>
      </c>
      <c r="B27" s="100" t="s">
        <v>253</v>
      </c>
      <c r="C27" s="100" t="s">
        <v>421</v>
      </c>
      <c r="D27" s="100"/>
    </row>
    <row r="28" spans="1:4" x14ac:dyDescent="0.2">
      <c r="A28" s="100">
        <f t="shared" si="0"/>
        <v>226</v>
      </c>
      <c r="B28" s="100" t="s">
        <v>253</v>
      </c>
      <c r="C28" s="100" t="s">
        <v>247</v>
      </c>
      <c r="D28" s="100"/>
    </row>
    <row r="29" spans="1:4" x14ac:dyDescent="0.2">
      <c r="A29" s="100">
        <f t="shared" si="0"/>
        <v>227</v>
      </c>
      <c r="B29" s="100" t="s">
        <v>253</v>
      </c>
      <c r="C29" s="100" t="s">
        <v>248</v>
      </c>
      <c r="D29" s="100"/>
    </row>
    <row r="30" spans="1:4" x14ac:dyDescent="0.2">
      <c r="A30" s="100">
        <f t="shared" si="0"/>
        <v>228</v>
      </c>
      <c r="B30" s="100" t="s">
        <v>253</v>
      </c>
      <c r="C30" s="100" t="s">
        <v>249</v>
      </c>
      <c r="D30" s="100"/>
    </row>
    <row r="31" spans="1:4" x14ac:dyDescent="0.2">
      <c r="A31" s="100">
        <f t="shared" si="0"/>
        <v>229</v>
      </c>
      <c r="B31" s="100" t="s">
        <v>253</v>
      </c>
      <c r="C31" s="100" t="s">
        <v>298</v>
      </c>
      <c r="D31" s="100"/>
    </row>
    <row r="32" spans="1:4" x14ac:dyDescent="0.2">
      <c r="A32" s="100">
        <f t="shared" si="0"/>
        <v>230</v>
      </c>
      <c r="B32" s="100" t="s">
        <v>253</v>
      </c>
      <c r="C32" s="100" t="s">
        <v>422</v>
      </c>
      <c r="D32" s="100"/>
    </row>
    <row r="33" spans="1:4" x14ac:dyDescent="0.2">
      <c r="A33" s="100">
        <f t="shared" si="0"/>
        <v>231</v>
      </c>
      <c r="B33" s="100" t="s">
        <v>253</v>
      </c>
      <c r="C33" s="100" t="s">
        <v>423</v>
      </c>
      <c r="D33" s="100"/>
    </row>
    <row r="34" spans="1:4" x14ac:dyDescent="0.2">
      <c r="A34" s="100">
        <f t="shared" si="0"/>
        <v>232</v>
      </c>
      <c r="B34" s="100" t="s">
        <v>253</v>
      </c>
      <c r="C34" s="100" t="s">
        <v>250</v>
      </c>
      <c r="D34" s="100"/>
    </row>
    <row r="35" spans="1:4" x14ac:dyDescent="0.2">
      <c r="A35" s="100">
        <f t="shared" si="0"/>
        <v>233</v>
      </c>
      <c r="B35" s="100" t="s">
        <v>254</v>
      </c>
      <c r="C35" s="100"/>
      <c r="D35" s="100" t="s">
        <v>377</v>
      </c>
    </row>
    <row r="36" spans="1:4" x14ac:dyDescent="0.2">
      <c r="A36" s="100">
        <f t="shared" si="0"/>
        <v>234</v>
      </c>
      <c r="B36" s="100" t="s">
        <v>254</v>
      </c>
      <c r="C36" s="100"/>
      <c r="D36" s="100" t="s">
        <v>375</v>
      </c>
    </row>
    <row r="37" spans="1:4" x14ac:dyDescent="0.2">
      <c r="A37" s="100">
        <f t="shared" si="0"/>
        <v>235</v>
      </c>
      <c r="B37" s="100" t="s">
        <v>254</v>
      </c>
      <c r="C37" s="100"/>
      <c r="D37" s="100" t="s">
        <v>376</v>
      </c>
    </row>
    <row r="38" spans="1:4" x14ac:dyDescent="0.2">
      <c r="A38" s="100">
        <f t="shared" si="0"/>
        <v>236</v>
      </c>
      <c r="B38" s="100" t="s">
        <v>254</v>
      </c>
      <c r="C38" s="101"/>
      <c r="D38" s="100"/>
    </row>
    <row r="39" spans="1:4" x14ac:dyDescent="0.2">
      <c r="A39" s="100">
        <f t="shared" si="0"/>
        <v>237</v>
      </c>
      <c r="B39" s="100" t="s">
        <v>254</v>
      </c>
      <c r="C39" s="100"/>
      <c r="D39" s="100"/>
    </row>
    <row r="40" spans="1:4" x14ac:dyDescent="0.2">
      <c r="A40" s="100">
        <f t="shared" si="0"/>
        <v>238</v>
      </c>
      <c r="B40" s="100" t="s">
        <v>254</v>
      </c>
      <c r="C40" s="100"/>
      <c r="D40" s="100"/>
    </row>
    <row r="41" spans="1:4" x14ac:dyDescent="0.2">
      <c r="A41" s="100">
        <f t="shared" si="0"/>
        <v>239</v>
      </c>
      <c r="B41" s="100" t="s">
        <v>254</v>
      </c>
      <c r="C41" s="100"/>
      <c r="D41" s="100"/>
    </row>
    <row r="42" spans="1:4" x14ac:dyDescent="0.2">
      <c r="A42" s="100">
        <f t="shared" si="0"/>
        <v>240</v>
      </c>
      <c r="B42" s="100" t="s">
        <v>254</v>
      </c>
      <c r="C42" s="100"/>
      <c r="D42" s="100"/>
    </row>
    <row r="43" spans="1:4" x14ac:dyDescent="0.2">
      <c r="A43" s="100">
        <f t="shared" si="0"/>
        <v>241</v>
      </c>
      <c r="B43" s="100" t="s">
        <v>254</v>
      </c>
      <c r="C43" s="100"/>
      <c r="D43" s="100"/>
    </row>
    <row r="44" spans="1:4" x14ac:dyDescent="0.2">
      <c r="A44" s="100">
        <f t="shared" si="0"/>
        <v>242</v>
      </c>
      <c r="B44" s="100" t="s">
        <v>254</v>
      </c>
      <c r="C44" s="100"/>
      <c r="D44" s="100"/>
    </row>
    <row r="45" spans="1:4" x14ac:dyDescent="0.2">
      <c r="A45" s="100">
        <f t="shared" si="0"/>
        <v>243</v>
      </c>
      <c r="B45" s="100" t="s">
        <v>254</v>
      </c>
      <c r="C45" s="100"/>
      <c r="D45" s="100"/>
    </row>
    <row r="46" spans="1:4" x14ac:dyDescent="0.2">
      <c r="A46" s="100">
        <f t="shared" si="0"/>
        <v>244</v>
      </c>
      <c r="B46" s="100" t="s">
        <v>254</v>
      </c>
      <c r="C46" s="100"/>
      <c r="D46" s="100"/>
    </row>
    <row r="47" spans="1:4" x14ac:dyDescent="0.2">
      <c r="A47" s="100">
        <f t="shared" si="0"/>
        <v>245</v>
      </c>
      <c r="B47" s="100" t="s">
        <v>254</v>
      </c>
      <c r="C47" s="100"/>
      <c r="D47" s="100"/>
    </row>
    <row r="48" spans="1:4" x14ac:dyDescent="0.2">
      <c r="A48" s="100">
        <f t="shared" si="0"/>
        <v>246</v>
      </c>
      <c r="B48" s="100" t="s">
        <v>254</v>
      </c>
      <c r="C48" s="100"/>
      <c r="D48" s="100"/>
    </row>
    <row r="49" spans="1:4" x14ac:dyDescent="0.2">
      <c r="A49" s="100">
        <f t="shared" si="0"/>
        <v>247</v>
      </c>
      <c r="B49" s="100" t="s">
        <v>254</v>
      </c>
      <c r="C49" s="100"/>
      <c r="D49" s="100"/>
    </row>
    <row r="50" spans="1:4" x14ac:dyDescent="0.2">
      <c r="A50" s="100">
        <f t="shared" si="0"/>
        <v>248</v>
      </c>
      <c r="B50" s="100" t="s">
        <v>254</v>
      </c>
      <c r="C50" s="100"/>
      <c r="D50" s="100"/>
    </row>
    <row r="51" spans="1:4" x14ac:dyDescent="0.2">
      <c r="A51" s="100">
        <f t="shared" si="0"/>
        <v>249</v>
      </c>
      <c r="B51" s="100" t="s">
        <v>254</v>
      </c>
      <c r="C51" s="100"/>
      <c r="D51" s="100"/>
    </row>
    <row r="52" spans="1:4" x14ac:dyDescent="0.2">
      <c r="A52" s="100">
        <f t="shared" si="0"/>
        <v>250</v>
      </c>
      <c r="B52" s="100" t="s">
        <v>254</v>
      </c>
      <c r="C52" s="100"/>
      <c r="D52" s="100"/>
    </row>
    <row r="53" spans="1:4" x14ac:dyDescent="0.2">
      <c r="A53" s="100">
        <f t="shared" si="0"/>
        <v>251</v>
      </c>
      <c r="B53" s="100" t="s">
        <v>254</v>
      </c>
      <c r="C53" s="100"/>
      <c r="D53" s="100"/>
    </row>
    <row r="54" spans="1:4" x14ac:dyDescent="0.2">
      <c r="A54" s="100">
        <f t="shared" si="0"/>
        <v>252</v>
      </c>
      <c r="B54" s="100" t="s">
        <v>254</v>
      </c>
      <c r="C54" s="100"/>
      <c r="D54" s="100"/>
    </row>
    <row r="55" spans="1:4" x14ac:dyDescent="0.2">
      <c r="A55" s="100">
        <f t="shared" si="0"/>
        <v>253</v>
      </c>
      <c r="B55" s="100" t="s">
        <v>254</v>
      </c>
      <c r="C55" s="100"/>
      <c r="D55" s="100"/>
    </row>
    <row r="56" spans="1:4" x14ac:dyDescent="0.2">
      <c r="A56" s="100">
        <f t="shared" si="0"/>
        <v>254</v>
      </c>
      <c r="B56" s="100" t="s">
        <v>254</v>
      </c>
      <c r="C56" s="100"/>
      <c r="D56" s="100"/>
    </row>
    <row r="57" spans="1:4" x14ac:dyDescent="0.2">
      <c r="A57" s="100">
        <f t="shared" si="0"/>
        <v>255</v>
      </c>
      <c r="B57" s="100" t="s">
        <v>254</v>
      </c>
      <c r="C57" s="100" t="s">
        <v>278</v>
      </c>
      <c r="D57" s="100"/>
    </row>
    <row r="58" spans="1:4" x14ac:dyDescent="0.2">
      <c r="A58" s="100">
        <f t="shared" si="0"/>
        <v>256</v>
      </c>
      <c r="B58" s="100" t="s">
        <v>254</v>
      </c>
      <c r="C58" s="100"/>
      <c r="D58" s="100"/>
    </row>
    <row r="59" spans="1:4" x14ac:dyDescent="0.2">
      <c r="A59" s="100">
        <f t="shared" si="0"/>
        <v>257</v>
      </c>
      <c r="B59" s="100" t="s">
        <v>254</v>
      </c>
      <c r="C59" s="100"/>
      <c r="D59" s="100"/>
    </row>
    <row r="60" spans="1:4" x14ac:dyDescent="0.2">
      <c r="A60" s="100">
        <f t="shared" si="0"/>
        <v>258</v>
      </c>
      <c r="B60" s="100" t="s">
        <v>254</v>
      </c>
      <c r="C60" s="100"/>
      <c r="D60" s="100"/>
    </row>
    <row r="61" spans="1:4" x14ac:dyDescent="0.2">
      <c r="A61" s="100">
        <f t="shared" si="0"/>
        <v>259</v>
      </c>
      <c r="B61" s="100" t="s">
        <v>254</v>
      </c>
      <c r="C61" s="100"/>
      <c r="D61" s="100"/>
    </row>
    <row r="62" spans="1:4" x14ac:dyDescent="0.2">
      <c r="A62" s="100">
        <f t="shared" si="0"/>
        <v>260</v>
      </c>
      <c r="B62" s="100" t="s">
        <v>254</v>
      </c>
      <c r="C62" s="100"/>
      <c r="D62" s="100"/>
    </row>
    <row r="63" spans="1:4" x14ac:dyDescent="0.2">
      <c r="A63" s="100">
        <f t="shared" si="0"/>
        <v>261</v>
      </c>
      <c r="B63" s="100" t="s">
        <v>254</v>
      </c>
      <c r="C63" s="100"/>
      <c r="D63" s="100"/>
    </row>
    <row r="64" spans="1:4" x14ac:dyDescent="0.2">
      <c r="A64" s="100">
        <f t="shared" si="0"/>
        <v>262</v>
      </c>
      <c r="B64" s="100" t="s">
        <v>254</v>
      </c>
      <c r="C64" s="100"/>
      <c r="D64" s="100"/>
    </row>
    <row r="65" spans="1:4" x14ac:dyDescent="0.2">
      <c r="A65" s="100">
        <f t="shared" si="0"/>
        <v>263</v>
      </c>
      <c r="B65" s="100" t="s">
        <v>254</v>
      </c>
      <c r="C65" s="100"/>
      <c r="D65" s="100"/>
    </row>
    <row r="66" spans="1:4" x14ac:dyDescent="0.2">
      <c r="A66" s="100">
        <f t="shared" si="0"/>
        <v>264</v>
      </c>
      <c r="B66" s="100" t="s">
        <v>254</v>
      </c>
      <c r="C66" s="100"/>
      <c r="D66" s="100"/>
    </row>
    <row r="67" spans="1:4" x14ac:dyDescent="0.2">
      <c r="A67" s="100">
        <f t="shared" si="0"/>
        <v>265</v>
      </c>
      <c r="B67" s="100"/>
      <c r="C67" s="100"/>
      <c r="D67" s="100"/>
    </row>
    <row r="68" spans="1:4" x14ac:dyDescent="0.2">
      <c r="A68" s="100">
        <f t="shared" si="0"/>
        <v>266</v>
      </c>
      <c r="B68" s="100"/>
      <c r="C68" s="100"/>
      <c r="D68" s="100"/>
    </row>
    <row r="69" spans="1:4" x14ac:dyDescent="0.2">
      <c r="A69" s="100">
        <f t="shared" ref="A69:A101" si="1">A68+1</f>
        <v>267</v>
      </c>
      <c r="B69" s="100" t="s">
        <v>253</v>
      </c>
      <c r="C69" s="100" t="s">
        <v>424</v>
      </c>
      <c r="D69" s="100"/>
    </row>
    <row r="70" spans="1:4" x14ac:dyDescent="0.2">
      <c r="A70" s="100">
        <f t="shared" si="1"/>
        <v>268</v>
      </c>
      <c r="B70" s="100" t="s">
        <v>253</v>
      </c>
      <c r="C70" s="100" t="s">
        <v>279</v>
      </c>
      <c r="D70" s="100"/>
    </row>
    <row r="71" spans="1:4" x14ac:dyDescent="0.2">
      <c r="A71" s="100">
        <f t="shared" si="1"/>
        <v>269</v>
      </c>
      <c r="B71" s="100" t="s">
        <v>253</v>
      </c>
      <c r="C71" s="100" t="s">
        <v>425</v>
      </c>
      <c r="D71" s="100"/>
    </row>
    <row r="72" spans="1:4" x14ac:dyDescent="0.2">
      <c r="A72" s="100">
        <f t="shared" si="1"/>
        <v>270</v>
      </c>
      <c r="B72" s="100" t="s">
        <v>253</v>
      </c>
      <c r="C72" s="100" t="s">
        <v>255</v>
      </c>
      <c r="D72" s="100"/>
    </row>
    <row r="73" spans="1:4" x14ac:dyDescent="0.2">
      <c r="A73" s="100">
        <f t="shared" si="1"/>
        <v>271</v>
      </c>
      <c r="B73" s="100" t="s">
        <v>253</v>
      </c>
      <c r="C73" s="100" t="s">
        <v>368</v>
      </c>
      <c r="D73" s="100"/>
    </row>
    <row r="74" spans="1:4" x14ac:dyDescent="0.2">
      <c r="A74" s="100">
        <f t="shared" si="1"/>
        <v>272</v>
      </c>
      <c r="B74" s="100" t="s">
        <v>253</v>
      </c>
      <c r="C74" s="100" t="s">
        <v>288</v>
      </c>
      <c r="D74" s="100"/>
    </row>
    <row r="75" spans="1:4" x14ac:dyDescent="0.2">
      <c r="A75" s="100">
        <f t="shared" si="1"/>
        <v>273</v>
      </c>
      <c r="B75" s="100" t="s">
        <v>253</v>
      </c>
      <c r="C75" s="100" t="s">
        <v>369</v>
      </c>
      <c r="D75" s="100"/>
    </row>
    <row r="76" spans="1:4" x14ac:dyDescent="0.2">
      <c r="A76" s="100">
        <f t="shared" si="1"/>
        <v>274</v>
      </c>
      <c r="B76" s="100" t="s">
        <v>252</v>
      </c>
      <c r="C76" s="100"/>
      <c r="D76" s="100"/>
    </row>
    <row r="77" spans="1:4" x14ac:dyDescent="0.2">
      <c r="A77" s="100">
        <f t="shared" si="1"/>
        <v>275</v>
      </c>
      <c r="B77" s="100" t="s">
        <v>253</v>
      </c>
      <c r="C77" s="100" t="s">
        <v>256</v>
      </c>
      <c r="D77" s="100"/>
    </row>
    <row r="78" spans="1:4" x14ac:dyDescent="0.2">
      <c r="A78" s="100">
        <f t="shared" si="1"/>
        <v>276</v>
      </c>
      <c r="B78" s="100" t="s">
        <v>253</v>
      </c>
      <c r="C78" s="100" t="s">
        <v>257</v>
      </c>
      <c r="D78" s="100"/>
    </row>
    <row r="79" spans="1:4" x14ac:dyDescent="0.2">
      <c r="A79" s="100">
        <f t="shared" si="1"/>
        <v>277</v>
      </c>
      <c r="B79" s="100" t="s">
        <v>253</v>
      </c>
      <c r="C79" s="100" t="s">
        <v>370</v>
      </c>
      <c r="D79" s="100"/>
    </row>
    <row r="80" spans="1:4" x14ac:dyDescent="0.2">
      <c r="A80" s="100">
        <f t="shared" si="1"/>
        <v>278</v>
      </c>
      <c r="B80" s="100" t="s">
        <v>253</v>
      </c>
      <c r="C80" s="100" t="s">
        <v>371</v>
      </c>
      <c r="D80" s="100"/>
    </row>
    <row r="81" spans="1:4" x14ac:dyDescent="0.2">
      <c r="A81" s="100">
        <f t="shared" si="1"/>
        <v>279</v>
      </c>
      <c r="B81" s="100" t="s">
        <v>253</v>
      </c>
      <c r="C81" s="100" t="s">
        <v>322</v>
      </c>
      <c r="D81" s="100"/>
    </row>
    <row r="82" spans="1:4" x14ac:dyDescent="0.2">
      <c r="A82" s="100">
        <f t="shared" si="1"/>
        <v>280</v>
      </c>
      <c r="B82" s="100" t="s">
        <v>253</v>
      </c>
      <c r="C82" s="100" t="s">
        <v>291</v>
      </c>
      <c r="D82" s="100"/>
    </row>
    <row r="83" spans="1:4" x14ac:dyDescent="0.2">
      <c r="A83" s="100">
        <f t="shared" si="1"/>
        <v>281</v>
      </c>
      <c r="B83" s="100" t="s">
        <v>253</v>
      </c>
      <c r="C83" s="100" t="s">
        <v>330</v>
      </c>
      <c r="D83" s="100"/>
    </row>
    <row r="84" spans="1:4" x14ac:dyDescent="0.2">
      <c r="A84" s="100">
        <f t="shared" si="1"/>
        <v>282</v>
      </c>
      <c r="B84" s="100" t="s">
        <v>253</v>
      </c>
      <c r="C84" s="100" t="s">
        <v>331</v>
      </c>
      <c r="D84" s="100"/>
    </row>
    <row r="85" spans="1:4" x14ac:dyDescent="0.2">
      <c r="A85" s="100">
        <f t="shared" si="1"/>
        <v>283</v>
      </c>
      <c r="B85" s="100"/>
      <c r="C85" s="100"/>
      <c r="D85" s="100"/>
    </row>
    <row r="86" spans="1:4" x14ac:dyDescent="0.2">
      <c r="A86" s="100">
        <f t="shared" si="1"/>
        <v>284</v>
      </c>
      <c r="B86" s="100"/>
      <c r="C86" s="100"/>
      <c r="D86" s="100"/>
    </row>
    <row r="87" spans="1:4" x14ac:dyDescent="0.2">
      <c r="A87" s="100">
        <f t="shared" si="1"/>
        <v>285</v>
      </c>
      <c r="B87" s="100"/>
      <c r="C87" s="100"/>
      <c r="D87" s="100"/>
    </row>
    <row r="88" spans="1:4" x14ac:dyDescent="0.2">
      <c r="A88" s="100">
        <f t="shared" si="1"/>
        <v>286</v>
      </c>
      <c r="B88" s="100"/>
      <c r="C88" s="100"/>
      <c r="D88" s="100"/>
    </row>
    <row r="89" spans="1:4" x14ac:dyDescent="0.2">
      <c r="A89" s="100">
        <f t="shared" si="1"/>
        <v>287</v>
      </c>
      <c r="B89" s="100"/>
      <c r="C89" s="100"/>
      <c r="D89" s="100"/>
    </row>
    <row r="90" spans="1:4" x14ac:dyDescent="0.2">
      <c r="A90" s="100">
        <f t="shared" si="1"/>
        <v>288</v>
      </c>
      <c r="B90" s="100"/>
      <c r="C90" s="100"/>
      <c r="D90" s="100"/>
    </row>
    <row r="91" spans="1:4" x14ac:dyDescent="0.2">
      <c r="A91" s="100">
        <f t="shared" si="1"/>
        <v>289</v>
      </c>
      <c r="B91" s="100"/>
      <c r="C91" s="100"/>
      <c r="D91" s="100"/>
    </row>
    <row r="92" spans="1:4" x14ac:dyDescent="0.2">
      <c r="A92" s="100">
        <f t="shared" si="1"/>
        <v>290</v>
      </c>
      <c r="B92" s="100"/>
      <c r="C92" s="100"/>
      <c r="D92" s="100"/>
    </row>
    <row r="93" spans="1:4" x14ac:dyDescent="0.2">
      <c r="A93" s="100">
        <f t="shared" si="1"/>
        <v>291</v>
      </c>
      <c r="B93" s="100"/>
      <c r="C93" s="100"/>
      <c r="D93" s="100"/>
    </row>
    <row r="94" spans="1:4" x14ac:dyDescent="0.2">
      <c r="A94" s="100">
        <f t="shared" si="1"/>
        <v>292</v>
      </c>
      <c r="B94" s="100"/>
      <c r="C94" s="100"/>
      <c r="D94" s="100"/>
    </row>
    <row r="95" spans="1:4" x14ac:dyDescent="0.2">
      <c r="A95" s="100">
        <f t="shared" si="1"/>
        <v>293</v>
      </c>
      <c r="B95" s="100"/>
      <c r="C95" s="100"/>
      <c r="D95" s="100" t="s">
        <v>378</v>
      </c>
    </row>
    <row r="96" spans="1:4" x14ac:dyDescent="0.2">
      <c r="A96" s="100">
        <f t="shared" si="1"/>
        <v>294</v>
      </c>
      <c r="B96" s="100"/>
      <c r="C96" s="100"/>
      <c r="D96" s="100"/>
    </row>
    <row r="97" spans="1:4" x14ac:dyDescent="0.2">
      <c r="A97" s="100">
        <f t="shared" si="1"/>
        <v>295</v>
      </c>
      <c r="B97" s="100"/>
      <c r="C97" s="100"/>
      <c r="D97" s="100"/>
    </row>
    <row r="98" spans="1:4" x14ac:dyDescent="0.2">
      <c r="A98" s="100">
        <f t="shared" si="1"/>
        <v>296</v>
      </c>
      <c r="B98" s="100"/>
      <c r="C98" s="100"/>
      <c r="D98" s="100"/>
    </row>
    <row r="99" spans="1:4" x14ac:dyDescent="0.2">
      <c r="A99" s="100">
        <f t="shared" si="1"/>
        <v>297</v>
      </c>
      <c r="B99" s="100"/>
      <c r="C99" s="100"/>
      <c r="D99" s="100"/>
    </row>
    <row r="100" spans="1:4" x14ac:dyDescent="0.2">
      <c r="A100" s="100">
        <f t="shared" si="1"/>
        <v>298</v>
      </c>
      <c r="B100" s="100"/>
      <c r="C100" s="100"/>
      <c r="D100" s="100" t="s">
        <v>379</v>
      </c>
    </row>
    <row r="101" spans="1:4" x14ac:dyDescent="0.2">
      <c r="A101" s="100">
        <f t="shared" si="1"/>
        <v>299</v>
      </c>
      <c r="B101" s="100"/>
      <c r="C101" s="100"/>
      <c r="D101" s="100" t="s">
        <v>380</v>
      </c>
    </row>
  </sheetData>
  <phoneticPr fontId="0" type="noConversion"/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topLeftCell="B1" workbookViewId="0">
      <pane ySplit="765" topLeftCell="A30" activePane="bottomLeft"/>
      <selection sqref="A1:IV65536"/>
      <selection pane="bottomLeft" activeCell="L43" sqref="L43"/>
    </sheetView>
  </sheetViews>
  <sheetFormatPr defaultColWidth="13.42578125" defaultRowHeight="12.75" x14ac:dyDescent="0.2"/>
  <cols>
    <col min="1" max="1" width="24.5703125" style="15" customWidth="1"/>
    <col min="2" max="2" width="13.5703125" style="16" customWidth="1"/>
    <col min="3" max="3" width="9.42578125" style="17" customWidth="1"/>
    <col min="4" max="4" width="11.5703125" style="18" customWidth="1"/>
    <col min="5" max="5" width="9.140625" style="17" customWidth="1"/>
    <col min="6" max="6" width="9.85546875" style="18" bestFit="1" customWidth="1"/>
    <col min="7" max="7" width="13.42578125" style="18" customWidth="1"/>
    <col min="8" max="8" width="13.42578125" style="17" customWidth="1"/>
    <col min="9" max="9" width="17" style="18" customWidth="1"/>
    <col min="10" max="10" width="13.85546875" style="18" customWidth="1"/>
    <col min="11" max="16384" width="13.42578125" style="18"/>
  </cols>
  <sheetData>
    <row r="1" spans="1:12" s="14" customFormat="1" ht="25.5" x14ac:dyDescent="0.2">
      <c r="A1" s="12" t="e">
        <f>IF(#REF! &lt;&gt;0,#REF!, "")</f>
        <v>#REF!</v>
      </c>
      <c r="B1" s="13" t="s">
        <v>53</v>
      </c>
      <c r="C1" s="14" t="s">
        <v>54</v>
      </c>
      <c r="D1" s="14" t="s">
        <v>76</v>
      </c>
      <c r="E1" s="14" t="s">
        <v>55</v>
      </c>
      <c r="F1" s="14" t="s">
        <v>56</v>
      </c>
      <c r="G1" s="14" t="s">
        <v>66</v>
      </c>
      <c r="H1" s="14" t="s">
        <v>57</v>
      </c>
      <c r="I1" s="14" t="s">
        <v>58</v>
      </c>
      <c r="J1" s="14" t="s">
        <v>75</v>
      </c>
      <c r="K1" s="14" t="s">
        <v>77</v>
      </c>
      <c r="L1" s="14" t="s">
        <v>78</v>
      </c>
    </row>
    <row r="2" spans="1:12" x14ac:dyDescent="0.2">
      <c r="A2" s="15" t="e">
        <f>IF(#REF! &lt;&gt;0,#REF!, "")</f>
        <v>#REF!</v>
      </c>
    </row>
    <row r="3" spans="1:12" x14ac:dyDescent="0.2">
      <c r="A3" s="15" t="e">
        <f>IF(#REF! &lt;&gt;0,#REF!, "")</f>
        <v>#REF!</v>
      </c>
    </row>
    <row r="4" spans="1:12" x14ac:dyDescent="0.2">
      <c r="A4" s="15" t="e">
        <f>IF(#REF! &lt;&gt;0,#REF!, "")</f>
        <v>#REF!</v>
      </c>
    </row>
    <row r="5" spans="1:12" x14ac:dyDescent="0.2">
      <c r="A5" s="15" t="e">
        <f>IF(#REF! &lt;&gt;0,#REF!, "")</f>
        <v>#REF!</v>
      </c>
    </row>
    <row r="6" spans="1:12" x14ac:dyDescent="0.2">
      <c r="A6" s="15" t="e">
        <f>IF(#REF! &lt;&gt;0,#REF!, "")</f>
        <v>#REF!</v>
      </c>
    </row>
    <row r="7" spans="1:12" x14ac:dyDescent="0.2">
      <c r="A7" s="15" t="e">
        <f>IF(#REF! &lt;&gt;0,#REF!, "")</f>
        <v>#REF!</v>
      </c>
    </row>
    <row r="8" spans="1:12" x14ac:dyDescent="0.2">
      <c r="A8" s="15" t="e">
        <f>IF(#REF! &lt;&gt;0,#REF!, "")</f>
        <v>#REF!</v>
      </c>
    </row>
    <row r="9" spans="1:12" x14ac:dyDescent="0.2">
      <c r="A9" s="15" t="e">
        <f>IF(#REF! &lt;&gt;0,#REF!, "")</f>
        <v>#REF!</v>
      </c>
    </row>
    <row r="10" spans="1:12" x14ac:dyDescent="0.2">
      <c r="A10" s="15" t="e">
        <f>IF(#REF! &lt;&gt;0,#REF!, "")</f>
        <v>#REF!</v>
      </c>
    </row>
    <row r="11" spans="1:12" x14ac:dyDescent="0.2">
      <c r="A11" s="15" t="e">
        <f>IF(#REF! &lt;&gt;0,#REF!, "")</f>
        <v>#REF!</v>
      </c>
    </row>
    <row r="12" spans="1:12" x14ac:dyDescent="0.2">
      <c r="A12" s="15" t="e">
        <f>IF(#REF! &lt;&gt;0,#REF!, "")</f>
        <v>#REF!</v>
      </c>
    </row>
    <row r="13" spans="1:12" ht="25.5" x14ac:dyDescent="0.2">
      <c r="A13" s="15" t="e">
        <f>IF(#REF! &lt;&gt;0,#REF!, "")</f>
        <v>#REF!</v>
      </c>
      <c r="B13" s="16" t="s">
        <v>59</v>
      </c>
      <c r="C13" s="17" t="s">
        <v>79</v>
      </c>
      <c r="D13" s="18" t="s">
        <v>61</v>
      </c>
      <c r="E13" s="17" t="s">
        <v>80</v>
      </c>
      <c r="F13" s="18" t="s">
        <v>85</v>
      </c>
      <c r="G13" s="18" t="s">
        <v>81</v>
      </c>
      <c r="H13" s="17" t="s">
        <v>82</v>
      </c>
      <c r="I13" s="18" t="s">
        <v>83</v>
      </c>
    </row>
    <row r="14" spans="1:12" ht="25.5" x14ac:dyDescent="0.2">
      <c r="A14" s="15" t="e">
        <f>IF(#REF! &lt;&gt;0,#REF!, "")</f>
        <v>#REF!</v>
      </c>
      <c r="B14" s="16" t="s">
        <v>68</v>
      </c>
      <c r="C14" s="17" t="s">
        <v>79</v>
      </c>
      <c r="D14" s="18" t="s">
        <v>61</v>
      </c>
      <c r="E14" s="17" t="s">
        <v>62</v>
      </c>
      <c r="F14" s="18" t="s">
        <v>84</v>
      </c>
      <c r="G14" s="18" t="s">
        <v>86</v>
      </c>
      <c r="H14" s="17" t="s">
        <v>93</v>
      </c>
      <c r="I14" s="18" t="s">
        <v>88</v>
      </c>
      <c r="J14" s="18" t="s">
        <v>133</v>
      </c>
      <c r="K14" s="18" t="s">
        <v>134</v>
      </c>
      <c r="L14" s="18" t="s">
        <v>135</v>
      </c>
    </row>
    <row r="15" spans="1:12" ht="25.5" x14ac:dyDescent="0.2">
      <c r="A15" s="15" t="e">
        <f>IF(#REF! &lt;&gt;0,#REF!, "")</f>
        <v>#REF!</v>
      </c>
      <c r="B15" s="16" t="s">
        <v>59</v>
      </c>
      <c r="C15" s="17" t="s">
        <v>72</v>
      </c>
      <c r="D15" s="18" t="s">
        <v>61</v>
      </c>
      <c r="E15" s="17" t="s">
        <v>62</v>
      </c>
      <c r="F15" s="18" t="s">
        <v>63</v>
      </c>
      <c r="G15" s="18" t="s">
        <v>67</v>
      </c>
      <c r="H15" s="17" t="s">
        <v>64</v>
      </c>
      <c r="I15" s="18" t="s">
        <v>63</v>
      </c>
      <c r="J15" s="18" t="s">
        <v>136</v>
      </c>
      <c r="K15" s="18" t="s">
        <v>137</v>
      </c>
      <c r="L15" s="18" t="s">
        <v>138</v>
      </c>
    </row>
    <row r="16" spans="1:12" ht="25.5" x14ac:dyDescent="0.2">
      <c r="A16" s="15" t="e">
        <f>IF(#REF! &lt;&gt;0,#REF!, "")</f>
        <v>#REF!</v>
      </c>
      <c r="B16" s="16" t="s">
        <v>59</v>
      </c>
      <c r="C16" s="17" t="s">
        <v>79</v>
      </c>
      <c r="D16" s="18" t="s">
        <v>61</v>
      </c>
      <c r="E16" s="17" t="s">
        <v>73</v>
      </c>
      <c r="F16" s="18" t="s">
        <v>74</v>
      </c>
      <c r="G16" s="18" t="s">
        <v>67</v>
      </c>
      <c r="H16" s="17" t="s">
        <v>89</v>
      </c>
      <c r="I16" s="18" t="s">
        <v>63</v>
      </c>
      <c r="J16" s="18" t="s">
        <v>136</v>
      </c>
      <c r="K16" s="18" t="s">
        <v>139</v>
      </c>
      <c r="L16" s="18" t="s">
        <v>140</v>
      </c>
    </row>
    <row r="17" spans="1:12" ht="25.5" x14ac:dyDescent="0.2">
      <c r="A17" s="15" t="e">
        <f>IF(#REF! &lt;&gt;0,#REF!, "")</f>
        <v>#REF!</v>
      </c>
      <c r="B17" s="16" t="s">
        <v>90</v>
      </c>
      <c r="C17" s="17" t="s">
        <v>60</v>
      </c>
      <c r="D17" s="18" t="s">
        <v>61</v>
      </c>
      <c r="E17" s="17" t="s">
        <v>91</v>
      </c>
      <c r="F17" s="18" t="s">
        <v>63</v>
      </c>
      <c r="G17" s="18" t="s">
        <v>92</v>
      </c>
      <c r="H17" s="17" t="s">
        <v>64</v>
      </c>
      <c r="I17" s="18" t="s">
        <v>63</v>
      </c>
      <c r="J17" s="18" t="s">
        <v>136</v>
      </c>
      <c r="K17" s="18" t="s">
        <v>139</v>
      </c>
      <c r="L17" s="18" t="s">
        <v>141</v>
      </c>
    </row>
    <row r="18" spans="1:12" ht="25.5" x14ac:dyDescent="0.2">
      <c r="A18" s="15" t="e">
        <f>IF(#REF! &lt;&gt;0,#REF!, "")</f>
        <v>#REF!</v>
      </c>
      <c r="B18" s="16" t="s">
        <v>59</v>
      </c>
      <c r="C18" s="17" t="s">
        <v>79</v>
      </c>
      <c r="D18" s="18" t="s">
        <v>61</v>
      </c>
      <c r="E18" s="17" t="s">
        <v>94</v>
      </c>
      <c r="F18" s="18" t="s">
        <v>95</v>
      </c>
      <c r="G18" s="18" t="s">
        <v>96</v>
      </c>
      <c r="H18" s="17" t="s">
        <v>97</v>
      </c>
      <c r="I18" s="18" t="s">
        <v>98</v>
      </c>
      <c r="J18" s="18" t="s">
        <v>136</v>
      </c>
      <c r="K18" s="18" t="s">
        <v>142</v>
      </c>
      <c r="L18" s="18" t="s">
        <v>143</v>
      </c>
    </row>
    <row r="19" spans="1:12" x14ac:dyDescent="0.2">
      <c r="A19" s="15" t="e">
        <f>IF(#REF! &lt;&gt;0,#REF!, "")</f>
        <v>#REF!</v>
      </c>
    </row>
    <row r="20" spans="1:12" ht="25.5" x14ac:dyDescent="0.2">
      <c r="A20" s="15" t="e">
        <f>IF(#REF! &lt;&gt;0,#REF!, "")</f>
        <v>#REF!</v>
      </c>
      <c r="B20" s="16" t="s">
        <v>99</v>
      </c>
      <c r="C20" s="17" t="s">
        <v>72</v>
      </c>
      <c r="D20" s="18" t="s">
        <v>61</v>
      </c>
      <c r="E20" s="17" t="s">
        <v>100</v>
      </c>
      <c r="F20" s="18" t="s">
        <v>63</v>
      </c>
      <c r="G20" s="18" t="s">
        <v>81</v>
      </c>
      <c r="H20" s="17" t="s">
        <v>101</v>
      </c>
      <c r="I20" s="18" t="s">
        <v>63</v>
      </c>
      <c r="J20" s="18" t="s">
        <v>136</v>
      </c>
      <c r="K20" s="18" t="s">
        <v>137</v>
      </c>
      <c r="L20" s="18" t="s">
        <v>144</v>
      </c>
    </row>
    <row r="21" spans="1:12" ht="25.5" x14ac:dyDescent="0.2">
      <c r="A21" s="15" t="e">
        <f>IF(#REF! &lt;&gt;0,#REF!, "")</f>
        <v>#REF!</v>
      </c>
      <c r="B21" s="19" t="s">
        <v>99</v>
      </c>
      <c r="C21" s="17" t="s">
        <v>72</v>
      </c>
      <c r="D21" s="18" t="s">
        <v>61</v>
      </c>
      <c r="E21" s="17" t="s">
        <v>102</v>
      </c>
      <c r="F21" s="18" t="s">
        <v>103</v>
      </c>
      <c r="G21" s="18" t="s">
        <v>81</v>
      </c>
      <c r="H21" s="17" t="s">
        <v>104</v>
      </c>
      <c r="I21" s="18" t="s">
        <v>63</v>
      </c>
      <c r="J21" s="18" t="s">
        <v>136</v>
      </c>
      <c r="K21" s="18" t="s">
        <v>137</v>
      </c>
      <c r="L21" s="18" t="s">
        <v>145</v>
      </c>
    </row>
    <row r="22" spans="1:12" ht="25.5" x14ac:dyDescent="0.2">
      <c r="A22" s="15" t="e">
        <f>IF(#REF! &lt;&gt;0,#REF!, "")</f>
        <v>#REF!</v>
      </c>
      <c r="B22" s="16" t="s">
        <v>59</v>
      </c>
      <c r="C22" s="17" t="s">
        <v>79</v>
      </c>
      <c r="D22" s="18" t="s">
        <v>61</v>
      </c>
      <c r="E22" s="17" t="s">
        <v>94</v>
      </c>
      <c r="F22" s="18" t="s">
        <v>95</v>
      </c>
      <c r="G22" s="18" t="s">
        <v>81</v>
      </c>
      <c r="H22" s="17" t="s">
        <v>87</v>
      </c>
      <c r="I22" s="18" t="s">
        <v>63</v>
      </c>
    </row>
    <row r="23" spans="1:12" ht="25.5" x14ac:dyDescent="0.2">
      <c r="A23" s="15" t="e">
        <f>IF(#REF! &lt;&gt;0,#REF!, "")</f>
        <v>#REF!</v>
      </c>
      <c r="B23" s="16" t="s">
        <v>59</v>
      </c>
      <c r="C23" s="17" t="s">
        <v>79</v>
      </c>
      <c r="D23" s="18" t="s">
        <v>61</v>
      </c>
      <c r="E23" s="17" t="s">
        <v>94</v>
      </c>
      <c r="F23" s="18" t="s">
        <v>95</v>
      </c>
      <c r="G23" s="18" t="s">
        <v>81</v>
      </c>
      <c r="H23" s="17" t="s">
        <v>105</v>
      </c>
      <c r="I23" s="18" t="s">
        <v>63</v>
      </c>
    </row>
    <row r="24" spans="1:12" x14ac:dyDescent="0.2">
      <c r="A24" s="15" t="e">
        <f>IF(#REF! &lt;&gt;0,#REF!, "")</f>
        <v>#REF!</v>
      </c>
    </row>
    <row r="25" spans="1:12" x14ac:dyDescent="0.2">
      <c r="A25" s="15" t="e">
        <f>IF(#REF! &lt;&gt;0,#REF!, "")</f>
        <v>#REF!</v>
      </c>
    </row>
    <row r="26" spans="1:12" x14ac:dyDescent="0.2">
      <c r="A26" s="15" t="e">
        <f>IF(#REF! &lt;&gt;0,#REF!, "")</f>
        <v>#REF!</v>
      </c>
    </row>
    <row r="27" spans="1:12" ht="25.5" x14ac:dyDescent="0.2">
      <c r="A27" s="15" t="e">
        <f>IF(#REF! &lt;&gt;0,#REF!, "")</f>
        <v>#REF!</v>
      </c>
      <c r="B27" s="16" t="s">
        <v>99</v>
      </c>
      <c r="C27" s="17" t="s">
        <v>72</v>
      </c>
      <c r="D27" s="18" t="s">
        <v>61</v>
      </c>
      <c r="E27" s="17" t="s">
        <v>100</v>
      </c>
      <c r="F27" s="18" t="s">
        <v>63</v>
      </c>
      <c r="G27" s="18" t="s">
        <v>106</v>
      </c>
      <c r="H27" s="17" t="s">
        <v>107</v>
      </c>
      <c r="I27" s="18" t="s">
        <v>63</v>
      </c>
      <c r="J27" s="18" t="s">
        <v>136</v>
      </c>
      <c r="K27" s="18" t="s">
        <v>137</v>
      </c>
      <c r="L27" s="18" t="s">
        <v>146</v>
      </c>
    </row>
    <row r="28" spans="1:12" ht="25.5" x14ac:dyDescent="0.2">
      <c r="A28" s="15" t="e">
        <f>IF(#REF! &lt;&gt;0,#REF!, "")</f>
        <v>#REF!</v>
      </c>
      <c r="B28" s="16" t="s">
        <v>99</v>
      </c>
      <c r="C28" s="17" t="s">
        <v>72</v>
      </c>
      <c r="D28" s="18" t="s">
        <v>61</v>
      </c>
      <c r="E28" s="17" t="s">
        <v>100</v>
      </c>
      <c r="F28" s="18" t="s">
        <v>63</v>
      </c>
      <c r="G28" s="18" t="s">
        <v>106</v>
      </c>
      <c r="H28" s="17" t="s">
        <v>107</v>
      </c>
      <c r="I28" s="18" t="s">
        <v>63</v>
      </c>
    </row>
    <row r="29" spans="1:12" ht="25.5" x14ac:dyDescent="0.2">
      <c r="A29" s="15" t="e">
        <f>IF(#REF! &lt;&gt;0,#REF!, "")</f>
        <v>#REF!</v>
      </c>
      <c r="B29" s="16" t="s">
        <v>99</v>
      </c>
      <c r="C29" s="17" t="s">
        <v>72</v>
      </c>
      <c r="D29" s="18" t="s">
        <v>61</v>
      </c>
      <c r="E29" s="17" t="s">
        <v>100</v>
      </c>
      <c r="F29" s="18" t="s">
        <v>63</v>
      </c>
      <c r="G29" s="18" t="s">
        <v>106</v>
      </c>
      <c r="H29" s="17" t="s">
        <v>108</v>
      </c>
      <c r="I29" s="18" t="s">
        <v>63</v>
      </c>
      <c r="J29" s="18" t="s">
        <v>136</v>
      </c>
      <c r="K29" s="18" t="s">
        <v>137</v>
      </c>
      <c r="L29" s="18" t="s">
        <v>147</v>
      </c>
    </row>
    <row r="30" spans="1:12" ht="25.5" x14ac:dyDescent="0.2">
      <c r="A30" s="15" t="e">
        <f>IF(#REF! &lt;&gt;0,#REF!, "")</f>
        <v>#REF!</v>
      </c>
      <c r="B30" s="16" t="s">
        <v>109</v>
      </c>
      <c r="C30" s="17" t="s">
        <v>79</v>
      </c>
      <c r="D30" s="18" t="s">
        <v>61</v>
      </c>
      <c r="E30" s="17" t="s">
        <v>91</v>
      </c>
      <c r="F30" s="18" t="s">
        <v>110</v>
      </c>
      <c r="G30" s="18" t="s">
        <v>106</v>
      </c>
      <c r="H30" s="17" t="s">
        <v>89</v>
      </c>
      <c r="I30" s="18" t="s">
        <v>63</v>
      </c>
    </row>
    <row r="31" spans="1:12" x14ac:dyDescent="0.2">
      <c r="A31" s="15" t="e">
        <f>IF(#REF! &lt;&gt;0,#REF!, "")</f>
        <v>#REF!</v>
      </c>
      <c r="B31" s="16" t="s">
        <v>59</v>
      </c>
      <c r="C31" s="17" t="s">
        <v>60</v>
      </c>
      <c r="D31" s="18" t="s">
        <v>61</v>
      </c>
      <c r="E31" s="17" t="s">
        <v>62</v>
      </c>
      <c r="F31" s="18" t="s">
        <v>63</v>
      </c>
      <c r="G31" s="18" t="s">
        <v>67</v>
      </c>
      <c r="H31" s="17" t="s">
        <v>64</v>
      </c>
      <c r="I31" s="18" t="s">
        <v>65</v>
      </c>
      <c r="J31" s="18" t="s">
        <v>136</v>
      </c>
      <c r="K31" s="18" t="s">
        <v>137</v>
      </c>
      <c r="L31" s="18" t="s">
        <v>148</v>
      </c>
    </row>
    <row r="32" spans="1:12" x14ac:dyDescent="0.2">
      <c r="A32" s="15" t="e">
        <f>IF(#REF! &lt;&gt;0,#REF!, "")</f>
        <v>#REF!</v>
      </c>
      <c r="B32" s="16" t="s">
        <v>111</v>
      </c>
      <c r="C32" s="17" t="s">
        <v>72</v>
      </c>
      <c r="D32" s="18" t="s">
        <v>61</v>
      </c>
      <c r="E32" s="17" t="s">
        <v>62</v>
      </c>
      <c r="F32" s="18" t="s">
        <v>110</v>
      </c>
      <c r="G32" s="18" t="s">
        <v>112</v>
      </c>
      <c r="H32" s="17" t="s">
        <v>107</v>
      </c>
      <c r="I32" s="18" t="s">
        <v>63</v>
      </c>
    </row>
    <row r="33" spans="1:12" ht="25.5" x14ac:dyDescent="0.2">
      <c r="A33" s="15" t="e">
        <f>IF(#REF! &lt;&gt;0,#REF!, "")</f>
        <v>#REF!</v>
      </c>
      <c r="B33" s="16" t="s">
        <v>59</v>
      </c>
      <c r="C33" s="17" t="s">
        <v>60</v>
      </c>
      <c r="D33" s="18" t="s">
        <v>61</v>
      </c>
      <c r="E33" s="17" t="s">
        <v>62</v>
      </c>
      <c r="F33" s="18" t="s">
        <v>63</v>
      </c>
      <c r="G33" s="18" t="s">
        <v>67</v>
      </c>
      <c r="H33" s="17" t="s">
        <v>108</v>
      </c>
      <c r="I33" s="18" t="s">
        <v>63</v>
      </c>
      <c r="J33" s="18" t="s">
        <v>136</v>
      </c>
      <c r="K33" s="18" t="s">
        <v>137</v>
      </c>
      <c r="L33" s="18" t="s">
        <v>149</v>
      </c>
    </row>
    <row r="34" spans="1:12" x14ac:dyDescent="0.2">
      <c r="A34" s="15" t="e">
        <f>IF(#REF! &lt;&gt;0,#REF!, "")</f>
        <v>#REF!</v>
      </c>
    </row>
    <row r="35" spans="1:12" x14ac:dyDescent="0.2">
      <c r="A35" s="15" t="e">
        <f>IF(#REF! &lt;&gt;0,#REF!, "")</f>
        <v>#REF!</v>
      </c>
    </row>
    <row r="36" spans="1:12" ht="38.25" x14ac:dyDescent="0.2">
      <c r="A36" s="15" t="e">
        <f>IF(#REF! &lt;&gt;0,#REF!, "")</f>
        <v>#REF!</v>
      </c>
      <c r="B36" s="16" t="s">
        <v>99</v>
      </c>
      <c r="C36" s="17" t="s">
        <v>72</v>
      </c>
      <c r="D36" s="18" t="s">
        <v>61</v>
      </c>
      <c r="E36" s="17" t="s">
        <v>113</v>
      </c>
      <c r="F36" s="18" t="s">
        <v>114</v>
      </c>
      <c r="G36" s="18" t="s">
        <v>63</v>
      </c>
      <c r="H36" s="17" t="s">
        <v>107</v>
      </c>
      <c r="I36" s="18" t="s">
        <v>63</v>
      </c>
      <c r="J36" s="18" t="s">
        <v>136</v>
      </c>
      <c r="K36" s="18" t="s">
        <v>137</v>
      </c>
      <c r="L36" s="18" t="s">
        <v>150</v>
      </c>
    </row>
    <row r="37" spans="1:12" ht="25.5" x14ac:dyDescent="0.2">
      <c r="A37" s="15" t="e">
        <f>IF(#REF! &lt;&gt;0,#REF!, "")</f>
        <v>#REF!</v>
      </c>
      <c r="B37" s="16" t="s">
        <v>111</v>
      </c>
      <c r="C37" s="17" t="s">
        <v>115</v>
      </c>
      <c r="D37" s="18" t="s">
        <v>61</v>
      </c>
      <c r="E37" s="17" t="s">
        <v>116</v>
      </c>
      <c r="F37" s="18" t="s">
        <v>110</v>
      </c>
      <c r="G37" s="18" t="s">
        <v>117</v>
      </c>
      <c r="H37" s="17" t="s">
        <v>118</v>
      </c>
      <c r="I37" s="18" t="s">
        <v>119</v>
      </c>
    </row>
    <row r="38" spans="1:12" ht="25.5" x14ac:dyDescent="0.2">
      <c r="A38" s="15" t="e">
        <f>IF(#REF! &lt;&gt;0,#REF!, "")</f>
        <v>#REF!</v>
      </c>
      <c r="B38" s="16" t="s">
        <v>68</v>
      </c>
      <c r="C38" s="17" t="s">
        <v>79</v>
      </c>
      <c r="D38" s="18" t="s">
        <v>61</v>
      </c>
      <c r="E38" s="17" t="s">
        <v>91</v>
      </c>
      <c r="F38" s="18" t="s">
        <v>103</v>
      </c>
      <c r="G38" s="18" t="s">
        <v>120</v>
      </c>
      <c r="H38" s="17" t="s">
        <v>107</v>
      </c>
      <c r="I38" s="18" t="s">
        <v>63</v>
      </c>
      <c r="J38" s="18" t="s">
        <v>136</v>
      </c>
      <c r="K38" s="18" t="s">
        <v>137</v>
      </c>
      <c r="L38" s="18" t="s">
        <v>151</v>
      </c>
    </row>
    <row r="39" spans="1:12" x14ac:dyDescent="0.2">
      <c r="A39" s="15" t="e">
        <f>IF(#REF! &lt;&gt;0,#REF!, "")</f>
        <v>#REF!</v>
      </c>
    </row>
    <row r="40" spans="1:12" x14ac:dyDescent="0.2">
      <c r="A40" s="15" t="e">
        <f>IF(#REF! &lt;&gt;0,#REF!, "")</f>
        <v>#REF!</v>
      </c>
    </row>
    <row r="41" spans="1:12" x14ac:dyDescent="0.2">
      <c r="A41" s="15" t="e">
        <f>IF(#REF! &lt;&gt;0,#REF!, "")</f>
        <v>#REF!</v>
      </c>
    </row>
    <row r="42" spans="1:12" ht="25.5" x14ac:dyDescent="0.2">
      <c r="A42" s="15" t="e">
        <f>IF(#REF! &lt;&gt;0,#REF!, "")</f>
        <v>#REF!</v>
      </c>
      <c r="B42" s="16" t="s">
        <v>99</v>
      </c>
      <c r="C42" s="17" t="s">
        <v>72</v>
      </c>
      <c r="D42" s="18" t="s">
        <v>61</v>
      </c>
      <c r="E42" s="17" t="s">
        <v>152</v>
      </c>
      <c r="F42" s="18" t="s">
        <v>110</v>
      </c>
      <c r="G42" s="18" t="s">
        <v>153</v>
      </c>
      <c r="H42" s="17" t="s">
        <v>154</v>
      </c>
      <c r="I42" s="18" t="s">
        <v>63</v>
      </c>
      <c r="J42" s="18" t="s">
        <v>136</v>
      </c>
      <c r="K42" s="18" t="s">
        <v>137</v>
      </c>
      <c r="L42" s="18" t="s">
        <v>166</v>
      </c>
    </row>
    <row r="43" spans="1:12" ht="25.5" x14ac:dyDescent="0.2">
      <c r="A43" s="15" t="e">
        <f>IF(#REF! &lt;&gt;0,#REF!, "")</f>
        <v>#REF!</v>
      </c>
      <c r="B43" s="16" t="s">
        <v>59</v>
      </c>
      <c r="C43" s="17" t="s">
        <v>72</v>
      </c>
      <c r="D43" s="18" t="s">
        <v>61</v>
      </c>
      <c r="E43" s="17" t="s">
        <v>62</v>
      </c>
      <c r="F43" s="18" t="s">
        <v>63</v>
      </c>
      <c r="G43" s="18" t="s">
        <v>67</v>
      </c>
      <c r="H43" s="17" t="s">
        <v>121</v>
      </c>
      <c r="I43" s="18" t="s">
        <v>63</v>
      </c>
      <c r="J43" s="18" t="s">
        <v>136</v>
      </c>
      <c r="K43" s="18" t="s">
        <v>137</v>
      </c>
      <c r="L43" s="18" t="s">
        <v>155</v>
      </c>
    </row>
    <row r="44" spans="1:12" ht="25.5" x14ac:dyDescent="0.2">
      <c r="A44" s="15" t="e">
        <f>IF(#REF! &lt;&gt;0,#REF!, "")</f>
        <v>#REF!</v>
      </c>
      <c r="B44" s="16" t="s">
        <v>68</v>
      </c>
      <c r="C44" s="17" t="s">
        <v>79</v>
      </c>
      <c r="D44" s="18" t="s">
        <v>61</v>
      </c>
      <c r="E44" s="17" t="s">
        <v>62</v>
      </c>
      <c r="F44" s="18" t="s">
        <v>95</v>
      </c>
      <c r="G44" s="18" t="s">
        <v>120</v>
      </c>
      <c r="H44" s="17" t="s">
        <v>87</v>
      </c>
      <c r="I44" s="21" t="s">
        <v>63</v>
      </c>
      <c r="J44" s="18" t="s">
        <v>133</v>
      </c>
      <c r="K44" s="18" t="s">
        <v>134</v>
      </c>
      <c r="L44" s="18" t="s">
        <v>156</v>
      </c>
    </row>
    <row r="45" spans="1:12" x14ac:dyDescent="0.2">
      <c r="A45" s="15" t="e">
        <f>IF(#REF! &lt;&gt;0,#REF!, "")</f>
        <v>#REF!</v>
      </c>
    </row>
    <row r="46" spans="1:12" x14ac:dyDescent="0.2">
      <c r="A46" s="15" t="e">
        <f>IF(#REF! &lt;&gt;0,#REF!, "")</f>
        <v>#REF!</v>
      </c>
    </row>
    <row r="47" spans="1:12" ht="25.5" x14ac:dyDescent="0.2">
      <c r="A47" s="15" t="e">
        <f>IF(#REF! &lt;&gt;0,#REF!, "")</f>
        <v>#REF!</v>
      </c>
      <c r="B47" s="16" t="s">
        <v>99</v>
      </c>
      <c r="C47" s="17" t="s">
        <v>60</v>
      </c>
      <c r="D47" s="18" t="s">
        <v>61</v>
      </c>
      <c r="E47" s="17" t="s">
        <v>100</v>
      </c>
      <c r="F47" s="18" t="s">
        <v>63</v>
      </c>
      <c r="G47" s="18" t="s">
        <v>114</v>
      </c>
      <c r="H47" s="17" t="s">
        <v>107</v>
      </c>
      <c r="I47" s="18" t="s">
        <v>63</v>
      </c>
    </row>
    <row r="48" spans="1:12" x14ac:dyDescent="0.2">
      <c r="A48" s="15" t="e">
        <f>IF(#REF! &lt;&gt;0,#REF!, "")</f>
        <v>#REF!</v>
      </c>
    </row>
    <row r="49" spans="1:12" ht="25.5" x14ac:dyDescent="0.2">
      <c r="A49" s="15" t="e">
        <f>IF(#REF! &lt;&gt;0,#REF!, "")</f>
        <v>#REF!</v>
      </c>
      <c r="B49" s="16" t="s">
        <v>59</v>
      </c>
      <c r="C49" s="17" t="s">
        <v>79</v>
      </c>
      <c r="D49" s="18" t="s">
        <v>61</v>
      </c>
      <c r="E49" s="17" t="s">
        <v>94</v>
      </c>
      <c r="F49" s="18" t="s">
        <v>95</v>
      </c>
      <c r="G49" s="18" t="s">
        <v>81</v>
      </c>
      <c r="H49" s="17" t="s">
        <v>122</v>
      </c>
      <c r="I49" s="18" t="s">
        <v>63</v>
      </c>
      <c r="J49" s="18" t="s">
        <v>133</v>
      </c>
      <c r="K49" s="18" t="s">
        <v>134</v>
      </c>
      <c r="L49" s="18" t="s">
        <v>157</v>
      </c>
    </row>
    <row r="50" spans="1:12" ht="25.5" x14ac:dyDescent="0.2">
      <c r="A50" s="15" t="e">
        <f>IF(#REF! &lt;&gt;0,#REF!, "")</f>
        <v>#REF!</v>
      </c>
      <c r="B50" s="16" t="s">
        <v>99</v>
      </c>
      <c r="C50" s="17" t="s">
        <v>72</v>
      </c>
      <c r="D50" s="18" t="s">
        <v>61</v>
      </c>
      <c r="E50" s="17" t="s">
        <v>100</v>
      </c>
      <c r="F50" s="18" t="s">
        <v>63</v>
      </c>
      <c r="G50" s="18" t="s">
        <v>81</v>
      </c>
      <c r="H50" s="17" t="s">
        <v>107</v>
      </c>
      <c r="I50" s="18" t="s">
        <v>63</v>
      </c>
    </row>
    <row r="51" spans="1:12" x14ac:dyDescent="0.2">
      <c r="A51" s="15" t="e">
        <f>IF(#REF! &lt;&gt;0,#REF!, "")</f>
        <v>#REF!</v>
      </c>
    </row>
    <row r="52" spans="1:12" ht="25.5" x14ac:dyDescent="0.2">
      <c r="A52" s="15" t="e">
        <f>IF(#REF! &lt;&gt;0,#REF!, "")</f>
        <v>#REF!</v>
      </c>
      <c r="B52" s="16" t="s">
        <v>123</v>
      </c>
      <c r="C52" s="17" t="s">
        <v>60</v>
      </c>
      <c r="D52" s="18" t="s">
        <v>61</v>
      </c>
      <c r="E52" s="17" t="s">
        <v>116</v>
      </c>
      <c r="F52" s="18" t="s">
        <v>110</v>
      </c>
      <c r="G52" s="18" t="s">
        <v>124</v>
      </c>
      <c r="H52" s="17" t="s">
        <v>93</v>
      </c>
      <c r="I52" s="18" t="s">
        <v>63</v>
      </c>
      <c r="J52" s="18" t="s">
        <v>136</v>
      </c>
      <c r="K52" s="18" t="s">
        <v>137</v>
      </c>
      <c r="L52" s="18" t="s">
        <v>158</v>
      </c>
    </row>
    <row r="53" spans="1:12" x14ac:dyDescent="0.2">
      <c r="A53" s="15" t="e">
        <f>IF(#REF! &lt;&gt;0,#REF!, "")</f>
        <v>#REF!</v>
      </c>
    </row>
    <row r="54" spans="1:12" ht="25.5" x14ac:dyDescent="0.2">
      <c r="A54" s="15" t="e">
        <f>IF(#REF! &lt;&gt;0,#REF!, "")</f>
        <v>#REF!</v>
      </c>
      <c r="B54" s="16" t="s">
        <v>59</v>
      </c>
      <c r="C54" s="17" t="s">
        <v>72</v>
      </c>
      <c r="D54" s="18" t="s">
        <v>61</v>
      </c>
      <c r="E54" s="17" t="s">
        <v>62</v>
      </c>
      <c r="F54" s="18" t="s">
        <v>63</v>
      </c>
      <c r="G54" s="18" t="s">
        <v>67</v>
      </c>
      <c r="H54" s="17" t="s">
        <v>125</v>
      </c>
      <c r="I54" s="18" t="s">
        <v>63</v>
      </c>
      <c r="J54" s="18" t="s">
        <v>136</v>
      </c>
      <c r="K54" s="18" t="s">
        <v>137</v>
      </c>
      <c r="L54" s="18" t="s">
        <v>159</v>
      </c>
    </row>
    <row r="55" spans="1:12" x14ac:dyDescent="0.2">
      <c r="A55" s="15" t="e">
        <f>IF(#REF! &lt;&gt;0,#REF!, "")</f>
        <v>#REF!</v>
      </c>
    </row>
    <row r="56" spans="1:12" ht="25.5" x14ac:dyDescent="0.2">
      <c r="A56" s="15" t="e">
        <f>IF(#REF! &lt;&gt;0,#REF!, "")</f>
        <v>#REF!</v>
      </c>
      <c r="B56" s="16" t="s">
        <v>99</v>
      </c>
      <c r="C56" s="17" t="s">
        <v>72</v>
      </c>
      <c r="D56" s="18" t="s">
        <v>61</v>
      </c>
      <c r="E56" s="17" t="s">
        <v>113</v>
      </c>
      <c r="F56" s="18" t="s">
        <v>63</v>
      </c>
      <c r="G56" s="18" t="s">
        <v>114</v>
      </c>
      <c r="H56" s="17" t="s">
        <v>107</v>
      </c>
      <c r="I56" s="18" t="s">
        <v>63</v>
      </c>
      <c r="J56" s="18" t="s">
        <v>136</v>
      </c>
      <c r="K56" s="18" t="s">
        <v>137</v>
      </c>
      <c r="L56" s="18" t="s">
        <v>160</v>
      </c>
    </row>
    <row r="57" spans="1:12" ht="25.5" x14ac:dyDescent="0.2">
      <c r="A57" s="15" t="e">
        <f>IF(#REF! &lt;&gt;0,#REF!, "")</f>
        <v>#REF!</v>
      </c>
      <c r="B57" s="16" t="s">
        <v>68</v>
      </c>
      <c r="C57" s="17" t="s">
        <v>60</v>
      </c>
      <c r="D57" s="18" t="s">
        <v>69</v>
      </c>
      <c r="E57" s="17" t="s">
        <v>70</v>
      </c>
      <c r="F57" s="18" t="s">
        <v>126</v>
      </c>
      <c r="G57" s="18" t="s">
        <v>127</v>
      </c>
      <c r="H57" s="20" t="s">
        <v>71</v>
      </c>
      <c r="I57" s="18" t="s">
        <v>63</v>
      </c>
      <c r="J57" s="18" t="s">
        <v>133</v>
      </c>
      <c r="K57" s="18" t="s">
        <v>161</v>
      </c>
      <c r="L57" s="18" t="s">
        <v>162</v>
      </c>
    </row>
    <row r="58" spans="1:12" x14ac:dyDescent="0.2">
      <c r="A58" s="15" t="e">
        <f>IF(#REF! &lt;&gt;0,#REF!, "")</f>
        <v>#REF!</v>
      </c>
      <c r="B58" s="16" t="s">
        <v>128</v>
      </c>
    </row>
    <row r="59" spans="1:12" ht="25.5" x14ac:dyDescent="0.2">
      <c r="A59" s="15" t="e">
        <f>IF(#REF! &lt;&gt;0,#REF!, "")</f>
        <v>#REF!</v>
      </c>
      <c r="B59" s="16" t="s">
        <v>99</v>
      </c>
      <c r="C59" s="17" t="s">
        <v>72</v>
      </c>
      <c r="D59" s="18" t="s">
        <v>61</v>
      </c>
      <c r="E59" s="17" t="s">
        <v>100</v>
      </c>
      <c r="F59" s="18" t="s">
        <v>63</v>
      </c>
      <c r="G59" s="18" t="s">
        <v>129</v>
      </c>
      <c r="H59" s="17" t="s">
        <v>64</v>
      </c>
      <c r="I59" s="18" t="s">
        <v>63</v>
      </c>
      <c r="J59" s="18" t="s">
        <v>136</v>
      </c>
      <c r="K59" s="18" t="s">
        <v>137</v>
      </c>
      <c r="L59" s="18" t="s">
        <v>163</v>
      </c>
    </row>
    <row r="60" spans="1:12" x14ac:dyDescent="0.2">
      <c r="A60" s="15" t="e">
        <f>IF(#REF! &lt;&gt;0,#REF!, "")</f>
        <v>#REF!</v>
      </c>
    </row>
    <row r="61" spans="1:12" ht="25.5" x14ac:dyDescent="0.2">
      <c r="A61" s="15" t="e">
        <f>IF(#REF! &lt;&gt;0,#REF!, "")</f>
        <v>#REF!</v>
      </c>
      <c r="B61" s="16" t="s">
        <v>130</v>
      </c>
      <c r="C61" s="17" t="s">
        <v>79</v>
      </c>
      <c r="D61" s="18" t="s">
        <v>61</v>
      </c>
      <c r="E61" s="17" t="s">
        <v>131</v>
      </c>
      <c r="F61" s="18" t="s">
        <v>84</v>
      </c>
      <c r="G61" s="18" t="s">
        <v>86</v>
      </c>
      <c r="H61" s="17" t="s">
        <v>93</v>
      </c>
      <c r="I61" s="18" t="s">
        <v>132</v>
      </c>
    </row>
    <row r="62" spans="1:12" x14ac:dyDescent="0.2">
      <c r="A62" s="15" t="e">
        <f>IF(#REF! &lt;&gt;0,#REF!, "")</f>
        <v>#REF!</v>
      </c>
    </row>
    <row r="63" spans="1:12" x14ac:dyDescent="0.2">
      <c r="A63" s="15" t="e">
        <f>IF(#REF! &lt;&gt;0,#REF!, "")</f>
        <v>#REF!</v>
      </c>
    </row>
    <row r="64" spans="1:12" x14ac:dyDescent="0.2">
      <c r="A64" s="15" t="e">
        <f>IF(#REF! &lt;&gt;0,#REF!, "")</f>
        <v>#REF!</v>
      </c>
    </row>
    <row r="65" spans="1:1" x14ac:dyDescent="0.2">
      <c r="A65" s="15" t="e">
        <f>IF(#REF! &lt;&gt;0,#REF!, "")</f>
        <v>#REF!</v>
      </c>
    </row>
    <row r="66" spans="1:1" x14ac:dyDescent="0.2">
      <c r="A66" s="15" t="e">
        <f>IF(#REF! &lt;&gt;0,#REF!, "")</f>
        <v>#REF!</v>
      </c>
    </row>
    <row r="67" spans="1:1" x14ac:dyDescent="0.2">
      <c r="A67" s="15" t="e">
        <f>IF(#REF! &lt;&gt;0,#REF!, "")</f>
        <v>#REF!</v>
      </c>
    </row>
    <row r="68" spans="1:1" x14ac:dyDescent="0.2">
      <c r="A68" s="15" t="e">
        <f>IF(#REF! &lt;&gt;0,#REF!, "")</f>
        <v>#REF!</v>
      </c>
    </row>
    <row r="69" spans="1:1" x14ac:dyDescent="0.2">
      <c r="A69" s="15" t="e">
        <f>IF(#REF! &lt;&gt;0,#REF!, "")</f>
        <v>#REF!</v>
      </c>
    </row>
    <row r="70" spans="1:1" x14ac:dyDescent="0.2">
      <c r="A70" s="15" t="e">
        <f>IF(#REF! &lt;&gt;0,#REF!, "")</f>
        <v>#REF!</v>
      </c>
    </row>
    <row r="71" spans="1:1" x14ac:dyDescent="0.2">
      <c r="A71" s="15" t="e">
        <f>IF(#REF! &lt;&gt;0,#REF!, "")</f>
        <v>#REF!</v>
      </c>
    </row>
    <row r="72" spans="1:1" x14ac:dyDescent="0.2">
      <c r="A72" s="15" t="e">
        <f>IF(#REF! &lt;&gt;0,#REF!, "")</f>
        <v>#REF!</v>
      </c>
    </row>
    <row r="73" spans="1:1" x14ac:dyDescent="0.2">
      <c r="A73" s="15" t="e">
        <f>IF(#REF! &lt;&gt;0,#REF!, "")</f>
        <v>#REF!</v>
      </c>
    </row>
    <row r="74" spans="1:1" x14ac:dyDescent="0.2">
      <c r="A74" s="15" t="e">
        <f>IF(#REF! &lt;&gt;0,#REF!, "")</f>
        <v>#REF!</v>
      </c>
    </row>
    <row r="75" spans="1:1" x14ac:dyDescent="0.2">
      <c r="A75" s="15" t="e">
        <f>IF(#REF! &lt;&gt;0,#REF!, "")</f>
        <v>#REF!</v>
      </c>
    </row>
    <row r="76" spans="1:1" x14ac:dyDescent="0.2">
      <c r="A76" s="15" t="e">
        <f>IF(#REF! &lt;&gt;0,#REF!, "")</f>
        <v>#REF!</v>
      </c>
    </row>
    <row r="77" spans="1:1" x14ac:dyDescent="0.2">
      <c r="A77" s="15" t="e">
        <f>IF(#REF! &lt;&gt;0,#REF!, "")</f>
        <v>#REF!</v>
      </c>
    </row>
    <row r="78" spans="1:1" x14ac:dyDescent="0.2">
      <c r="A78" s="15" t="e">
        <f>IF(#REF! &lt;&gt;0,#REF!, "")</f>
        <v>#REF!</v>
      </c>
    </row>
    <row r="79" spans="1:1" x14ac:dyDescent="0.2">
      <c r="A79" s="15" t="e">
        <f>IF(#REF! &lt;&gt;0,#REF!, "")</f>
        <v>#REF!</v>
      </c>
    </row>
    <row r="80" spans="1:1" x14ac:dyDescent="0.2">
      <c r="A80" s="15" t="e">
        <f>IF(#REF! &lt;&gt;0,#REF!, "")</f>
        <v>#REF!</v>
      </c>
    </row>
    <row r="81" spans="1:1" x14ac:dyDescent="0.2">
      <c r="A81" s="15" t="e">
        <f>IF(#REF! &lt;&gt;0,#REF!, "")</f>
        <v>#REF!</v>
      </c>
    </row>
    <row r="82" spans="1:1" x14ac:dyDescent="0.2">
      <c r="A82" s="15" t="e">
        <f>IF(#REF! &lt;&gt;0,#REF!, "")</f>
        <v>#REF!</v>
      </c>
    </row>
    <row r="83" spans="1:1" x14ac:dyDescent="0.2">
      <c r="A83" s="15" t="e">
        <f>IF(#REF! &lt;&gt;0,#REF!, "")</f>
        <v>#REF!</v>
      </c>
    </row>
    <row r="84" spans="1:1" x14ac:dyDescent="0.2">
      <c r="A84" s="15" t="e">
        <f>IF(#REF! &lt;&gt;0,#REF!, "")</f>
        <v>#REF!</v>
      </c>
    </row>
    <row r="85" spans="1:1" x14ac:dyDescent="0.2">
      <c r="A85" s="15" t="e">
        <f>IF(#REF! &lt;&gt;0,#REF!, "")</f>
        <v>#REF!</v>
      </c>
    </row>
    <row r="86" spans="1:1" x14ac:dyDescent="0.2">
      <c r="A86" s="15" t="e">
        <f>IF(#REF! &lt;&gt;0,#REF!, "")</f>
        <v>#REF!</v>
      </c>
    </row>
    <row r="87" spans="1:1" x14ac:dyDescent="0.2">
      <c r="A87" s="15" t="e">
        <f>IF(#REF! &lt;&gt;0,#REF!, "")</f>
        <v>#REF!</v>
      </c>
    </row>
    <row r="88" spans="1:1" x14ac:dyDescent="0.2">
      <c r="A88" s="15" t="e">
        <f>IF(#REF! &lt;&gt;0,#REF!, "")</f>
        <v>#REF!</v>
      </c>
    </row>
    <row r="89" spans="1:1" x14ac:dyDescent="0.2">
      <c r="A89" s="15" t="e">
        <f>IF(#REF! &lt;&gt;0,#REF!, "")</f>
        <v>#REF!</v>
      </c>
    </row>
    <row r="90" spans="1:1" x14ac:dyDescent="0.2">
      <c r="A90" s="15" t="e">
        <f>IF(#REF! &lt;&gt;0,#REF!, "")</f>
        <v>#REF!</v>
      </c>
    </row>
    <row r="91" spans="1:1" x14ac:dyDescent="0.2">
      <c r="A91" s="15" t="e">
        <f>IF(#REF! &lt;&gt;0,#REF!, "")</f>
        <v>#REF!</v>
      </c>
    </row>
    <row r="92" spans="1:1" x14ac:dyDescent="0.2">
      <c r="A92" s="15" t="e">
        <f>IF(#REF! &lt;&gt;0,#REF!, "")</f>
        <v>#REF!</v>
      </c>
    </row>
    <row r="93" spans="1:1" x14ac:dyDescent="0.2">
      <c r="A93" s="15" t="e">
        <f>IF(#REF! &lt;&gt;0,#REF!, "")</f>
        <v>#REF!</v>
      </c>
    </row>
    <row r="94" spans="1:1" x14ac:dyDescent="0.2">
      <c r="A94" s="15" t="e">
        <f>IF(#REF! &lt;&gt;0,#REF!, "")</f>
        <v>#REF!</v>
      </c>
    </row>
    <row r="95" spans="1:1" x14ac:dyDescent="0.2">
      <c r="A95" s="15" t="e">
        <f>IF(#REF! &lt;&gt;0,#REF!, "")</f>
        <v>#REF!</v>
      </c>
    </row>
    <row r="96" spans="1:1" x14ac:dyDescent="0.2">
      <c r="A96" s="15" t="e">
        <f>IF(#REF! &lt;&gt;0,#REF!, "")</f>
        <v>#REF!</v>
      </c>
    </row>
    <row r="97" spans="1:1" x14ac:dyDescent="0.2">
      <c r="A97" s="15" t="e">
        <f>IF(#REF! &lt;&gt;0,#REF!, "")</f>
        <v>#REF!</v>
      </c>
    </row>
    <row r="98" spans="1:1" x14ac:dyDescent="0.2">
      <c r="A98" s="15" t="e">
        <f>IF(#REF! &lt;&gt;0,#REF!, "")</f>
        <v>#REF!</v>
      </c>
    </row>
    <row r="99" spans="1:1" x14ac:dyDescent="0.2">
      <c r="A99" s="15" t="e">
        <f>IF(#REF! &lt;&gt;0,#REF!, "")</f>
        <v>#REF!</v>
      </c>
    </row>
    <row r="100" spans="1:1" x14ac:dyDescent="0.2">
      <c r="A100" s="15" t="e">
        <f>IF(#REF! &lt;&gt;0,#REF!, "")</f>
        <v>#REF!</v>
      </c>
    </row>
  </sheetData>
  <customSheetViews>
    <customSheetView guid="{2609CDC0-A8B5-11D3-9B4D-00A0C95D44E4}" showPageBreaks="1" showRuler="0">
      <pane ySplit="2" topLeftCell="A34" activePane="bottomLeft"/>
      <selection pane="bottomLeft" activeCell="C13" sqref="C13"/>
      <pageMargins left="0.35433070866141736" right="0.35433070866141736" top="0" bottom="0" header="0.51181102362204722" footer="0.51181102362204722"/>
      <printOptions gridLines="1"/>
      <pageSetup paperSize="9" orientation="landscape" horizontalDpi="300" verticalDpi="300" r:id="rId1"/>
      <headerFooter alignWithMargins="0"/>
    </customSheetView>
  </customSheetViews>
  <phoneticPr fontId="0" type="noConversion"/>
  <printOptions gridLines="1"/>
  <pageMargins left="0.35433070866141736" right="0.35433070866141736" top="0" bottom="0" header="0.51181102362204722" footer="0.51181102362204722"/>
  <pageSetup paperSize="9" orientation="landscape" horizontalDpi="300" verticalDpi="300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Phone List Split by site</vt:lpstr>
      <vt:lpstr>Phonelist by Extension</vt:lpstr>
      <vt:lpstr>Equipment List</vt:lpstr>
      <vt:lpstr>'Phone List Split by site'!Print_Area</vt:lpstr>
    </vt:vector>
  </TitlesOfParts>
  <Company>Eagle Datamation International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Australian White Pages(TM) directory</dc:title>
  <dc:creator>Chrystalla</dc:creator>
  <cp:lastModifiedBy>Enguerran Gillet</cp:lastModifiedBy>
  <cp:lastPrinted>2003-08-28T02:45:47Z</cp:lastPrinted>
  <dcterms:created xsi:type="dcterms:W3CDTF">1999-07-27T07:51:24Z</dcterms:created>
  <dcterms:modified xsi:type="dcterms:W3CDTF">2013-10-28T00:58:53Z</dcterms:modified>
</cp:coreProperties>
</file>
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ivotTables/pivotTable5.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Pricelist\Jan23\"/>
    </mc:Choice>
  </mc:AlternateContent>
  <xr:revisionPtr revIDLastSave="0" documentId="13_ncr:1_{05A82EF1-85E1-408F-95BF-3BC196EECDE5}" xr6:coauthVersionLast="47" xr6:coauthVersionMax="47" xr10:uidLastSave="{00000000-0000-0000-0000-000000000000}"/>
  <bookViews>
    <workbookView xWindow="-28903" yWindow="5451" windowWidth="29006" windowHeight="15806" tabRatio="940" xr2:uid="{80A51681-0353-4CFA-A2D7-9C8BB4A25893}"/>
  </bookViews>
  <sheets>
    <sheet name="Version history" sheetId="32" r:id="rId1"/>
    <sheet name="ExchangeRates" sheetId="28" r:id="rId2"/>
    <sheet name="STL CWcloud Pricelist Pivot" sheetId="15" r:id="rId3"/>
    <sheet name="STL Pricelist Client Template" sheetId="2" r:id="rId4"/>
    <sheet name="STL Pricelist Pivot" sheetId="9" r:id="rId5"/>
    <sheet name="eServices Pricelist Pivot" sheetId="13" r:id="rId6"/>
    <sheet name="e-Services Footer" sheetId="29" r:id="rId7"/>
    <sheet name="LDaaS Pricelist Pivot" sheetId="11" r:id="rId8"/>
    <sheet name="LDaaS Footer" sheetId="31" r:id="rId9"/>
    <sheet name="BorderWise Client Template" sheetId="26" r:id="rId10"/>
    <sheet name="BorderWise Pricelist Pivot" sheetId="27" r:id="rId11"/>
    <sheet name="BorderWise Footer" sheetId="30" r:id="rId12"/>
    <sheet name="ABM Customs Template" sheetId="8" r:id="rId13"/>
    <sheet name="3rd Party Transactions Template" sheetId="6" r:id="rId14"/>
    <sheet name="STL Discounts Template" sheetId="7" r:id="rId15"/>
  </sheets>
  <externalReferences>
    <externalReference r:id="rId16"/>
    <externalReference r:id="rId17"/>
    <externalReference r:id="rId18"/>
  </externalReferences>
  <definedNames>
    <definedName name="BorderWiseFooter">'BorderWise Footer'!$B$2:$I$20</definedName>
    <definedName name="BRDPriceListVersion" localSheetId="11">'[1]Global Settings'!#REF!</definedName>
    <definedName name="BRDPriceListVersion" localSheetId="6">'[1]Global Settings'!#REF!</definedName>
    <definedName name="BRDPriceListVersion" localSheetId="8">'[1]Global Settings'!#REF!</definedName>
    <definedName name="BRDPriceListVersion">'[2]Global Settings'!#REF!</definedName>
    <definedName name="cellClientPriceListLocation">#REF!</definedName>
    <definedName name="cellClientPriceListPDFLocation">#REF!</definedName>
    <definedName name="cellMasterSheetFullName">#REF!</definedName>
    <definedName name="ColAvailable" localSheetId="2">'STL CWcloud Pricelist Pivot'!$E$9:$E$215</definedName>
    <definedName name="ColAvailable">'STL Pricelist Pivot'!$E$19:$E$225</definedName>
    <definedName name="Discount_Structure">'[3]I-Assumptions'!$A$60:$A$66</definedName>
    <definedName name="Discount_Structure_Lookup">'[3]I-Assumptions'!$A$60:$O$66</definedName>
    <definedName name="EServicesFooter">'e-Services Footer'!$B$3:$C$21</definedName>
    <definedName name="ExRates">'[3]I-Assumptions'!$A$9:$E$19</definedName>
    <definedName name="ExRates20.07">'[3]I-Assumptions'!#REF!</definedName>
    <definedName name="ExRatesLDAAS">'[3]I-Assumptions'!$M$8:$Q$19</definedName>
    <definedName name="GSSPriceListVersion" localSheetId="11">'[1]Global Settings'!#REF!</definedName>
    <definedName name="GSSPriceListVersion" localSheetId="6">'[1]Global Settings'!#REF!</definedName>
    <definedName name="GSSPriceListVersion" localSheetId="8">'[1]Global Settings'!#REF!</definedName>
    <definedName name="GSSPriceListVersion">'[2]Global Settings'!#REF!</definedName>
    <definedName name="GTM_ExRates">'[3]I-Assumptions'!$G$7:$K$19</definedName>
    <definedName name="ID" localSheetId="13" hidden="1">"16dfe3de-a81e-401c-8bc9-d22ca86b704a"</definedName>
    <definedName name="ID" localSheetId="12" hidden="1">"964f8a4b-92eb-44e1-8a3d-75c70760426b"</definedName>
    <definedName name="ID" localSheetId="9" hidden="1">"4923c9ff-fbe9-4115-a16f-5e2be0b417e1"</definedName>
    <definedName name="ID" localSheetId="11" hidden="1">"0f705002-0c1d-4b16-bdcd-091bd32f2266"</definedName>
    <definedName name="ID" localSheetId="10" hidden="1">"dcec0a2e-0f2b-44fc-bcad-8603572b871e"</definedName>
    <definedName name="ID" localSheetId="6" hidden="1">"1f05272e-ead7-4ffd-a831-ff9ac356e711"</definedName>
    <definedName name="ID" localSheetId="5" hidden="1">"b48f3e6b-c02b-4002-9664-c83720ab4a19"</definedName>
    <definedName name="ID" localSheetId="1" hidden="1">"d9e882a5-5bda-4f0f-b59f-32e68f733fc2"</definedName>
    <definedName name="ID" localSheetId="8" hidden="1">"de3211e2-92c6-4b72-a661-2b8b7bfcc437"</definedName>
    <definedName name="ID" localSheetId="7" hidden="1">"fcfaa98c-57ae-4bd4-aa24-7ab4374c8f26"</definedName>
    <definedName name="ID" localSheetId="2" hidden="1">"aac50609-1273-4704-8874-81f0a849b7d0"</definedName>
    <definedName name="ID" localSheetId="14" hidden="1">"29c3c169-8309-4da8-a390-6cf86f035a14"</definedName>
    <definedName name="ID" localSheetId="3" hidden="1">"e0dcf3ea-3bb0-4f88-945e-3082e541b594"</definedName>
    <definedName name="ID" localSheetId="4" hidden="1">"02e9655d-3f4a-41f9-9335-15bde2e6b510"</definedName>
    <definedName name="ID" localSheetId="0" hidden="1">"20e2e0b4-377c-43cf-8f82-fa01b1ce5b01"</definedName>
    <definedName name="LDaaSFooter">'LDaaS Footer'!$B$2:$C$3</definedName>
    <definedName name="STLDiscountVolumeFooter">'STL Discounts Template'!$B$29:$C$29</definedName>
    <definedName name="TPTLCLAutomation">[2]!TPT_LCLAutomation[Price per LCL Booking (USD)*]</definedName>
  </definedNames>
  <calcPr calcId="191029"/>
  <pivotCaches>
    <pivotCache cacheId="1506" r:id="rId19"/>
    <pivotCache cacheId="1507"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7" i="26" l="1"/>
  <c r="N36" i="26"/>
  <c r="N35" i="26"/>
  <c r="N34" i="26"/>
  <c r="N33" i="26"/>
  <c r="N32" i="26"/>
  <c r="N31" i="26"/>
  <c r="N30" i="26"/>
  <c r="N29" i="26"/>
  <c r="N28" i="26"/>
  <c r="N27" i="26"/>
  <c r="N26" i="26"/>
  <c r="N25" i="26"/>
  <c r="N24" i="26"/>
  <c r="N23" i="26"/>
  <c r="N22" i="26"/>
  <c r="N21" i="26"/>
  <c r="N20" i="26"/>
  <c r="N19" i="26"/>
  <c r="N18" i="26"/>
  <c r="N17" i="26"/>
  <c r="N16" i="26"/>
  <c r="N15" i="26"/>
  <c r="N14" i="26"/>
  <c r="N13" i="26"/>
  <c r="N12" i="26"/>
  <c r="N11" i="26"/>
  <c r="N10" i="26"/>
  <c r="N9" i="26"/>
  <c r="N8" i="26"/>
  <c r="N7" i="26"/>
  <c r="R3" i="2" l="1" a="1"/>
  <c r="R3" i="2"/>
  <c r="R4" i="2" a="1"/>
  <c r="R4" i="2" s="1"/>
  <c r="R5" i="2" a="1"/>
  <c r="R5" i="2"/>
  <c r="R6" i="2" a="1"/>
  <c r="R6" i="2" s="1"/>
  <c r="R7" i="2" a="1"/>
  <c r="R7" i="2"/>
  <c r="R8" i="2" a="1"/>
  <c r="R8" i="2" s="1"/>
  <c r="R9" i="2" a="1"/>
  <c r="R9" i="2"/>
  <c r="R10" i="2" a="1"/>
  <c r="R10" i="2" s="1"/>
  <c r="R11" i="2" a="1"/>
  <c r="R11" i="2"/>
  <c r="R12" i="2" a="1"/>
  <c r="R12" i="2" s="1"/>
  <c r="R13" i="2" a="1"/>
  <c r="R13" i="2"/>
  <c r="R14" i="2" a="1"/>
  <c r="R14" i="2" s="1"/>
  <c r="R15" i="2" a="1"/>
  <c r="R15" i="2"/>
  <c r="R16" i="2" a="1"/>
  <c r="R16" i="2" s="1"/>
  <c r="R17" i="2" a="1"/>
  <c r="R17" i="2"/>
  <c r="R18" i="2" a="1"/>
  <c r="R18" i="2" s="1"/>
  <c r="R19" i="2" a="1"/>
  <c r="R19" i="2"/>
  <c r="R20" i="2" a="1"/>
  <c r="R20" i="2" s="1"/>
  <c r="R21" i="2" a="1"/>
  <c r="R21" i="2"/>
  <c r="R22" i="2" a="1"/>
  <c r="R22" i="2" s="1"/>
  <c r="R23" i="2" a="1"/>
  <c r="R23" i="2"/>
  <c r="R24" i="2" a="1"/>
  <c r="R24" i="2" s="1"/>
  <c r="R25" i="2" a="1"/>
  <c r="R25" i="2"/>
  <c r="R26" i="2" a="1"/>
  <c r="R26" i="2" s="1"/>
  <c r="R27" i="2" a="1"/>
  <c r="R27" i="2"/>
  <c r="R28" i="2" a="1"/>
  <c r="R28" i="2" s="1"/>
  <c r="R29" i="2" a="1"/>
  <c r="R29" i="2"/>
  <c r="R30" i="2" a="1"/>
  <c r="R30" i="2" s="1"/>
  <c r="R31" i="2" a="1"/>
  <c r="R31" i="2"/>
  <c r="R32" i="2" a="1"/>
  <c r="R32" i="2" s="1"/>
  <c r="R33" i="2" a="1"/>
  <c r="R33" i="2"/>
  <c r="R34" i="2" a="1"/>
  <c r="R34" i="2" s="1"/>
  <c r="R35" i="2" a="1"/>
  <c r="R35" i="2"/>
  <c r="R36" i="2" a="1"/>
  <c r="R36" i="2" s="1"/>
  <c r="R37" i="2" a="1"/>
  <c r="R37" i="2"/>
  <c r="R38" i="2" a="1"/>
  <c r="R38" i="2" s="1"/>
  <c r="R39" i="2" a="1"/>
  <c r="R39" i="2"/>
  <c r="R40" i="2" a="1"/>
  <c r="R40" i="2" s="1"/>
  <c r="R41" i="2" a="1"/>
  <c r="R41" i="2"/>
  <c r="R42" i="2" a="1"/>
  <c r="R42" i="2" s="1"/>
  <c r="R43" i="2" a="1"/>
  <c r="R43" i="2"/>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M7" i="26"/>
  <c r="M8" i="26"/>
  <c r="M9" i="26"/>
  <c r="M10" i="26"/>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AD3" i="2"/>
  <c r="J6" i="15" a="1"/>
  <c r="J6" i="15" s="1"/>
  <c r="J4" i="13" a="1"/>
  <c r="J4" i="13" s="1"/>
  <c r="I4" i="13" a="1"/>
  <c r="I4" i="13" s="1"/>
  <c r="I6" i="15" a="1"/>
  <c r="I6" i="15" s="1"/>
  <c r="J16" i="9" a="1"/>
  <c r="J16" i="9" s="1"/>
  <c r="I16" i="9" a="1"/>
  <c r="I16" i="9" s="1"/>
  <c r="C159" i="7"/>
  <c r="C158" i="7"/>
  <c r="C157" i="7"/>
  <c r="C156" i="7"/>
  <c r="C150" i="7"/>
  <c r="C149" i="7"/>
  <c r="C148" i="7"/>
  <c r="C147" i="7"/>
  <c r="C146" i="7"/>
  <c r="C141" i="7"/>
  <c r="C140" i="7"/>
  <c r="C139" i="7"/>
  <c r="C138" i="7"/>
  <c r="C137" i="7"/>
  <c r="C77" i="6" l="1"/>
  <c r="C78" i="6" s="1"/>
  <c r="C79" i="6" s="1"/>
  <c r="C80" i="6" s="1"/>
  <c r="C81" i="6"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J3" i="11" a="1"/>
  <c r="J3" i="11" s="1"/>
  <c r="I3" i="11" a="1"/>
  <c r="I3" i="11" s="1"/>
  <c r="D4" i="28" l="1"/>
  <c r="Q3" i="2" a="1"/>
  <c r="Q3" i="2" s="1"/>
  <c r="P3" i="2" s="1" a="1"/>
  <c r="P3" i="2" s="1"/>
  <c r="Q4" i="2" a="1"/>
  <c r="Q4" i="2" s="1"/>
  <c r="P4" i="2" s="1" a="1"/>
  <c r="P4" i="2" s="1"/>
  <c r="Q5" i="2" a="1"/>
  <c r="Q5" i="2" s="1"/>
  <c r="P5" i="2" s="1" a="1"/>
  <c r="P5" i="2" s="1"/>
  <c r="Q6" i="2" a="1"/>
  <c r="Q6" i="2" s="1"/>
  <c r="P6" i="2" s="1" a="1"/>
  <c r="P6" i="2" s="1"/>
  <c r="Q7" i="2" a="1"/>
  <c r="Q7" i="2" s="1"/>
  <c r="P7" i="2" s="1" a="1"/>
  <c r="P7" i="2" s="1"/>
  <c r="Q8" i="2" a="1"/>
  <c r="Q8" i="2" s="1"/>
  <c r="P8" i="2" s="1" a="1"/>
  <c r="P8" i="2" s="1"/>
  <c r="Q9" i="2" a="1"/>
  <c r="Q9" i="2" s="1"/>
  <c r="P9" i="2" s="1" a="1"/>
  <c r="P9" i="2" s="1"/>
  <c r="Q10" i="2" a="1"/>
  <c r="Q10" i="2" s="1"/>
  <c r="P10" i="2" s="1" a="1"/>
  <c r="P10" i="2" s="1"/>
  <c r="Q11" i="2" a="1"/>
  <c r="Q11" i="2" s="1"/>
  <c r="P11" i="2" s="1" a="1"/>
  <c r="P11" i="2" s="1"/>
  <c r="Q12" i="2" a="1"/>
  <c r="Q12" i="2" s="1"/>
  <c r="P12" i="2" s="1" a="1"/>
  <c r="P12" i="2" s="1"/>
  <c r="Q13" i="2" a="1"/>
  <c r="Q13" i="2" s="1"/>
  <c r="P13" i="2" s="1" a="1"/>
  <c r="P13" i="2" s="1"/>
  <c r="Q14" i="2" a="1"/>
  <c r="Q14" i="2" s="1"/>
  <c r="P14" i="2" s="1" a="1"/>
  <c r="P14" i="2" s="1"/>
  <c r="Q15" i="2" a="1"/>
  <c r="Q15" i="2" s="1"/>
  <c r="P15" i="2" s="1" a="1"/>
  <c r="P15" i="2" s="1"/>
  <c r="Q16" i="2" a="1"/>
  <c r="Q16" i="2" s="1"/>
  <c r="Q17" i="2" a="1"/>
  <c r="Q17" i="2" s="1"/>
  <c r="P17" i="2" s="1" a="1"/>
  <c r="P17" i="2" s="1"/>
  <c r="Q18" i="2" a="1"/>
  <c r="Q18" i="2" s="1"/>
  <c r="P18" i="2" s="1" a="1"/>
  <c r="P18" i="2" s="1"/>
  <c r="Q19" i="2" a="1"/>
  <c r="Q19" i="2" s="1"/>
  <c r="P19" i="2" s="1" a="1"/>
  <c r="P19" i="2" s="1"/>
  <c r="Q20" i="2" a="1"/>
  <c r="Q20" i="2" s="1"/>
  <c r="P20" i="2" s="1" a="1"/>
  <c r="P20" i="2" s="1"/>
  <c r="Q21" i="2" a="1"/>
  <c r="Q21" i="2" s="1"/>
  <c r="P21" i="2" s="1" a="1"/>
  <c r="P21" i="2" s="1"/>
  <c r="Q22" i="2" a="1"/>
  <c r="Q22" i="2" s="1"/>
  <c r="P22" i="2" s="1" a="1"/>
  <c r="P22" i="2" s="1"/>
  <c r="Q23" i="2" a="1"/>
  <c r="Q23" i="2" s="1"/>
  <c r="P23" i="2" s="1" a="1"/>
  <c r="P23" i="2" s="1"/>
  <c r="Q24" i="2" a="1"/>
  <c r="Q24" i="2" s="1"/>
  <c r="Q25" i="2" a="1"/>
  <c r="Q25" i="2" s="1"/>
  <c r="P25" i="2" s="1" a="1"/>
  <c r="P25" i="2" s="1"/>
  <c r="Q26" i="2" a="1"/>
  <c r="Q26" i="2" s="1"/>
  <c r="P26" i="2" s="1" a="1"/>
  <c r="P26" i="2" s="1"/>
  <c r="Q27" i="2" a="1"/>
  <c r="Q27" i="2" s="1"/>
  <c r="P27" i="2" s="1" a="1"/>
  <c r="P27" i="2" s="1"/>
  <c r="Q28" i="2" a="1"/>
  <c r="Q28" i="2" s="1"/>
  <c r="P28" i="2" s="1" a="1"/>
  <c r="P28" i="2" s="1"/>
  <c r="Q29" i="2" a="1"/>
  <c r="Q29" i="2" s="1"/>
  <c r="P29" i="2" s="1" a="1"/>
  <c r="P29" i="2" s="1"/>
  <c r="Q30" i="2" a="1"/>
  <c r="Q30" i="2" s="1"/>
  <c r="P30" i="2" s="1" a="1"/>
  <c r="P30" i="2" s="1"/>
  <c r="Q31" i="2" a="1"/>
  <c r="Q31" i="2" s="1"/>
  <c r="P31" i="2" s="1" a="1"/>
  <c r="P31" i="2" s="1"/>
  <c r="Q32" i="2" a="1"/>
  <c r="Q32" i="2" s="1"/>
  <c r="P32" i="2" s="1" a="1"/>
  <c r="P32" i="2" s="1"/>
  <c r="Q33" i="2" a="1"/>
  <c r="Q33" i="2" s="1"/>
  <c r="P33" i="2" s="1" a="1"/>
  <c r="P33" i="2" s="1"/>
  <c r="Q34" i="2" a="1"/>
  <c r="Q34" i="2" s="1"/>
  <c r="P34" i="2" s="1" a="1"/>
  <c r="P34" i="2" s="1"/>
  <c r="Q35" i="2" a="1"/>
  <c r="Q35" i="2" s="1"/>
  <c r="P35" i="2" s="1" a="1"/>
  <c r="P35" i="2" s="1"/>
  <c r="Q36" i="2" a="1"/>
  <c r="Q36" i="2" s="1"/>
  <c r="P36" i="2" s="1" a="1"/>
  <c r="P36" i="2" s="1"/>
  <c r="Q37" i="2" a="1"/>
  <c r="Q37" i="2" s="1"/>
  <c r="P37" i="2" s="1" a="1"/>
  <c r="P37" i="2" s="1"/>
  <c r="Q38" i="2" a="1"/>
  <c r="Q38" i="2" s="1"/>
  <c r="P38" i="2" s="1" a="1"/>
  <c r="P38" i="2" s="1"/>
  <c r="Q39" i="2" a="1"/>
  <c r="Q39" i="2" s="1"/>
  <c r="P39" i="2" s="1" a="1"/>
  <c r="P39" i="2" s="1"/>
  <c r="Q40" i="2" a="1"/>
  <c r="Q40" i="2" s="1"/>
  <c r="P40" i="2" s="1" a="1"/>
  <c r="P40" i="2" s="1"/>
  <c r="Q41" i="2" a="1"/>
  <c r="Q41" i="2" s="1"/>
  <c r="P41" i="2" s="1" a="1"/>
  <c r="P41" i="2" s="1"/>
  <c r="Q42" i="2" a="1"/>
  <c r="Q42" i="2" s="1"/>
  <c r="P42" i="2" s="1" a="1"/>
  <c r="P42" i="2" s="1"/>
  <c r="Q43" i="2" a="1"/>
  <c r="Q43" i="2" s="1"/>
  <c r="P43" i="2" s="1" a="1"/>
  <c r="P43" i="2" s="1"/>
  <c r="Q44" i="2" a="1"/>
  <c r="Q44" i="2" s="1"/>
  <c r="P44" i="2" s="1" a="1"/>
  <c r="P44" i="2" s="1"/>
  <c r="Q45" i="2" a="1"/>
  <c r="Q45" i="2" s="1"/>
  <c r="P45" i="2" s="1" a="1"/>
  <c r="P45" i="2" s="1"/>
  <c r="Q46" i="2" a="1"/>
  <c r="Q46" i="2" s="1"/>
  <c r="P46" i="2" s="1" a="1"/>
  <c r="P46" i="2" s="1"/>
  <c r="Q47" i="2" a="1"/>
  <c r="Q47" i="2" s="1"/>
  <c r="P47" i="2" s="1" a="1"/>
  <c r="P47" i="2" s="1"/>
  <c r="Q48" i="2" a="1"/>
  <c r="Q48" i="2" s="1"/>
  <c r="P48" i="2" s="1" a="1"/>
  <c r="P48" i="2" s="1"/>
  <c r="Q49" i="2" a="1"/>
  <c r="Q49" i="2" s="1"/>
  <c r="P49" i="2" s="1" a="1"/>
  <c r="P49" i="2" s="1"/>
  <c r="Q50" i="2" a="1"/>
  <c r="Q50" i="2" s="1"/>
  <c r="P50" i="2" s="1" a="1"/>
  <c r="P50" i="2" s="1"/>
  <c r="Q51" i="2" a="1"/>
  <c r="Q51" i="2" s="1"/>
  <c r="P51" i="2" s="1" a="1"/>
  <c r="P51" i="2" s="1"/>
  <c r="Q52" i="2" a="1"/>
  <c r="Q52" i="2" s="1"/>
  <c r="P52" i="2" s="1" a="1"/>
  <c r="P52" i="2" s="1"/>
  <c r="Q53" i="2" a="1"/>
  <c r="Q53" i="2" s="1"/>
  <c r="P53" i="2" s="1" a="1"/>
  <c r="P53" i="2" s="1"/>
  <c r="Q54" i="2" a="1"/>
  <c r="Q54" i="2" s="1"/>
  <c r="P54" i="2" s="1" a="1"/>
  <c r="P54" i="2" s="1"/>
  <c r="Q55" i="2" a="1"/>
  <c r="Q55" i="2" s="1"/>
  <c r="P55" i="2" s="1" a="1"/>
  <c r="P55" i="2" s="1"/>
  <c r="Q56" i="2" a="1"/>
  <c r="Q56" i="2" s="1"/>
  <c r="P56" i="2" s="1" a="1"/>
  <c r="P56" i="2" s="1"/>
  <c r="Q57" i="2" a="1"/>
  <c r="Q57" i="2" s="1"/>
  <c r="P57" i="2" s="1" a="1"/>
  <c r="P57" i="2" s="1"/>
  <c r="Q58" i="2" a="1"/>
  <c r="Q58" i="2" s="1"/>
  <c r="P58" i="2" s="1" a="1"/>
  <c r="P58" i="2" s="1"/>
  <c r="Q59" i="2" a="1"/>
  <c r="Q59" i="2" s="1"/>
  <c r="P59" i="2" s="1" a="1"/>
  <c r="P59" i="2" s="1"/>
  <c r="Q60" i="2" a="1"/>
  <c r="Q60" i="2" s="1"/>
  <c r="P60" i="2" s="1" a="1"/>
  <c r="P60" i="2" s="1"/>
  <c r="Q61" i="2" a="1"/>
  <c r="Q61" i="2" s="1"/>
  <c r="P61" i="2" s="1" a="1"/>
  <c r="P61" i="2" s="1"/>
  <c r="Q62" i="2" a="1"/>
  <c r="Q62" i="2" s="1"/>
  <c r="Q63" i="2" a="1"/>
  <c r="Q63" i="2" s="1"/>
  <c r="P63" i="2" s="1" a="1"/>
  <c r="P63" i="2" s="1"/>
  <c r="Q64" i="2" a="1"/>
  <c r="Q64" i="2" s="1"/>
  <c r="Q65" i="2" a="1"/>
  <c r="Q65" i="2" s="1"/>
  <c r="P65" i="2" s="1" a="1"/>
  <c r="P65" i="2" s="1"/>
  <c r="Q66" i="2" a="1"/>
  <c r="Q66" i="2" s="1"/>
  <c r="P66" i="2" s="1" a="1"/>
  <c r="P66" i="2" s="1"/>
  <c r="Q67" i="2" a="1"/>
  <c r="Q67" i="2" s="1"/>
  <c r="P67" i="2" s="1" a="1"/>
  <c r="P67" i="2" s="1"/>
  <c r="Q68" i="2" a="1"/>
  <c r="Q68" i="2" s="1"/>
  <c r="P68" i="2" s="1" a="1"/>
  <c r="P68" i="2" s="1"/>
  <c r="Q69" i="2" a="1"/>
  <c r="Q69" i="2" s="1"/>
  <c r="P69" i="2" s="1" a="1"/>
  <c r="P69" i="2" s="1"/>
  <c r="Q70" i="2" a="1"/>
  <c r="Q70" i="2" s="1"/>
  <c r="P70" i="2" s="1" a="1"/>
  <c r="P70" i="2" s="1"/>
  <c r="Q71" i="2" a="1"/>
  <c r="Q71" i="2" s="1"/>
  <c r="P71" i="2" s="1" a="1"/>
  <c r="P71" i="2" s="1"/>
  <c r="Q72" i="2" a="1"/>
  <c r="Q72" i="2" s="1"/>
  <c r="P72" i="2" s="1" a="1"/>
  <c r="P72" i="2" s="1"/>
  <c r="Q73" i="2" a="1"/>
  <c r="Q73" i="2" s="1"/>
  <c r="P73" i="2" s="1" a="1"/>
  <c r="P73" i="2" s="1"/>
  <c r="Q74" i="2" a="1"/>
  <c r="Q74" i="2" s="1"/>
  <c r="P74" i="2" s="1" a="1"/>
  <c r="P74" i="2" s="1"/>
  <c r="Q75" i="2" a="1"/>
  <c r="Q75" i="2" s="1"/>
  <c r="P75" i="2" s="1" a="1"/>
  <c r="P75" i="2" s="1"/>
  <c r="Q76" i="2" a="1"/>
  <c r="Q76" i="2" s="1"/>
  <c r="P76" i="2" s="1" a="1"/>
  <c r="P76" i="2" s="1"/>
  <c r="Q77" i="2" a="1"/>
  <c r="Q77" i="2" s="1"/>
  <c r="P77" i="2" s="1" a="1"/>
  <c r="P77" i="2" s="1"/>
  <c r="Q78" i="2" a="1"/>
  <c r="Q78" i="2" s="1"/>
  <c r="P78" i="2" s="1" a="1"/>
  <c r="P78" i="2" s="1"/>
  <c r="Q79" i="2" a="1"/>
  <c r="Q79" i="2" s="1"/>
  <c r="P79" i="2" s="1" a="1"/>
  <c r="P79" i="2" s="1"/>
  <c r="Q80" i="2" a="1"/>
  <c r="Q80" i="2" s="1"/>
  <c r="Q81" i="2" a="1"/>
  <c r="Q81" i="2" s="1"/>
  <c r="P81" i="2" s="1" a="1"/>
  <c r="P81" i="2" s="1"/>
  <c r="Q82" i="2" a="1"/>
  <c r="Q82" i="2" s="1"/>
  <c r="P82" i="2" s="1" a="1"/>
  <c r="P82" i="2" s="1"/>
  <c r="Q83" i="2" a="1"/>
  <c r="Q83" i="2" s="1"/>
  <c r="P83" i="2" s="1" a="1"/>
  <c r="P83" i="2" s="1"/>
  <c r="Q84" i="2" a="1"/>
  <c r="Q84" i="2" s="1"/>
  <c r="P84" i="2" s="1" a="1"/>
  <c r="P84" i="2" s="1"/>
  <c r="Q85" i="2" a="1"/>
  <c r="Q85" i="2" s="1"/>
  <c r="P85" i="2" s="1" a="1"/>
  <c r="P85" i="2" s="1"/>
  <c r="Q86" i="2" a="1"/>
  <c r="Q86" i="2" s="1"/>
  <c r="P86" i="2" s="1" a="1"/>
  <c r="P86" i="2" s="1"/>
  <c r="Q87" i="2" a="1"/>
  <c r="Q87" i="2" s="1"/>
  <c r="P87" i="2" s="1" a="1"/>
  <c r="P87" i="2" s="1"/>
  <c r="Q88" i="2" a="1"/>
  <c r="Q88" i="2" s="1"/>
  <c r="P88" i="2" s="1" a="1"/>
  <c r="P88" i="2" s="1"/>
  <c r="Q89" i="2" a="1"/>
  <c r="Q89" i="2" s="1"/>
  <c r="P89" i="2" s="1" a="1"/>
  <c r="P89" i="2" s="1"/>
  <c r="Q90" i="2" a="1"/>
  <c r="Q90" i="2" s="1"/>
  <c r="P90" i="2" s="1" a="1"/>
  <c r="P90" i="2" s="1"/>
  <c r="Q91" i="2" a="1"/>
  <c r="Q91" i="2" s="1"/>
  <c r="P91" i="2" s="1" a="1"/>
  <c r="P91" i="2" s="1"/>
  <c r="Q92" i="2" a="1"/>
  <c r="Q92" i="2" s="1"/>
  <c r="P92" i="2" s="1" a="1"/>
  <c r="P92" i="2" s="1"/>
  <c r="Q93" i="2" a="1"/>
  <c r="Q93" i="2" s="1"/>
  <c r="P93" i="2" s="1" a="1"/>
  <c r="P93" i="2" s="1"/>
  <c r="Q94" i="2" a="1"/>
  <c r="Q94" i="2" s="1"/>
  <c r="P94" i="2" s="1" a="1"/>
  <c r="P94" i="2" s="1"/>
  <c r="Q95" i="2" a="1"/>
  <c r="Q95" i="2" s="1"/>
  <c r="P95" i="2" s="1" a="1"/>
  <c r="P95" i="2" s="1"/>
  <c r="Q96" i="2" a="1"/>
  <c r="Q96" i="2" s="1"/>
  <c r="P96" i="2" s="1" a="1"/>
  <c r="P96" i="2" s="1"/>
  <c r="Q97" i="2" a="1"/>
  <c r="Q97" i="2" s="1"/>
  <c r="P97" i="2" s="1" a="1"/>
  <c r="P97" i="2" s="1"/>
  <c r="Q98" i="2" a="1"/>
  <c r="Q98" i="2" s="1"/>
  <c r="P98" i="2" s="1" a="1"/>
  <c r="P98" i="2" s="1"/>
  <c r="Q99" i="2" a="1"/>
  <c r="Q99" i="2" s="1"/>
  <c r="P99" i="2" s="1" a="1"/>
  <c r="P99" i="2" s="1"/>
  <c r="Q100" i="2" a="1"/>
  <c r="Q100" i="2" s="1"/>
  <c r="P100" i="2" s="1" a="1"/>
  <c r="P100" i="2" s="1"/>
  <c r="Q101" i="2" a="1"/>
  <c r="Q101" i="2" s="1"/>
  <c r="P101" i="2" s="1" a="1"/>
  <c r="P101" i="2" s="1"/>
  <c r="Q102" i="2" a="1"/>
  <c r="Q102" i="2" s="1"/>
  <c r="P102" i="2" s="1" a="1"/>
  <c r="P102" i="2" s="1"/>
  <c r="Q103" i="2" a="1"/>
  <c r="Q103" i="2" s="1"/>
  <c r="P103" i="2" s="1" a="1"/>
  <c r="P103" i="2" s="1"/>
  <c r="Q104" i="2" a="1"/>
  <c r="Q104" i="2" s="1"/>
  <c r="P104" i="2" s="1" a="1"/>
  <c r="P104" i="2" s="1"/>
  <c r="Q105" i="2" a="1"/>
  <c r="Q105" i="2" s="1"/>
  <c r="P105" i="2" s="1" a="1"/>
  <c r="P105" i="2" s="1"/>
  <c r="Q106" i="2" a="1"/>
  <c r="Q106" i="2" s="1"/>
  <c r="P106" i="2" s="1" a="1"/>
  <c r="P106" i="2" s="1"/>
  <c r="Q107" i="2" a="1"/>
  <c r="Q107" i="2" s="1"/>
  <c r="P107" i="2" s="1" a="1"/>
  <c r="P107" i="2" s="1"/>
  <c r="Q108" i="2" a="1"/>
  <c r="Q108" i="2" s="1"/>
  <c r="P108" i="2" s="1" a="1"/>
  <c r="P108" i="2" s="1"/>
  <c r="Q109" i="2" a="1"/>
  <c r="Q109" i="2" s="1"/>
  <c r="P109" i="2" s="1" a="1"/>
  <c r="P109" i="2" s="1"/>
  <c r="Q110" i="2" a="1"/>
  <c r="Q110" i="2" s="1"/>
  <c r="P110" i="2" s="1" a="1"/>
  <c r="P110" i="2" s="1"/>
  <c r="Q111" i="2" a="1"/>
  <c r="Q111" i="2" s="1"/>
  <c r="P111" i="2" s="1" a="1"/>
  <c r="P111" i="2" s="1"/>
  <c r="Q112" i="2" a="1"/>
  <c r="Q112" i="2" s="1"/>
  <c r="P112" i="2" s="1" a="1"/>
  <c r="P112" i="2" s="1"/>
  <c r="Q113" i="2" a="1"/>
  <c r="Q113" i="2" s="1"/>
  <c r="P113" i="2" s="1" a="1"/>
  <c r="P113" i="2" s="1"/>
  <c r="Q114" i="2" a="1"/>
  <c r="Q114" i="2" s="1"/>
  <c r="P114" i="2" s="1" a="1"/>
  <c r="P114" i="2" s="1"/>
  <c r="Q115" i="2" a="1"/>
  <c r="Q115" i="2" s="1"/>
  <c r="P115" i="2" s="1" a="1"/>
  <c r="P115" i="2" s="1"/>
  <c r="Q116" i="2" a="1"/>
  <c r="Q116" i="2" s="1"/>
  <c r="P116" i="2" s="1" a="1"/>
  <c r="P116" i="2" s="1"/>
  <c r="Q117" i="2" a="1"/>
  <c r="Q117" i="2" s="1"/>
  <c r="P117" i="2" s="1" a="1"/>
  <c r="P117" i="2" s="1"/>
  <c r="Q118" i="2" a="1"/>
  <c r="Q118" i="2" s="1"/>
  <c r="P118" i="2" s="1" a="1"/>
  <c r="P118" i="2" s="1"/>
  <c r="Q119" i="2" a="1"/>
  <c r="Q119" i="2" s="1"/>
  <c r="P119" i="2" s="1" a="1"/>
  <c r="P119" i="2" s="1"/>
  <c r="Q120" i="2" a="1"/>
  <c r="Q120" i="2" s="1"/>
  <c r="P120" i="2" s="1" a="1"/>
  <c r="P120" i="2" s="1"/>
  <c r="Q121" i="2" a="1"/>
  <c r="Q121" i="2" s="1"/>
  <c r="P121" i="2" s="1" a="1"/>
  <c r="P121" i="2" s="1"/>
  <c r="Q122" i="2" a="1"/>
  <c r="Q122" i="2" s="1"/>
  <c r="P122" i="2" s="1" a="1"/>
  <c r="P122" i="2" s="1"/>
  <c r="Q123" i="2" a="1"/>
  <c r="Q123" i="2" s="1"/>
  <c r="P123" i="2" s="1" a="1"/>
  <c r="P123" i="2" s="1"/>
  <c r="Q124" i="2" a="1"/>
  <c r="Q124" i="2" s="1"/>
  <c r="P124" i="2" s="1" a="1"/>
  <c r="P124" i="2" s="1"/>
  <c r="Q125" i="2" a="1"/>
  <c r="Q125" i="2" s="1"/>
  <c r="P125" i="2" s="1" a="1"/>
  <c r="P125" i="2" s="1"/>
  <c r="Q126" i="2" a="1"/>
  <c r="Q126" i="2" s="1"/>
  <c r="P126" i="2" s="1" a="1"/>
  <c r="P126" i="2" s="1"/>
  <c r="Q127" i="2" a="1"/>
  <c r="Q127" i="2" s="1"/>
  <c r="P127" i="2" s="1" a="1"/>
  <c r="P127" i="2" s="1"/>
  <c r="Q128" i="2" a="1"/>
  <c r="Q128" i="2" s="1"/>
  <c r="P128" i="2" s="1" a="1"/>
  <c r="P128" i="2" s="1"/>
  <c r="Q129" i="2" a="1"/>
  <c r="Q129" i="2" s="1"/>
  <c r="P129" i="2" s="1" a="1"/>
  <c r="P129" i="2" s="1"/>
  <c r="Q130" i="2" a="1"/>
  <c r="Q130" i="2" s="1"/>
  <c r="P130" i="2" s="1" a="1"/>
  <c r="P130" i="2" s="1"/>
  <c r="Q131" i="2" a="1"/>
  <c r="Q131" i="2" s="1"/>
  <c r="P131" i="2" s="1" a="1"/>
  <c r="P131" i="2" s="1"/>
  <c r="Q132" i="2" a="1"/>
  <c r="Q132" i="2" s="1"/>
  <c r="P132" i="2" s="1" a="1"/>
  <c r="P132" i="2" s="1"/>
  <c r="Q133" i="2" a="1"/>
  <c r="Q133" i="2" s="1"/>
  <c r="P133" i="2" s="1" a="1"/>
  <c r="P133" i="2" s="1"/>
  <c r="Q134" i="2" a="1"/>
  <c r="Q134" i="2" s="1"/>
  <c r="P134" i="2" s="1" a="1"/>
  <c r="P134" i="2" s="1"/>
  <c r="Q135" i="2" a="1"/>
  <c r="Q135" i="2" s="1"/>
  <c r="P135" i="2" s="1" a="1"/>
  <c r="P135" i="2" s="1"/>
  <c r="Q136" i="2" a="1"/>
  <c r="Q136" i="2" s="1"/>
  <c r="P136" i="2" s="1" a="1"/>
  <c r="P136" i="2" s="1"/>
  <c r="Q137" i="2" a="1"/>
  <c r="Q137" i="2" s="1"/>
  <c r="P137" i="2" s="1" a="1"/>
  <c r="P137" i="2" s="1"/>
  <c r="Q138" i="2" a="1"/>
  <c r="Q138" i="2" s="1"/>
  <c r="P138" i="2" s="1" a="1"/>
  <c r="P138" i="2" s="1"/>
  <c r="Q139" i="2" a="1"/>
  <c r="Q139" i="2" s="1"/>
  <c r="P139" i="2" s="1" a="1"/>
  <c r="P139" i="2" s="1"/>
  <c r="Q140" i="2" a="1"/>
  <c r="Q140" i="2" s="1"/>
  <c r="P140" i="2" s="1" a="1"/>
  <c r="P140" i="2" s="1"/>
  <c r="Q141" i="2" a="1"/>
  <c r="Q141" i="2" s="1"/>
  <c r="P141" i="2" s="1" a="1"/>
  <c r="P141" i="2" s="1"/>
  <c r="Q142" i="2" a="1"/>
  <c r="Q142" i="2" s="1"/>
  <c r="P142" i="2" s="1" a="1"/>
  <c r="P142" i="2" s="1"/>
  <c r="Q143" i="2" a="1"/>
  <c r="Q143" i="2" s="1"/>
  <c r="P143" i="2" s="1" a="1"/>
  <c r="P143" i="2" s="1"/>
  <c r="Q144" i="2" a="1"/>
  <c r="Q144" i="2" s="1"/>
  <c r="Q145" i="2" a="1"/>
  <c r="Q145" i="2" s="1"/>
  <c r="P145" i="2" s="1" a="1"/>
  <c r="P145" i="2" s="1"/>
  <c r="Q146" i="2" a="1"/>
  <c r="Q146" i="2" s="1"/>
  <c r="P146" i="2" s="1" a="1"/>
  <c r="P146" i="2" s="1"/>
  <c r="Q147" i="2" a="1"/>
  <c r="Q147" i="2" s="1"/>
  <c r="P147" i="2" s="1" a="1"/>
  <c r="P147" i="2" s="1"/>
  <c r="Q148" i="2" a="1"/>
  <c r="Q148" i="2" s="1"/>
  <c r="P148" i="2" s="1" a="1"/>
  <c r="P148" i="2" s="1"/>
  <c r="Q149" i="2" a="1"/>
  <c r="Q149" i="2" s="1"/>
  <c r="P149" i="2" s="1" a="1"/>
  <c r="P149" i="2" s="1"/>
  <c r="Q150" i="2" a="1"/>
  <c r="Q150" i="2" s="1"/>
  <c r="P150" i="2" s="1" a="1"/>
  <c r="P150" i="2" s="1"/>
  <c r="Q151" i="2" a="1"/>
  <c r="Q151" i="2" s="1"/>
  <c r="P151" i="2" s="1" a="1"/>
  <c r="P151" i="2" s="1"/>
  <c r="Q152" i="2" a="1"/>
  <c r="Q152" i="2" s="1"/>
  <c r="P152" i="2" s="1" a="1"/>
  <c r="P152" i="2" s="1"/>
  <c r="Q153" i="2" a="1"/>
  <c r="Q153" i="2" s="1"/>
  <c r="P153" i="2" s="1" a="1"/>
  <c r="P153" i="2" s="1"/>
  <c r="Q154" i="2" a="1"/>
  <c r="Q154" i="2" s="1"/>
  <c r="P154" i="2" s="1" a="1"/>
  <c r="P154" i="2" s="1"/>
  <c r="Q155" i="2" a="1"/>
  <c r="Q155" i="2" s="1"/>
  <c r="P155" i="2" s="1" a="1"/>
  <c r="P155" i="2" s="1"/>
  <c r="Q156" i="2" a="1"/>
  <c r="Q156" i="2" s="1"/>
  <c r="P156" i="2" s="1" a="1"/>
  <c r="P156" i="2" s="1"/>
  <c r="Q157" i="2" a="1"/>
  <c r="Q157" i="2" s="1"/>
  <c r="P157" i="2" s="1" a="1"/>
  <c r="P157" i="2" s="1"/>
  <c r="Q158" i="2" a="1"/>
  <c r="Q158" i="2" s="1"/>
  <c r="P158" i="2" s="1" a="1"/>
  <c r="P158" i="2" s="1"/>
  <c r="Q159" i="2" a="1"/>
  <c r="Q159" i="2" s="1"/>
  <c r="P159" i="2" s="1" a="1"/>
  <c r="P159" i="2" s="1"/>
  <c r="Q160" i="2" a="1"/>
  <c r="Q160" i="2" s="1"/>
  <c r="Q161" i="2" a="1"/>
  <c r="Q161" i="2" s="1"/>
  <c r="P161" i="2" s="1" a="1"/>
  <c r="P161" i="2" s="1"/>
  <c r="Q162" i="2" a="1"/>
  <c r="Q162" i="2" s="1"/>
  <c r="P162" i="2" s="1" a="1"/>
  <c r="P162" i="2" s="1"/>
  <c r="Q163" i="2" a="1"/>
  <c r="Q163" i="2" s="1"/>
  <c r="P163" i="2" s="1" a="1"/>
  <c r="P163" i="2" s="1"/>
  <c r="Q164" i="2" a="1"/>
  <c r="Q164" i="2" s="1"/>
  <c r="P164" i="2" s="1" a="1"/>
  <c r="P164" i="2" s="1"/>
  <c r="Q165" i="2" a="1"/>
  <c r="Q165" i="2" s="1"/>
  <c r="P165" i="2" s="1" a="1"/>
  <c r="P165" i="2" s="1"/>
  <c r="Q166" i="2" a="1"/>
  <c r="Q166" i="2" s="1"/>
  <c r="P166" i="2" s="1" a="1"/>
  <c r="P166" i="2" s="1"/>
  <c r="Q167" i="2" a="1"/>
  <c r="Q167" i="2" s="1"/>
  <c r="P167" i="2" s="1" a="1"/>
  <c r="P167" i="2" s="1"/>
  <c r="Q168" i="2" a="1"/>
  <c r="Q168" i="2" s="1"/>
  <c r="P168" i="2" s="1" a="1"/>
  <c r="P168" i="2" s="1"/>
  <c r="Q169" i="2" a="1"/>
  <c r="Q169" i="2" s="1"/>
  <c r="P169" i="2" s="1" a="1"/>
  <c r="P169" i="2" s="1"/>
  <c r="Q170" i="2" a="1"/>
  <c r="Q170" i="2" s="1"/>
  <c r="P170" i="2" s="1" a="1"/>
  <c r="P170" i="2" s="1"/>
  <c r="Q171" i="2" a="1"/>
  <c r="Q171" i="2" s="1"/>
  <c r="P171" i="2" s="1" a="1"/>
  <c r="P171" i="2" s="1"/>
  <c r="Q172" i="2" a="1"/>
  <c r="Q172" i="2" s="1"/>
  <c r="P172" i="2" s="1" a="1"/>
  <c r="P172" i="2" s="1"/>
  <c r="Q173" i="2" a="1"/>
  <c r="Q173" i="2" s="1"/>
  <c r="P173" i="2" s="1" a="1"/>
  <c r="P173" i="2" s="1"/>
  <c r="Q174" i="2" a="1"/>
  <c r="Q174" i="2" s="1"/>
  <c r="P174" i="2" s="1" a="1"/>
  <c r="P174" i="2" s="1"/>
  <c r="Q175" i="2" a="1"/>
  <c r="Q175" i="2" s="1"/>
  <c r="P175" i="2" s="1" a="1"/>
  <c r="P175" i="2" s="1"/>
  <c r="Q176" i="2" a="1"/>
  <c r="Q176" i="2" s="1"/>
  <c r="Q177" i="2" a="1"/>
  <c r="Q177" i="2" s="1"/>
  <c r="P177" i="2" s="1" a="1"/>
  <c r="P177" i="2" s="1"/>
  <c r="Q178" i="2" a="1"/>
  <c r="Q178" i="2" s="1"/>
  <c r="P178" i="2" s="1" a="1"/>
  <c r="P178" i="2" s="1"/>
  <c r="Q179" i="2" a="1"/>
  <c r="Q179" i="2" s="1"/>
  <c r="P179" i="2" s="1" a="1"/>
  <c r="P179" i="2" s="1"/>
  <c r="Q180" i="2" a="1"/>
  <c r="Q180" i="2" s="1"/>
  <c r="P180" i="2" s="1" a="1"/>
  <c r="P180" i="2" s="1"/>
  <c r="Q181" i="2" a="1"/>
  <c r="Q181" i="2" s="1"/>
  <c r="P181" i="2" s="1" a="1"/>
  <c r="P181" i="2" s="1"/>
  <c r="Q182" i="2" a="1"/>
  <c r="Q182" i="2" s="1"/>
  <c r="P182" i="2" s="1" a="1"/>
  <c r="P182" i="2" s="1"/>
  <c r="Q183" i="2" a="1"/>
  <c r="Q183" i="2" s="1"/>
  <c r="P183" i="2" s="1" a="1"/>
  <c r="P183" i="2" s="1"/>
  <c r="Q184" i="2" a="1"/>
  <c r="Q184" i="2" s="1"/>
  <c r="P184" i="2" s="1" a="1"/>
  <c r="P184" i="2" s="1"/>
  <c r="P176" i="2" a="1"/>
  <c r="P176" i="2" s="1"/>
  <c r="P160" i="2" a="1"/>
  <c r="P160" i="2" s="1"/>
  <c r="P144" i="2" a="1"/>
  <c r="P144" i="2" s="1"/>
  <c r="P80" i="2" a="1"/>
  <c r="P80" i="2" s="1"/>
  <c r="P64" i="2" a="1"/>
  <c r="P64" i="2" s="1"/>
  <c r="P62" i="2" a="1"/>
  <c r="P62" i="2" s="1"/>
  <c r="P24" i="2" a="1"/>
  <c r="P24" i="2" s="1"/>
  <c r="P16" i="2" a="1"/>
  <c r="P16" i="2" s="1"/>
  <c r="O184" i="2"/>
  <c r="D80" i="28"/>
  <c r="D79" i="28"/>
  <c r="D78" i="28"/>
  <c r="D77" i="28"/>
  <c r="D76" i="28"/>
  <c r="D75" i="28"/>
  <c r="D74" i="28"/>
  <c r="D73" i="28"/>
  <c r="D72" i="28"/>
  <c r="D71" i="28"/>
  <c r="D70" i="28"/>
  <c r="D69" i="28"/>
  <c r="D68" i="28"/>
  <c r="D67" i="28"/>
  <c r="D66" i="28"/>
  <c r="D65" i="28"/>
  <c r="D64"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B184" i="2"/>
  <c r="Y184" i="2" s="1"/>
  <c r="S184" i="2"/>
  <c r="T184" i="2"/>
  <c r="U184" i="2"/>
  <c r="B180" i="2"/>
  <c r="B181" i="2"/>
  <c r="B182" i="2"/>
  <c r="B183" i="2"/>
  <c r="S180" i="2"/>
  <c r="S181" i="2"/>
  <c r="S182" i="2"/>
  <c r="S183" i="2"/>
  <c r="T180" i="2"/>
  <c r="T181" i="2"/>
  <c r="T182" i="2"/>
  <c r="T183" i="2"/>
  <c r="U180" i="2"/>
  <c r="U181" i="2"/>
  <c r="U182" i="2"/>
  <c r="U183" i="2"/>
  <c r="Y180" i="2" l="1"/>
  <c r="Y183" i="2"/>
  <c r="Y182" i="2"/>
  <c r="Y181" i="2"/>
  <c r="X183" i="2"/>
  <c r="X182" i="2"/>
  <c r="X180" i="2"/>
  <c r="X184" i="2"/>
  <c r="O182" i="2"/>
  <c r="O181" i="2"/>
  <c r="O180" i="2"/>
  <c r="W183" i="2"/>
  <c r="O183" i="2"/>
  <c r="V183" i="2"/>
  <c r="W182" i="2"/>
  <c r="V182" i="2"/>
  <c r="W184" i="2"/>
  <c r="V184" i="2"/>
  <c r="W180" i="2"/>
  <c r="V180" i="2"/>
  <c r="X181" i="2"/>
  <c r="V181" i="2"/>
  <c r="W181" i="2"/>
  <c r="B8" i="26" l="1"/>
  <c r="B9" i="26"/>
  <c r="B10" i="26"/>
  <c r="B11" i="26"/>
  <c r="B12" i="26"/>
  <c r="B13" i="26"/>
  <c r="B14" i="26"/>
  <c r="B15" i="26"/>
  <c r="B16" i="26"/>
  <c r="B17" i="26"/>
  <c r="B18" i="26"/>
  <c r="B19" i="26"/>
  <c r="B20" i="26"/>
  <c r="B21" i="26"/>
  <c r="B22" i="26"/>
  <c r="B23" i="26"/>
  <c r="R23" i="26" s="1"/>
  <c r="B24" i="26"/>
  <c r="B25" i="26"/>
  <c r="B26" i="26"/>
  <c r="B27" i="26"/>
  <c r="B28" i="26"/>
  <c r="B29" i="26"/>
  <c r="B30" i="26"/>
  <c r="B31" i="26"/>
  <c r="B32" i="26"/>
  <c r="B33" i="26"/>
  <c r="B34" i="26"/>
  <c r="B35" i="26"/>
  <c r="B36" i="26"/>
  <c r="B37" i="26"/>
  <c r="K8" i="26"/>
  <c r="K9" i="26"/>
  <c r="K10" i="26"/>
  <c r="K11" i="26"/>
  <c r="K12" i="26"/>
  <c r="K13" i="26"/>
  <c r="K14" i="26"/>
  <c r="K15" i="26"/>
  <c r="K16" i="26"/>
  <c r="K17" i="26"/>
  <c r="K18" i="26"/>
  <c r="K19" i="26"/>
  <c r="K20" i="26"/>
  <c r="K21" i="26"/>
  <c r="K22" i="26"/>
  <c r="K23" i="26"/>
  <c r="K24" i="26"/>
  <c r="K25" i="26"/>
  <c r="K26" i="26"/>
  <c r="K27" i="26"/>
  <c r="K28" i="26"/>
  <c r="K29" i="26"/>
  <c r="K30" i="26"/>
  <c r="K31" i="26"/>
  <c r="K32" i="26"/>
  <c r="K33" i="26"/>
  <c r="K34" i="26"/>
  <c r="K35" i="26"/>
  <c r="K36" i="26"/>
  <c r="K37" i="26"/>
  <c r="L8"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7" i="26"/>
  <c r="K7" i="26"/>
  <c r="B7" i="26"/>
  <c r="R7" i="26" s="1"/>
  <c r="Q24" i="26" l="1"/>
  <c r="R24" i="26"/>
  <c r="Q8" i="26"/>
  <c r="R8" i="26"/>
  <c r="O31" i="26"/>
  <c r="R31" i="26"/>
  <c r="O15" i="26"/>
  <c r="R15" i="26"/>
  <c r="P30" i="26"/>
  <c r="R30" i="26"/>
  <c r="O22" i="26"/>
  <c r="R22" i="26"/>
  <c r="P14" i="26"/>
  <c r="R14" i="26"/>
  <c r="O16" i="26"/>
  <c r="R16" i="26"/>
  <c r="O37" i="26"/>
  <c r="R37" i="26"/>
  <c r="O29" i="26"/>
  <c r="R29" i="26"/>
  <c r="O21" i="26"/>
  <c r="R21" i="26"/>
  <c r="O32" i="26"/>
  <c r="R32" i="26"/>
  <c r="O36" i="26"/>
  <c r="R36" i="26"/>
  <c r="O20" i="26"/>
  <c r="R20" i="26"/>
  <c r="O35" i="26"/>
  <c r="R35" i="26"/>
  <c r="O27" i="26"/>
  <c r="R27" i="26"/>
  <c r="O19" i="26"/>
  <c r="R19" i="26"/>
  <c r="O11" i="26"/>
  <c r="R11" i="26"/>
  <c r="O28" i="26"/>
  <c r="R28" i="26"/>
  <c r="O12" i="26"/>
  <c r="R12" i="26"/>
  <c r="O34" i="26"/>
  <c r="R34" i="26"/>
  <c r="O26" i="26"/>
  <c r="R26" i="26"/>
  <c r="O18" i="26"/>
  <c r="R18" i="26"/>
  <c r="O10" i="26"/>
  <c r="R10" i="26"/>
  <c r="O33" i="26"/>
  <c r="R33" i="26"/>
  <c r="P25" i="26"/>
  <c r="R25" i="26"/>
  <c r="O17" i="26"/>
  <c r="R17" i="26"/>
  <c r="P9" i="26"/>
  <c r="R9" i="26"/>
  <c r="O13" i="26"/>
  <c r="R13" i="26"/>
  <c r="O30" i="26"/>
  <c r="O14" i="26"/>
  <c r="Q37" i="26"/>
  <c r="O7" i="26"/>
  <c r="P29" i="26"/>
  <c r="O23" i="26"/>
  <c r="P22" i="26"/>
  <c r="P13" i="26"/>
  <c r="Q21" i="26"/>
  <c r="Q28" i="26"/>
  <c r="Q12" i="26"/>
  <c r="O25" i="26"/>
  <c r="O9" i="26"/>
  <c r="P24" i="26"/>
  <c r="P8" i="26"/>
  <c r="Q23" i="26"/>
  <c r="Q7" i="26"/>
  <c r="O24" i="26"/>
  <c r="O8" i="26"/>
  <c r="P23" i="26"/>
  <c r="P7" i="26"/>
  <c r="Q22" i="26"/>
  <c r="P37" i="26"/>
  <c r="P21" i="26"/>
  <c r="Q36" i="26"/>
  <c r="Q20" i="26"/>
  <c r="P36" i="26"/>
  <c r="P20" i="26"/>
  <c r="Q35" i="26"/>
  <c r="Q19" i="26"/>
  <c r="P35" i="26"/>
  <c r="P19" i="26"/>
  <c r="Q34" i="26"/>
  <c r="Q18" i="26"/>
  <c r="P34" i="26"/>
  <c r="P18" i="26"/>
  <c r="Q33" i="26"/>
  <c r="Q17" i="26"/>
  <c r="P33" i="26"/>
  <c r="P17" i="26"/>
  <c r="Q32" i="26"/>
  <c r="Q16" i="26"/>
  <c r="P32" i="26"/>
  <c r="P16" i="26"/>
  <c r="Q31" i="26"/>
  <c r="Q15" i="26"/>
  <c r="P31" i="26"/>
  <c r="P15" i="26"/>
  <c r="Q30" i="26"/>
  <c r="Q14" i="26"/>
  <c r="Q29" i="26"/>
  <c r="Q13" i="26"/>
  <c r="P28" i="26"/>
  <c r="P12" i="26"/>
  <c r="Q27" i="26"/>
  <c r="Q11" i="26"/>
  <c r="P27" i="26"/>
  <c r="P11" i="26"/>
  <c r="Q26" i="26"/>
  <c r="Q10" i="26"/>
  <c r="P26" i="26"/>
  <c r="P10" i="26"/>
  <c r="Q25" i="26"/>
  <c r="Q9" i="26"/>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3" i="2"/>
  <c r="C109" i="6" l="1"/>
  <c r="C108" i="6"/>
  <c r="C107" i="6"/>
  <c r="C106" i="6"/>
  <c r="C63" i="6"/>
  <c r="C64" i="6" s="1"/>
  <c r="C65" i="6" s="1"/>
  <c r="C66" i="6" s="1"/>
  <c r="C67" i="6" s="1"/>
  <c r="T4" i="2" l="1"/>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3" i="2" l="1"/>
  <c r="B4" i="2" l="1"/>
  <c r="Y4" i="2" s="1"/>
  <c r="B5" i="2"/>
  <c r="Y5" i="2" s="1"/>
  <c r="B6" i="2"/>
  <c r="Y6" i="2" s="1"/>
  <c r="B7" i="2"/>
  <c r="Y7" i="2" s="1"/>
  <c r="B8" i="2"/>
  <c r="Y8" i="2" s="1"/>
  <c r="B9" i="2"/>
  <c r="Y9" i="2" s="1"/>
  <c r="B10" i="2"/>
  <c r="Y10" i="2" s="1"/>
  <c r="B11" i="2"/>
  <c r="Y11" i="2" s="1"/>
  <c r="B12" i="2"/>
  <c r="Y12" i="2" s="1"/>
  <c r="B13" i="2"/>
  <c r="Y13" i="2" s="1"/>
  <c r="B14" i="2"/>
  <c r="Y14" i="2" s="1"/>
  <c r="B15" i="2"/>
  <c r="Y15" i="2" s="1"/>
  <c r="B16" i="2"/>
  <c r="Y16" i="2" s="1"/>
  <c r="B17" i="2"/>
  <c r="Y17" i="2" s="1"/>
  <c r="B18" i="2"/>
  <c r="Y18" i="2" s="1"/>
  <c r="B19" i="2"/>
  <c r="Y19" i="2" s="1"/>
  <c r="B20" i="2"/>
  <c r="Y20" i="2" s="1"/>
  <c r="B21" i="2"/>
  <c r="Y21" i="2" s="1"/>
  <c r="B22" i="2"/>
  <c r="Y22" i="2" s="1"/>
  <c r="B23" i="2"/>
  <c r="Y23" i="2" s="1"/>
  <c r="B24" i="2"/>
  <c r="Y24" i="2" s="1"/>
  <c r="B25" i="2"/>
  <c r="Y25" i="2" s="1"/>
  <c r="B26" i="2"/>
  <c r="Y26" i="2" s="1"/>
  <c r="B27" i="2"/>
  <c r="Y27" i="2" s="1"/>
  <c r="B28" i="2"/>
  <c r="Y28" i="2" s="1"/>
  <c r="B29" i="2"/>
  <c r="Y29" i="2" s="1"/>
  <c r="B30" i="2"/>
  <c r="Y30" i="2" s="1"/>
  <c r="B31" i="2"/>
  <c r="Y31" i="2" s="1"/>
  <c r="B32" i="2"/>
  <c r="Y32" i="2" s="1"/>
  <c r="B33" i="2"/>
  <c r="Y33" i="2" s="1"/>
  <c r="B34" i="2"/>
  <c r="Y34" i="2" s="1"/>
  <c r="B35" i="2"/>
  <c r="Y35" i="2" s="1"/>
  <c r="B36" i="2"/>
  <c r="Y36" i="2" s="1"/>
  <c r="B37" i="2"/>
  <c r="Y37" i="2" s="1"/>
  <c r="B38" i="2"/>
  <c r="Y38" i="2" s="1"/>
  <c r="B39" i="2"/>
  <c r="Y39" i="2" s="1"/>
  <c r="B40" i="2"/>
  <c r="Y40" i="2" s="1"/>
  <c r="B41" i="2"/>
  <c r="Y41" i="2" s="1"/>
  <c r="B42" i="2"/>
  <c r="Y42" i="2" s="1"/>
  <c r="B43" i="2"/>
  <c r="Y43" i="2" s="1"/>
  <c r="B44" i="2"/>
  <c r="Y44" i="2" s="1"/>
  <c r="B45" i="2"/>
  <c r="Y45" i="2" s="1"/>
  <c r="B46" i="2"/>
  <c r="Y46" i="2" s="1"/>
  <c r="B47" i="2"/>
  <c r="Y47" i="2" s="1"/>
  <c r="B48" i="2"/>
  <c r="Y48" i="2" s="1"/>
  <c r="B49" i="2"/>
  <c r="Y49" i="2" s="1"/>
  <c r="B50" i="2"/>
  <c r="Y50" i="2" s="1"/>
  <c r="B51" i="2"/>
  <c r="Y51" i="2" s="1"/>
  <c r="B52" i="2"/>
  <c r="Y52" i="2" s="1"/>
  <c r="B53" i="2"/>
  <c r="Y53" i="2" s="1"/>
  <c r="B54" i="2"/>
  <c r="Y54" i="2" s="1"/>
  <c r="B55" i="2"/>
  <c r="Y55" i="2" s="1"/>
  <c r="B56" i="2"/>
  <c r="Y56" i="2" s="1"/>
  <c r="B57" i="2"/>
  <c r="Y57" i="2" s="1"/>
  <c r="B58" i="2"/>
  <c r="Y58" i="2" s="1"/>
  <c r="B59" i="2"/>
  <c r="Y59" i="2" s="1"/>
  <c r="B60" i="2"/>
  <c r="Y60" i="2" s="1"/>
  <c r="B61" i="2"/>
  <c r="Y61" i="2" s="1"/>
  <c r="B62" i="2"/>
  <c r="Y62" i="2" s="1"/>
  <c r="B63" i="2"/>
  <c r="Y63" i="2" s="1"/>
  <c r="B64" i="2"/>
  <c r="Y64" i="2" s="1"/>
  <c r="B65" i="2"/>
  <c r="Y65" i="2" s="1"/>
  <c r="B66" i="2"/>
  <c r="Y66" i="2" s="1"/>
  <c r="B67" i="2"/>
  <c r="Y67" i="2" s="1"/>
  <c r="B68" i="2"/>
  <c r="Y68" i="2" s="1"/>
  <c r="B69" i="2"/>
  <c r="Y69" i="2" s="1"/>
  <c r="B70" i="2"/>
  <c r="Y70" i="2" s="1"/>
  <c r="B71" i="2"/>
  <c r="Y71" i="2" s="1"/>
  <c r="B72" i="2"/>
  <c r="Y72" i="2" s="1"/>
  <c r="B73" i="2"/>
  <c r="Y73" i="2" s="1"/>
  <c r="B74" i="2"/>
  <c r="Y74" i="2" s="1"/>
  <c r="B75" i="2"/>
  <c r="Y75" i="2" s="1"/>
  <c r="B76" i="2"/>
  <c r="Y76" i="2" s="1"/>
  <c r="B77" i="2"/>
  <c r="Y77" i="2" s="1"/>
  <c r="B78" i="2"/>
  <c r="Y78" i="2" s="1"/>
  <c r="B79" i="2"/>
  <c r="Y79" i="2" s="1"/>
  <c r="B80" i="2"/>
  <c r="Y80" i="2" s="1"/>
  <c r="B81" i="2"/>
  <c r="Y81" i="2" s="1"/>
  <c r="B82" i="2"/>
  <c r="Y82" i="2" s="1"/>
  <c r="B83" i="2"/>
  <c r="Y83" i="2" s="1"/>
  <c r="B84" i="2"/>
  <c r="Y84" i="2" s="1"/>
  <c r="B85" i="2"/>
  <c r="Y85" i="2" s="1"/>
  <c r="B86" i="2"/>
  <c r="Y86" i="2" s="1"/>
  <c r="B87" i="2"/>
  <c r="Y87" i="2" s="1"/>
  <c r="B88" i="2"/>
  <c r="Y88" i="2" s="1"/>
  <c r="B89" i="2"/>
  <c r="Y89" i="2" s="1"/>
  <c r="B90" i="2"/>
  <c r="Y90" i="2" s="1"/>
  <c r="B91" i="2"/>
  <c r="Y91" i="2" s="1"/>
  <c r="B92" i="2"/>
  <c r="Y92" i="2" s="1"/>
  <c r="B93" i="2"/>
  <c r="Y93" i="2" s="1"/>
  <c r="B94" i="2"/>
  <c r="Y94" i="2" s="1"/>
  <c r="B95" i="2"/>
  <c r="Y95" i="2" s="1"/>
  <c r="B96" i="2"/>
  <c r="Y96" i="2" s="1"/>
  <c r="B97" i="2"/>
  <c r="Y97" i="2" s="1"/>
  <c r="B98" i="2"/>
  <c r="Y98" i="2" s="1"/>
  <c r="B99" i="2"/>
  <c r="Y99" i="2" s="1"/>
  <c r="B100" i="2"/>
  <c r="Y100" i="2" s="1"/>
  <c r="B101" i="2"/>
  <c r="Y101" i="2" s="1"/>
  <c r="B102" i="2"/>
  <c r="Y102" i="2" s="1"/>
  <c r="B103" i="2"/>
  <c r="Y103" i="2" s="1"/>
  <c r="B104" i="2"/>
  <c r="Y104" i="2" s="1"/>
  <c r="B105" i="2"/>
  <c r="Y105" i="2" s="1"/>
  <c r="B106" i="2"/>
  <c r="Y106" i="2" s="1"/>
  <c r="B107" i="2"/>
  <c r="Y107" i="2" s="1"/>
  <c r="B108" i="2"/>
  <c r="Y108" i="2" s="1"/>
  <c r="B109" i="2"/>
  <c r="Y109" i="2" s="1"/>
  <c r="B110" i="2"/>
  <c r="Y110" i="2" s="1"/>
  <c r="B111" i="2"/>
  <c r="Y111" i="2" s="1"/>
  <c r="B112" i="2"/>
  <c r="Y112" i="2" s="1"/>
  <c r="B113" i="2"/>
  <c r="Y113" i="2" s="1"/>
  <c r="B114" i="2"/>
  <c r="Y114" i="2" s="1"/>
  <c r="B115" i="2"/>
  <c r="Y115" i="2" s="1"/>
  <c r="B116" i="2"/>
  <c r="Y116" i="2" s="1"/>
  <c r="B117" i="2"/>
  <c r="Y117" i="2" s="1"/>
  <c r="B118" i="2"/>
  <c r="Y118" i="2" s="1"/>
  <c r="B119" i="2"/>
  <c r="Y119" i="2" s="1"/>
  <c r="B120" i="2"/>
  <c r="Y120" i="2" s="1"/>
  <c r="B121" i="2"/>
  <c r="Y121" i="2" s="1"/>
  <c r="B122" i="2"/>
  <c r="Y122" i="2" s="1"/>
  <c r="B123" i="2"/>
  <c r="Y123" i="2" s="1"/>
  <c r="B124" i="2"/>
  <c r="Y124" i="2" s="1"/>
  <c r="B125" i="2"/>
  <c r="Y125" i="2" s="1"/>
  <c r="B126" i="2"/>
  <c r="Y126" i="2" s="1"/>
  <c r="B127" i="2"/>
  <c r="Y127" i="2" s="1"/>
  <c r="B128" i="2"/>
  <c r="Y128" i="2" s="1"/>
  <c r="B129" i="2"/>
  <c r="Y129" i="2" s="1"/>
  <c r="B130" i="2"/>
  <c r="Y130" i="2" s="1"/>
  <c r="B131" i="2"/>
  <c r="Y131" i="2" s="1"/>
  <c r="B132" i="2"/>
  <c r="Y132" i="2" s="1"/>
  <c r="B133" i="2"/>
  <c r="Y133" i="2" s="1"/>
  <c r="B134" i="2"/>
  <c r="Y134" i="2" s="1"/>
  <c r="B135" i="2"/>
  <c r="Y135" i="2" s="1"/>
  <c r="B136" i="2"/>
  <c r="Y136" i="2" s="1"/>
  <c r="B137" i="2"/>
  <c r="Y137" i="2" s="1"/>
  <c r="B138" i="2"/>
  <c r="Y138" i="2" s="1"/>
  <c r="B139" i="2"/>
  <c r="Y139" i="2" s="1"/>
  <c r="B140" i="2"/>
  <c r="Y140" i="2" s="1"/>
  <c r="B141" i="2"/>
  <c r="Y141" i="2" s="1"/>
  <c r="B142" i="2"/>
  <c r="Y142" i="2" s="1"/>
  <c r="B143" i="2"/>
  <c r="Y143" i="2" s="1"/>
  <c r="B144" i="2"/>
  <c r="Y144" i="2" s="1"/>
  <c r="B145" i="2"/>
  <c r="Y145" i="2" s="1"/>
  <c r="B146" i="2"/>
  <c r="Y146" i="2" s="1"/>
  <c r="B147" i="2"/>
  <c r="Y147" i="2" s="1"/>
  <c r="B148" i="2"/>
  <c r="Y148" i="2" s="1"/>
  <c r="B149" i="2"/>
  <c r="Y149" i="2" s="1"/>
  <c r="B150" i="2"/>
  <c r="Y150" i="2" s="1"/>
  <c r="B151" i="2"/>
  <c r="Y151" i="2" s="1"/>
  <c r="B152" i="2"/>
  <c r="Y152" i="2" s="1"/>
  <c r="B153" i="2"/>
  <c r="Y153" i="2" s="1"/>
  <c r="B154" i="2"/>
  <c r="Y154" i="2" s="1"/>
  <c r="B155" i="2"/>
  <c r="Y155" i="2" s="1"/>
  <c r="B156" i="2"/>
  <c r="Y156" i="2" s="1"/>
  <c r="B157" i="2"/>
  <c r="Y157" i="2" s="1"/>
  <c r="B158" i="2"/>
  <c r="Y158" i="2" s="1"/>
  <c r="B159" i="2"/>
  <c r="Y159" i="2" s="1"/>
  <c r="B160" i="2"/>
  <c r="Y160" i="2" s="1"/>
  <c r="B161" i="2"/>
  <c r="Y161" i="2" s="1"/>
  <c r="B162" i="2"/>
  <c r="Y162" i="2" s="1"/>
  <c r="B163" i="2"/>
  <c r="Y163" i="2" s="1"/>
  <c r="B164" i="2"/>
  <c r="Y164" i="2" s="1"/>
  <c r="B165" i="2"/>
  <c r="Y165" i="2" s="1"/>
  <c r="B166" i="2"/>
  <c r="Y166" i="2" s="1"/>
  <c r="B167" i="2"/>
  <c r="Y167" i="2" s="1"/>
  <c r="B168" i="2"/>
  <c r="Y168" i="2" s="1"/>
  <c r="B169" i="2"/>
  <c r="Y169" i="2" s="1"/>
  <c r="B170" i="2"/>
  <c r="Y170" i="2" s="1"/>
  <c r="B171" i="2"/>
  <c r="Y171" i="2" s="1"/>
  <c r="B172" i="2"/>
  <c r="Y172" i="2" s="1"/>
  <c r="B173" i="2"/>
  <c r="Y173" i="2" s="1"/>
  <c r="B174" i="2"/>
  <c r="Y174" i="2" s="1"/>
  <c r="B175" i="2"/>
  <c r="Y175" i="2" s="1"/>
  <c r="B176" i="2"/>
  <c r="Y176" i="2" s="1"/>
  <c r="B177" i="2"/>
  <c r="Y177" i="2" s="1"/>
  <c r="B178" i="2"/>
  <c r="Y178" i="2" s="1"/>
  <c r="B179" i="2"/>
  <c r="Y179" i="2" s="1"/>
  <c r="S13" i="2"/>
  <c r="S20" i="2"/>
  <c r="S26" i="2"/>
  <c r="S36" i="2"/>
  <c r="S37" i="2"/>
  <c r="S72" i="2"/>
  <c r="S101" i="2"/>
  <c r="S108" i="2"/>
  <c r="S114" i="2"/>
  <c r="S138" i="2"/>
  <c r="S140" i="2"/>
  <c r="S156" i="2"/>
  <c r="S178" i="2"/>
  <c r="S124" i="2"/>
  <c r="S125" i="2"/>
  <c r="S126" i="2"/>
  <c r="S176" i="2"/>
  <c r="S179" i="2"/>
  <c r="B3" i="2"/>
  <c r="Y3" i="2" s="1"/>
  <c r="S122" i="2" l="1"/>
  <c r="S177" i="2"/>
  <c r="S121" i="2"/>
  <c r="S123" i="2"/>
  <c r="S175" i="2"/>
  <c r="S53" i="2"/>
  <c r="X163" i="2"/>
  <c r="W163" i="2"/>
  <c r="V163" i="2"/>
  <c r="X123" i="2"/>
  <c r="W123" i="2"/>
  <c r="V123" i="2"/>
  <c r="X75" i="2"/>
  <c r="W75" i="2"/>
  <c r="V75" i="2"/>
  <c r="X11" i="2"/>
  <c r="W11" i="2"/>
  <c r="V11" i="2"/>
  <c r="W178" i="2"/>
  <c r="X178" i="2"/>
  <c r="V178" i="2"/>
  <c r="W170" i="2"/>
  <c r="X170" i="2"/>
  <c r="V170" i="2"/>
  <c r="W162" i="2"/>
  <c r="X162" i="2"/>
  <c r="V162" i="2"/>
  <c r="W154" i="2"/>
  <c r="X154" i="2"/>
  <c r="V154" i="2"/>
  <c r="W146" i="2"/>
  <c r="V146" i="2"/>
  <c r="X146" i="2"/>
  <c r="W138" i="2"/>
  <c r="V138" i="2"/>
  <c r="X138" i="2"/>
  <c r="W130" i="2"/>
  <c r="V130" i="2"/>
  <c r="X130" i="2"/>
  <c r="W122" i="2"/>
  <c r="V122" i="2"/>
  <c r="X122" i="2"/>
  <c r="W114" i="2"/>
  <c r="V114" i="2"/>
  <c r="X114" i="2"/>
  <c r="W106" i="2"/>
  <c r="V106" i="2"/>
  <c r="X106" i="2"/>
  <c r="W98" i="2"/>
  <c r="V98" i="2"/>
  <c r="X98" i="2"/>
  <c r="W90" i="2"/>
  <c r="V90" i="2"/>
  <c r="X90" i="2"/>
  <c r="W82" i="2"/>
  <c r="V82" i="2"/>
  <c r="X82" i="2"/>
  <c r="W74" i="2"/>
  <c r="V74" i="2"/>
  <c r="X74" i="2"/>
  <c r="W66" i="2"/>
  <c r="V66" i="2"/>
  <c r="X66" i="2"/>
  <c r="W58" i="2"/>
  <c r="V58" i="2"/>
  <c r="X58" i="2"/>
  <c r="W50" i="2"/>
  <c r="V50" i="2"/>
  <c r="X50" i="2"/>
  <c r="W42" i="2"/>
  <c r="V42" i="2"/>
  <c r="X42" i="2"/>
  <c r="W34" i="2"/>
  <c r="V34" i="2"/>
  <c r="X34" i="2"/>
  <c r="W26" i="2"/>
  <c r="V26" i="2"/>
  <c r="X26" i="2"/>
  <c r="W18" i="2"/>
  <c r="V18" i="2"/>
  <c r="X18" i="2"/>
  <c r="W10" i="2"/>
  <c r="V10" i="2"/>
  <c r="X10" i="2"/>
  <c r="X139" i="2"/>
  <c r="W139" i="2"/>
  <c r="V139" i="2"/>
  <c r="X91" i="2"/>
  <c r="W91" i="2"/>
  <c r="V91" i="2"/>
  <c r="X27" i="2"/>
  <c r="W27" i="2"/>
  <c r="V27" i="2"/>
  <c r="S25" i="2"/>
  <c r="X177" i="2"/>
  <c r="V177" i="2"/>
  <c r="W177" i="2"/>
  <c r="X169" i="2"/>
  <c r="W169" i="2"/>
  <c r="V169" i="2"/>
  <c r="X161" i="2"/>
  <c r="W161" i="2"/>
  <c r="V161" i="2"/>
  <c r="X153" i="2"/>
  <c r="W153" i="2"/>
  <c r="V153" i="2"/>
  <c r="V145" i="2"/>
  <c r="X145" i="2"/>
  <c r="W145" i="2"/>
  <c r="V137" i="2"/>
  <c r="X137" i="2"/>
  <c r="W137" i="2"/>
  <c r="V129" i="2"/>
  <c r="X129" i="2"/>
  <c r="W129" i="2"/>
  <c r="V121" i="2"/>
  <c r="X121" i="2"/>
  <c r="W121" i="2"/>
  <c r="V113" i="2"/>
  <c r="X113" i="2"/>
  <c r="W113" i="2"/>
  <c r="V105" i="2"/>
  <c r="X105" i="2"/>
  <c r="W105" i="2"/>
  <c r="V97" i="2"/>
  <c r="X97" i="2"/>
  <c r="W97" i="2"/>
  <c r="V89" i="2"/>
  <c r="X89" i="2"/>
  <c r="W89" i="2"/>
  <c r="V81" i="2"/>
  <c r="X81" i="2"/>
  <c r="W81" i="2"/>
  <c r="V73" i="2"/>
  <c r="X73" i="2"/>
  <c r="W73" i="2"/>
  <c r="V65" i="2"/>
  <c r="X65" i="2"/>
  <c r="W65" i="2"/>
  <c r="V57" i="2"/>
  <c r="X57" i="2"/>
  <c r="W57" i="2"/>
  <c r="V49" i="2"/>
  <c r="X49" i="2"/>
  <c r="W49" i="2"/>
  <c r="V41" i="2"/>
  <c r="X41" i="2"/>
  <c r="W41" i="2"/>
  <c r="V33" i="2"/>
  <c r="X33" i="2"/>
  <c r="W33" i="2"/>
  <c r="V25" i="2"/>
  <c r="X25" i="2"/>
  <c r="W25" i="2"/>
  <c r="V17" i="2"/>
  <c r="X17" i="2"/>
  <c r="W17" i="2"/>
  <c r="V9" i="2"/>
  <c r="X9" i="2"/>
  <c r="W9" i="2"/>
  <c r="X131" i="2"/>
  <c r="W131" i="2"/>
  <c r="V131" i="2"/>
  <c r="X83" i="2"/>
  <c r="W83" i="2"/>
  <c r="V83" i="2"/>
  <c r="X35" i="2"/>
  <c r="W35" i="2"/>
  <c r="V35" i="2"/>
  <c r="X3" i="2"/>
  <c r="W3" i="2"/>
  <c r="V3" i="2"/>
  <c r="X176" i="2"/>
  <c r="W176" i="2"/>
  <c r="V176" i="2"/>
  <c r="X168" i="2"/>
  <c r="W168" i="2"/>
  <c r="V168" i="2"/>
  <c r="X160" i="2"/>
  <c r="W160" i="2"/>
  <c r="V160" i="2"/>
  <c r="X152" i="2"/>
  <c r="W152" i="2"/>
  <c r="V152" i="2"/>
  <c r="X144" i="2"/>
  <c r="W144" i="2"/>
  <c r="V144" i="2"/>
  <c r="X136" i="2"/>
  <c r="W136" i="2"/>
  <c r="V136" i="2"/>
  <c r="X128" i="2"/>
  <c r="W128" i="2"/>
  <c r="V128" i="2"/>
  <c r="X120" i="2"/>
  <c r="W120" i="2"/>
  <c r="V120" i="2"/>
  <c r="X112" i="2"/>
  <c r="W112" i="2"/>
  <c r="V112" i="2"/>
  <c r="X104" i="2"/>
  <c r="W104" i="2"/>
  <c r="V104" i="2"/>
  <c r="X96" i="2"/>
  <c r="W96" i="2"/>
  <c r="V96" i="2"/>
  <c r="X88" i="2"/>
  <c r="W88" i="2"/>
  <c r="V88" i="2"/>
  <c r="X80" i="2"/>
  <c r="W80" i="2"/>
  <c r="V80" i="2"/>
  <c r="X72" i="2"/>
  <c r="W72" i="2"/>
  <c r="V72" i="2"/>
  <c r="X64" i="2"/>
  <c r="W64" i="2"/>
  <c r="V64" i="2"/>
  <c r="X56" i="2"/>
  <c r="W56" i="2"/>
  <c r="V56" i="2"/>
  <c r="X48" i="2"/>
  <c r="W48" i="2"/>
  <c r="V48" i="2"/>
  <c r="X40" i="2"/>
  <c r="W40" i="2"/>
  <c r="V40" i="2"/>
  <c r="X32" i="2"/>
  <c r="W32" i="2"/>
  <c r="V32" i="2"/>
  <c r="X24" i="2"/>
  <c r="W24" i="2"/>
  <c r="V24" i="2"/>
  <c r="X16" i="2"/>
  <c r="W16" i="2"/>
  <c r="V16" i="2"/>
  <c r="X8" i="2"/>
  <c r="W8" i="2"/>
  <c r="V8" i="2"/>
  <c r="X155" i="2"/>
  <c r="W155" i="2"/>
  <c r="V155" i="2"/>
  <c r="X107" i="2"/>
  <c r="W107" i="2"/>
  <c r="V107" i="2"/>
  <c r="X67" i="2"/>
  <c r="W67" i="2"/>
  <c r="V67" i="2"/>
  <c r="X19" i="2"/>
  <c r="W19" i="2"/>
  <c r="V19" i="2"/>
  <c r="W175" i="2"/>
  <c r="X175" i="2"/>
  <c r="V175" i="2"/>
  <c r="W167" i="2"/>
  <c r="V167" i="2"/>
  <c r="X167" i="2"/>
  <c r="W159" i="2"/>
  <c r="V159" i="2"/>
  <c r="X159" i="2"/>
  <c r="W151" i="2"/>
  <c r="V151" i="2"/>
  <c r="X151" i="2"/>
  <c r="W143" i="2"/>
  <c r="V143" i="2"/>
  <c r="X143" i="2"/>
  <c r="W135" i="2"/>
  <c r="V135" i="2"/>
  <c r="X135" i="2"/>
  <c r="W127" i="2"/>
  <c r="V127" i="2"/>
  <c r="X127" i="2"/>
  <c r="W119" i="2"/>
  <c r="V119" i="2"/>
  <c r="X119" i="2"/>
  <c r="W111" i="2"/>
  <c r="V111" i="2"/>
  <c r="X111" i="2"/>
  <c r="W103" i="2"/>
  <c r="V103" i="2"/>
  <c r="X103" i="2"/>
  <c r="W95" i="2"/>
  <c r="V95" i="2"/>
  <c r="X95" i="2"/>
  <c r="W87" i="2"/>
  <c r="V87" i="2"/>
  <c r="X87" i="2"/>
  <c r="W79" i="2"/>
  <c r="V79" i="2"/>
  <c r="X79" i="2"/>
  <c r="W71" i="2"/>
  <c r="V71" i="2"/>
  <c r="X71" i="2"/>
  <c r="W63" i="2"/>
  <c r="V63" i="2"/>
  <c r="X63" i="2"/>
  <c r="W55" i="2"/>
  <c r="V55" i="2"/>
  <c r="X55" i="2"/>
  <c r="W47" i="2"/>
  <c r="V47" i="2"/>
  <c r="X47" i="2"/>
  <c r="W39" i="2"/>
  <c r="V39" i="2"/>
  <c r="X39" i="2"/>
  <c r="W31" i="2"/>
  <c r="V31" i="2"/>
  <c r="X31" i="2"/>
  <c r="W23" i="2"/>
  <c r="V23" i="2"/>
  <c r="X23" i="2"/>
  <c r="W15" i="2"/>
  <c r="V15" i="2"/>
  <c r="X15" i="2"/>
  <c r="W7" i="2"/>
  <c r="V7" i="2"/>
  <c r="X7" i="2"/>
  <c r="X179" i="2"/>
  <c r="W179" i="2"/>
  <c r="V179" i="2"/>
  <c r="X59" i="2"/>
  <c r="W59" i="2"/>
  <c r="V59" i="2"/>
  <c r="X174" i="2"/>
  <c r="V174" i="2"/>
  <c r="W174" i="2"/>
  <c r="X166" i="2"/>
  <c r="V166" i="2"/>
  <c r="W166" i="2"/>
  <c r="X158" i="2"/>
  <c r="W158" i="2"/>
  <c r="V158" i="2"/>
  <c r="X150" i="2"/>
  <c r="V150" i="2"/>
  <c r="W150" i="2"/>
  <c r="X142" i="2"/>
  <c r="V142" i="2"/>
  <c r="W142" i="2"/>
  <c r="X134" i="2"/>
  <c r="V134" i="2"/>
  <c r="W134" i="2"/>
  <c r="X126" i="2"/>
  <c r="V126" i="2"/>
  <c r="W126" i="2"/>
  <c r="X118" i="2"/>
  <c r="V118" i="2"/>
  <c r="W118" i="2"/>
  <c r="X110" i="2"/>
  <c r="V110" i="2"/>
  <c r="W110" i="2"/>
  <c r="X102" i="2"/>
  <c r="V102" i="2"/>
  <c r="W102" i="2"/>
  <c r="X94" i="2"/>
  <c r="V94" i="2"/>
  <c r="W94" i="2"/>
  <c r="X86" i="2"/>
  <c r="V86" i="2"/>
  <c r="W86" i="2"/>
  <c r="X78" i="2"/>
  <c r="V78" i="2"/>
  <c r="W78" i="2"/>
  <c r="X70" i="2"/>
  <c r="V70" i="2"/>
  <c r="W70" i="2"/>
  <c r="X62" i="2"/>
  <c r="V62" i="2"/>
  <c r="W62" i="2"/>
  <c r="X54" i="2"/>
  <c r="V54" i="2"/>
  <c r="W54" i="2"/>
  <c r="X46" i="2"/>
  <c r="V46" i="2"/>
  <c r="W46" i="2"/>
  <c r="X38" i="2"/>
  <c r="V38" i="2"/>
  <c r="W38" i="2"/>
  <c r="X30" i="2"/>
  <c r="V30" i="2"/>
  <c r="W30" i="2"/>
  <c r="X22" i="2"/>
  <c r="V22" i="2"/>
  <c r="W22" i="2"/>
  <c r="X14" i="2"/>
  <c r="V14" i="2"/>
  <c r="W14" i="2"/>
  <c r="X6" i="2"/>
  <c r="V6" i="2"/>
  <c r="W6" i="2"/>
  <c r="X147" i="2"/>
  <c r="W147" i="2"/>
  <c r="V147" i="2"/>
  <c r="X99" i="2"/>
  <c r="W99" i="2"/>
  <c r="V99" i="2"/>
  <c r="X51" i="2"/>
  <c r="W51" i="2"/>
  <c r="V51" i="2"/>
  <c r="X173" i="2"/>
  <c r="W173" i="2"/>
  <c r="V173" i="2"/>
  <c r="X165" i="2"/>
  <c r="W165" i="2"/>
  <c r="V165" i="2"/>
  <c r="X157" i="2"/>
  <c r="W157" i="2"/>
  <c r="V157" i="2"/>
  <c r="X149" i="2"/>
  <c r="W149" i="2"/>
  <c r="V149" i="2"/>
  <c r="X141" i="2"/>
  <c r="W141" i="2"/>
  <c r="V141" i="2"/>
  <c r="X133" i="2"/>
  <c r="W133" i="2"/>
  <c r="V133" i="2"/>
  <c r="X125" i="2"/>
  <c r="W125" i="2"/>
  <c r="V125" i="2"/>
  <c r="X117" i="2"/>
  <c r="W117" i="2"/>
  <c r="V117" i="2"/>
  <c r="X109" i="2"/>
  <c r="W109" i="2"/>
  <c r="V109" i="2"/>
  <c r="X101" i="2"/>
  <c r="W101" i="2"/>
  <c r="V101" i="2"/>
  <c r="X93" i="2"/>
  <c r="W93" i="2"/>
  <c r="V93" i="2"/>
  <c r="X85" i="2"/>
  <c r="W85" i="2"/>
  <c r="V85" i="2"/>
  <c r="X77" i="2"/>
  <c r="W77" i="2"/>
  <c r="V77" i="2"/>
  <c r="X69" i="2"/>
  <c r="W69" i="2"/>
  <c r="V69" i="2"/>
  <c r="X61" i="2"/>
  <c r="W61" i="2"/>
  <c r="V61" i="2"/>
  <c r="X53" i="2"/>
  <c r="W53" i="2"/>
  <c r="V53" i="2"/>
  <c r="X45" i="2"/>
  <c r="W45" i="2"/>
  <c r="V45" i="2"/>
  <c r="X37" i="2"/>
  <c r="W37" i="2"/>
  <c r="V37" i="2"/>
  <c r="X29" i="2"/>
  <c r="W29" i="2"/>
  <c r="V29" i="2"/>
  <c r="X21" i="2"/>
  <c r="W21" i="2"/>
  <c r="V21" i="2"/>
  <c r="X13" i="2"/>
  <c r="W13" i="2"/>
  <c r="V13" i="2"/>
  <c r="X5" i="2"/>
  <c r="W5" i="2"/>
  <c r="V5" i="2"/>
  <c r="X171" i="2"/>
  <c r="W171" i="2"/>
  <c r="V171" i="2"/>
  <c r="X115" i="2"/>
  <c r="W115" i="2"/>
  <c r="V115" i="2"/>
  <c r="X43" i="2"/>
  <c r="W43" i="2"/>
  <c r="V43" i="2"/>
  <c r="X172" i="2"/>
  <c r="W172" i="2"/>
  <c r="V172" i="2"/>
  <c r="X164" i="2"/>
  <c r="W164" i="2"/>
  <c r="V164" i="2"/>
  <c r="X156" i="2"/>
  <c r="W156" i="2"/>
  <c r="V156" i="2"/>
  <c r="X148" i="2"/>
  <c r="W148" i="2"/>
  <c r="V148" i="2"/>
  <c r="X140" i="2"/>
  <c r="W140" i="2"/>
  <c r="V140" i="2"/>
  <c r="X132" i="2"/>
  <c r="W132" i="2"/>
  <c r="V132" i="2"/>
  <c r="X124" i="2"/>
  <c r="W124" i="2"/>
  <c r="V124" i="2"/>
  <c r="X116" i="2"/>
  <c r="W116" i="2"/>
  <c r="V116" i="2"/>
  <c r="X108" i="2"/>
  <c r="W108" i="2"/>
  <c r="V108" i="2"/>
  <c r="X100" i="2"/>
  <c r="W100" i="2"/>
  <c r="V100" i="2"/>
  <c r="X92" i="2"/>
  <c r="W92" i="2"/>
  <c r="V92" i="2"/>
  <c r="X84" i="2"/>
  <c r="W84" i="2"/>
  <c r="V84" i="2"/>
  <c r="X76" i="2"/>
  <c r="W76" i="2"/>
  <c r="V76" i="2"/>
  <c r="X68" i="2"/>
  <c r="W68" i="2"/>
  <c r="V68" i="2"/>
  <c r="X60" i="2"/>
  <c r="W60" i="2"/>
  <c r="V60" i="2"/>
  <c r="X52" i="2"/>
  <c r="W52" i="2"/>
  <c r="V52" i="2"/>
  <c r="X44" i="2"/>
  <c r="W44" i="2"/>
  <c r="V44" i="2"/>
  <c r="X36" i="2"/>
  <c r="W36" i="2"/>
  <c r="V36" i="2"/>
  <c r="X28" i="2"/>
  <c r="W28" i="2"/>
  <c r="V28" i="2"/>
  <c r="X20" i="2"/>
  <c r="W20" i="2"/>
  <c r="V20" i="2"/>
  <c r="X12" i="2"/>
  <c r="W12" i="2"/>
  <c r="V12" i="2"/>
  <c r="X4" i="2"/>
  <c r="W4" i="2"/>
  <c r="V4" i="2"/>
  <c r="S59" i="2"/>
  <c r="S65" i="2"/>
  <c r="S136" i="2"/>
  <c r="S134" i="2"/>
  <c r="S73" i="2"/>
  <c r="S7" i="2"/>
  <c r="S31" i="2"/>
  <c r="S23" i="2"/>
  <c r="S158" i="2"/>
  <c r="S157" i="2"/>
  <c r="S141" i="2"/>
  <c r="S109" i="2"/>
  <c r="S93" i="2"/>
  <c r="S77" i="2"/>
  <c r="S61" i="2"/>
  <c r="S118" i="2"/>
  <c r="S4" i="2"/>
  <c r="S147" i="2"/>
  <c r="S99" i="2"/>
  <c r="S19" i="2"/>
  <c r="S130" i="2"/>
  <c r="S106" i="2"/>
  <c r="S98" i="2"/>
  <c r="S58" i="2"/>
  <c r="S50" i="2"/>
  <c r="S42" i="2"/>
  <c r="S34" i="2"/>
  <c r="S10" i="2"/>
  <c r="S172" i="2"/>
  <c r="S169" i="2"/>
  <c r="S153" i="2"/>
  <c r="S137" i="2"/>
  <c r="S113" i="2"/>
  <c r="S105" i="2"/>
  <c r="S97" i="2"/>
  <c r="S89" i="2"/>
  <c r="S81" i="2"/>
  <c r="S57" i="2"/>
  <c r="S49" i="2"/>
  <c r="S41" i="2"/>
  <c r="S33" i="2"/>
  <c r="S17" i="2"/>
  <c r="S9" i="2"/>
  <c r="S171" i="2"/>
  <c r="S152" i="2"/>
  <c r="S144" i="2"/>
  <c r="S112" i="2"/>
  <c r="S96" i="2"/>
  <c r="S64" i="2"/>
  <c r="S16" i="2"/>
  <c r="S119" i="2"/>
  <c r="S103" i="2"/>
  <c r="S63" i="2"/>
  <c r="S47" i="2"/>
  <c r="S154" i="2"/>
  <c r="S102" i="2"/>
  <c r="S38" i="2"/>
  <c r="S86" i="2"/>
  <c r="S54" i="2"/>
  <c r="S129" i="2"/>
  <c r="S32" i="2"/>
  <c r="S146" i="2"/>
  <c r="S18" i="2"/>
  <c r="S6" i="2"/>
  <c r="S150" i="2"/>
  <c r="S110" i="2"/>
  <c r="S104" i="2"/>
  <c r="S168" i="2"/>
  <c r="S46" i="2"/>
  <c r="S15" i="2"/>
  <c r="S145" i="2"/>
  <c r="S111" i="2"/>
  <c r="S143" i="2"/>
  <c r="S69" i="2"/>
  <c r="S11" i="2"/>
  <c r="S167" i="2"/>
  <c r="S161" i="2"/>
  <c r="S142" i="2"/>
  <c r="S115" i="2"/>
  <c r="S95" i="2"/>
  <c r="S80" i="2"/>
  <c r="S74" i="2"/>
  <c r="S67" i="2"/>
  <c r="S60" i="2"/>
  <c r="S30" i="2"/>
  <c r="S75" i="2"/>
  <c r="S149" i="2"/>
  <c r="S120" i="2"/>
  <c r="S85" i="2"/>
  <c r="S173" i="2"/>
  <c r="S160" i="2"/>
  <c r="S135" i="2"/>
  <c r="S128" i="2"/>
  <c r="S79" i="2"/>
  <c r="S66" i="2"/>
  <c r="S29" i="2"/>
  <c r="S48" i="2"/>
  <c r="S159" i="2"/>
  <c r="S127" i="2"/>
  <c r="S100" i="2"/>
  <c r="S78" i="2"/>
  <c r="S51" i="2"/>
  <c r="S35" i="2"/>
  <c r="S5" i="2"/>
  <c r="S71" i="2"/>
  <c r="S8" i="2"/>
  <c r="S117" i="2"/>
  <c r="S88" i="2"/>
  <c r="S24" i="2"/>
  <c r="S133" i="2"/>
  <c r="S87" i="2"/>
  <c r="S52" i="2"/>
  <c r="S92" i="2"/>
  <c r="S84" i="2"/>
  <c r="S174" i="2"/>
  <c r="S162" i="2"/>
  <c r="S68" i="2"/>
  <c r="S45" i="2"/>
  <c r="S39" i="2"/>
  <c r="S151" i="2"/>
  <c r="S55" i="2"/>
  <c r="S164" i="2"/>
  <c r="S163" i="2"/>
  <c r="S139" i="2"/>
  <c r="S107" i="2"/>
  <c r="S70" i="2"/>
  <c r="S90" i="2"/>
  <c r="S56" i="2"/>
  <c r="S14" i="2"/>
  <c r="S116" i="2"/>
  <c r="S165" i="2"/>
  <c r="S166" i="2"/>
  <c r="S131" i="2"/>
  <c r="S82" i="2"/>
  <c r="S43" i="2"/>
  <c r="S12" i="2"/>
  <c r="S94" i="2"/>
  <c r="S62" i="2"/>
  <c r="S22" i="2"/>
  <c r="S21" i="2"/>
  <c r="S40" i="2"/>
  <c r="S148" i="2"/>
  <c r="S132" i="2"/>
  <c r="S44" i="2"/>
  <c r="S170" i="2"/>
  <c r="S76" i="2"/>
  <c r="S28" i="2"/>
  <c r="S155" i="2"/>
  <c r="S91" i="2"/>
  <c r="S83" i="2"/>
  <c r="S27" i="2"/>
  <c r="S3" i="2" l="1"/>
  <c r="O6" i="2" l="1"/>
  <c r="O19" i="2"/>
  <c r="O25" i="2"/>
  <c r="O31" i="2"/>
  <c r="O43" i="2"/>
  <c r="O63" i="2"/>
  <c r="O70" i="2"/>
  <c r="O83" i="2"/>
  <c r="O91" i="2"/>
  <c r="O111" i="2"/>
  <c r="O118" i="2"/>
  <c r="O125" i="2"/>
  <c r="O132" i="2"/>
  <c r="O139" i="2"/>
  <c r="O153" i="2"/>
  <c r="O160" i="2"/>
  <c r="O167" i="2"/>
  <c r="O172" i="2"/>
  <c r="O179" i="2"/>
  <c r="O7" i="2"/>
  <c r="O13" i="2"/>
  <c r="O20" i="2"/>
  <c r="O26" i="2"/>
  <c r="O32" i="2"/>
  <c r="O37" i="2"/>
  <c r="O44" i="2"/>
  <c r="O50" i="2"/>
  <c r="O57" i="2"/>
  <c r="O64" i="2"/>
  <c r="O71" i="2"/>
  <c r="O77" i="2"/>
  <c r="O84" i="2"/>
  <c r="O92" i="2"/>
  <c r="O98" i="2"/>
  <c r="O105" i="2"/>
  <c r="O112" i="2"/>
  <c r="O119" i="2"/>
  <c r="O126" i="2"/>
  <c r="O133" i="2"/>
  <c r="O140" i="2"/>
  <c r="O146" i="2"/>
  <c r="O154" i="2"/>
  <c r="O161" i="2"/>
  <c r="O168" i="2"/>
  <c r="O173" i="2"/>
  <c r="O8" i="2"/>
  <c r="O14" i="2"/>
  <c r="O27" i="2"/>
  <c r="O38" i="2"/>
  <c r="O51" i="2"/>
  <c r="O58" i="2"/>
  <c r="O65" i="2"/>
  <c r="O72" i="2"/>
  <c r="O78" i="2"/>
  <c r="O85" i="2"/>
  <c r="O99" i="2"/>
  <c r="O106" i="2"/>
  <c r="O113" i="2"/>
  <c r="O120" i="2"/>
  <c r="O127" i="2"/>
  <c r="O134" i="2"/>
  <c r="O147" i="2"/>
  <c r="O155" i="2"/>
  <c r="O174" i="2"/>
  <c r="O15" i="2"/>
  <c r="O21" i="2"/>
  <c r="O28" i="2"/>
  <c r="O33" i="2"/>
  <c r="O39" i="2"/>
  <c r="O45" i="2"/>
  <c r="O52" i="2"/>
  <c r="O59" i="2"/>
  <c r="O79" i="2"/>
  <c r="O86" i="2"/>
  <c r="O93" i="2"/>
  <c r="O100" i="2"/>
  <c r="O107" i="2"/>
  <c r="O121" i="2"/>
  <c r="O128" i="2"/>
  <c r="O135" i="2"/>
  <c r="O141" i="2"/>
  <c r="O148" i="2"/>
  <c r="O156" i="2"/>
  <c r="O162" i="2"/>
  <c r="O169" i="2"/>
  <c r="O175" i="2"/>
  <c r="O9" i="2"/>
  <c r="O16" i="2"/>
  <c r="O22" i="2"/>
  <c r="O40" i="2"/>
  <c r="O46" i="2"/>
  <c r="O53" i="2"/>
  <c r="O60" i="2"/>
  <c r="O66" i="2"/>
  <c r="O73" i="2"/>
  <c r="O80" i="2"/>
  <c r="O87" i="2"/>
  <c r="O94" i="2"/>
  <c r="O101" i="2"/>
  <c r="O108" i="2"/>
  <c r="O114" i="2"/>
  <c r="O122" i="2"/>
  <c r="O129" i="2"/>
  <c r="O136" i="2"/>
  <c r="O142" i="2"/>
  <c r="O149" i="2"/>
  <c r="O163" i="2"/>
  <c r="O170" i="2"/>
  <c r="O4" i="2"/>
  <c r="O10" i="2"/>
  <c r="O23" i="2"/>
  <c r="O29" i="2"/>
  <c r="O34" i="2"/>
  <c r="O47" i="2"/>
  <c r="O54" i="2"/>
  <c r="O67" i="2"/>
  <c r="O74" i="2"/>
  <c r="O81" i="2"/>
  <c r="O88" i="2"/>
  <c r="O95" i="2"/>
  <c r="O102" i="2"/>
  <c r="O115" i="2"/>
  <c r="O123" i="2"/>
  <c r="O143" i="2"/>
  <c r="O150" i="2"/>
  <c r="O157" i="2"/>
  <c r="O164" i="2"/>
  <c r="O176" i="2"/>
  <c r="O11" i="2"/>
  <c r="O17" i="2"/>
  <c r="O24" i="2"/>
  <c r="O35" i="2"/>
  <c r="O41" i="2"/>
  <c r="O48" i="2"/>
  <c r="O55" i="2"/>
  <c r="O61" i="2"/>
  <c r="O68" i="2"/>
  <c r="O75" i="2"/>
  <c r="O89" i="2"/>
  <c r="O96" i="2"/>
  <c r="O103" i="2"/>
  <c r="O109" i="2"/>
  <c r="O116" i="2"/>
  <c r="O124" i="2"/>
  <c r="O130" i="2"/>
  <c r="O137" i="2"/>
  <c r="O144" i="2"/>
  <c r="O151" i="2"/>
  <c r="O158" i="2"/>
  <c r="O165" i="2"/>
  <c r="O171" i="2"/>
  <c r="O177" i="2"/>
  <c r="O5" i="2"/>
  <c r="O12" i="2"/>
  <c r="O18" i="2"/>
  <c r="O30" i="2"/>
  <c r="O36" i="2"/>
  <c r="O42" i="2"/>
  <c r="O49" i="2"/>
  <c r="O56" i="2"/>
  <c r="O62" i="2"/>
  <c r="O69" i="2"/>
  <c r="O76" i="2"/>
  <c r="O82" i="2"/>
  <c r="O90" i="2"/>
  <c r="O97" i="2"/>
  <c r="O104" i="2"/>
  <c r="O110" i="2"/>
  <c r="O117" i="2"/>
  <c r="O131" i="2"/>
  <c r="O138" i="2"/>
  <c r="O145" i="2"/>
  <c r="O152" i="2"/>
  <c r="O159" i="2"/>
  <c r="O166" i="2"/>
  <c r="O178" i="2"/>
  <c r="O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tc={42A8DAAA-9B69-43A4-AC3F-EF258F205BB5}</author>
    <author>tc={2285AA99-1EC1-46FB-B646-A6463722554C}</author>
    <author>tc={5B1080A8-DA1A-4AFD-A7E9-7284E2B7ACE4}</author>
    <author>tc={05A7D711-4A4B-473F-A0C8-540856ED3E24}</author>
    <author>tc={250F2F55-3801-4A4B-9A28-645D4EB1C789}</author>
    <author>tc={E2EE0D50-1413-417A-84DA-45B07AC7079C}</author>
    <author>tc={87BC7194-B239-443E-9CE4-D2523FCE93EF}</author>
    <author>tc={F278D43A-21CC-4814-A62F-C5F1D74443F0}</author>
  </authors>
  <commentList>
    <comment ref="D3" authorId="0" shapeId="0" xr:uid="{42A8DAAA-9B69-43A4-AC3F-EF258F205BB5}">
      <text>
        <t>[Threaded comment]
Your version of Excel allows you to read this threaded comment; however, any edits to it will get removed if the file is opened in a newer version of Excel. Learn more: https://go.microsoft.com/fwlink/?linkid=870924
Comment:
    Concatenation of exchange rate group and currency. this is to uniquely identify which exchange rate to use</t>
      </text>
    </comment>
    <comment ref="E3" authorId="1" shapeId="0" xr:uid="{2285AA99-1EC1-46FB-B646-A6463722554C}">
      <text>
        <t>[Threaded comment]
Your version of Excel allows you to read this threaded comment; however, any edits to it will get removed if the file is opened in a newer version of Excel. Learn more: https://go.microsoft.com/fwlink/?linkid=870924
Comment:
    Take the exchange rate after uplift factor has been applied</t>
      </text>
    </comment>
    <comment ref="M3" authorId="2" shapeId="0" xr:uid="{5B1080A8-DA1A-4AFD-A7E9-7284E2B7ACE4}">
      <text>
        <t>[Threaded comment]
Your version of Excel allows you to read this threaded comment; however, any edits to it will get removed if the file is opened in a newer version of Excel. Learn more: https://go.microsoft.com/fwlink/?linkid=870924
Comment:
    Client Organisation &gt; License &gt; [Choose the database item for Product = CW1, Licese = PRD] &gt; STL [Choose the prices from the correct pricebook version, and within valid dates]. Select the Currency</t>
      </text>
    </comment>
    <comment ref="N3" authorId="3" shapeId="0" xr:uid="{05A7D711-4A4B-473F-A0C8-540856ED3E24}">
      <text>
        <t>[Threaded comment]
Your version of Excel allows you to read this threaded comment; however, any edits to it will get removed if the file is opened in a newer version of Excel. Learn more: https://go.microsoft.com/fwlink/?linkid=870924
Comment:
    Client Organisation &gt; License &gt; [Choose the database item for Product = CW1, License = PRD] &gt; STL [Choose the prices from the correct pricebook version, and within valid dates]. Select the 'Volume'. Would be either of HV, STD, LV</t>
      </text>
    </comment>
    <comment ref="O3" authorId="4" shapeId="0" xr:uid="{250F2F55-3801-4A4B-9A28-645D4EB1C789}">
      <text>
        <t>[Threaded comment]
Your version of Excel allows you to read this threaded comment; however, any edits to it will get removed if the file is opened in a newer version of Excel. Learn more: https://go.microsoft.com/fwlink/?linkid=870924
Comment:
    based on Volume price adjustment, choose the Vlume % fro mthe same table row of the db. For STD it is 100% , for LV or HV it can vary for clients</t>
      </text>
    </comment>
    <comment ref="P3" authorId="5" shapeId="0" xr:uid="{E2EE0D50-1413-417A-84DA-45B07AC7079C}">
      <text>
        <t>[Threaded comment]
Your version of Excel allows you to read this threaded comment; however, any edits to it will get removed if the file is opened in a newer version of Excel. Learn more: https://go.microsoft.com/fwlink/?linkid=870924
Comment:
    Only for HV, the volume % apply to specific price items and NOT the enitre pricebook. For STD and LV it applies to entir price book.
Consider this column only if Volume is HV. This column will have a comma separated list of all price codes where the HV pricing apply.
From the Client org table after selecting the correct Prices table (See the previous columns on Volume based pricing), goto the db table "Customer Settings" and choose all summary, where 'Type' is 'High Volume'. Each Summary item is depicted as 'XXX-YYY'. This maps to the Category (XXX) and Code (YYY) of a price item in the price list.</t>
      </text>
    </comment>
    <comment ref="Q3" authorId="6" shapeId="0" xr:uid="{87BC7194-B239-443E-9CE4-D2523FCE93EF}">
      <text>
        <t>[Threaded comment]
Your version of Excel allows you to read this threaded comment; however, any edits to it will get removed if the file is opened in a newer version of Excel. Learn more: https://go.microsoft.com/fwlink/?linkid=870924
Comment:
    in the same db row as "Volume Price Adjustment" core pack info is available in the "Core Pack" column. The values are INC (i.e. included), UP (if uplifted) or EX (i.e. excluded, i.e. volume discount do not apply).</t>
      </text>
    </comment>
    <comment ref="R3" authorId="7" shapeId="0" xr:uid="{F278D43A-21CC-4814-A62F-C5F1D74443F0}">
      <text>
        <t>[Threaded comment]
Your version of Excel allows you to read this threaded comment; however, any edits to it will get removed if the file is opened in a newer version of Excel. Learn more: https://go.microsoft.com/fwlink/?linkid=870924
Comment:
    When "Core Pack Excluded from Std volume discount" is 'UP', the nthe value here is relevant. Pick the value from the same row in db as "Core Pack" and use the value under "Core Uplift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tc={563A24E8-86A4-4A3D-8734-D1586FEB85C5}</author>
    <author>tc={8F5FBD87-BC17-4126-A193-2619DC1D24AD}</author>
    <author>tc={E60E8BFF-B91F-485D-91AC-08074DCBFDBD}</author>
    <author>tc={2FE7E817-5338-4995-BD81-3D017AA995A1}</author>
    <author>tc={9F040CCF-5BE0-42AF-A3DF-C6BC686ABB8F}</author>
    <author>tc={E9C888B1-F69C-4645-B8B8-E2CCBB9DAC0E}</author>
    <author>tc={8D6F4ECC-0186-4F61-8D67-0D90453779B4}</author>
    <author>tc={6C51FCFE-3B63-4B7F-8B22-E32E4F82300D}</author>
  </authors>
  <commentList>
    <comment ref="B2" authorId="0" shapeId="0" xr:uid="{563A24E8-86A4-4A3D-8734-D1586FEB85C5}">
      <text>
        <t>[Threaded comment]
Your version of Excel allows you to read this threaded comment; however, any edits to it will get removed if the file is opened in a newer version of Excel. Learn more: https://go.microsoft.com/fwlink/?linkid=870924
Comment:
    this will be used for formating, it is based on number of leading spaces before the description. on hte output .xls/pdf, the number of leading spaces is to be taken for the indentation, and formating</t>
      </text>
    </comment>
    <comment ref="L2" authorId="1" shapeId="0" xr:uid="{8F5FBD87-BC17-4126-A193-2619DC1D24AD}">
      <text>
        <t>[Threaded comment]
Your version of Excel allows you to read this threaded comment; however, any edits to it will get removed if the file is opened in a newer version of Excel. Learn more: https://go.microsoft.com/fwlink/?linkid=870924
Comment:
    This converts into Discount Units after conversion.</t>
      </text>
    </comment>
    <comment ref="N2" authorId="2" shapeId="0" xr:uid="{E60E8BFF-B91F-485D-91AC-08074DCBFDBD}">
      <text>
        <t>[Threaded comment]
Your version of Excel allows you to read this threaded comment; however, any edits to it will get removed if the file is opened in a newer version of Excel. Learn more: https://go.microsoft.com/fwlink/?linkid=870924
Comment:
    Base Price * Exchange Rate</t>
      </text>
    </comment>
    <comment ref="O2" authorId="3" shapeId="0" xr:uid="{2FE7E817-5338-4995-BD81-3D017AA995A1}">
      <text>
        <t>[Threaded comment]
Your version of Excel allows you to read this threaded comment; however, any edits to it will get removed if the file is opened in a newer version of Excel. Learn more: https://go.microsoft.com/fwlink/?linkid=870924
Comment:
    When a price line item is eligible for volume discount (Eligible For Volume Discount = "YES"), apply the voume discount and uplift factors as below, else keep the price at 100%
* Base Price in local currency * Volume adjustment Factor (based on STD/HV/LV) * Uplift Factor</t>
      </text>
    </comment>
    <comment ref="P2" authorId="4" shapeId="0" xr:uid="{9F040CCF-5BE0-42AF-A3DF-C6BC686ABB8F}">
      <text>
        <t>[Threaded comment]
Your version of Excel allows you to read this threaded comment; however, any edits to it will get removed if the file is opened in a newer version of Excel. Learn more: https://go.microsoft.com/fwlink/?linkid=870924
Comment:
    if Core pack is excluded for volume discount then charge at 100%, else;
For HV items take the Volume factor, and for LV and STD take the Volume % at teh customer level.</t>
      </text>
    </comment>
    <comment ref="Q2" authorId="5" shapeId="0" xr:uid="{E9C888B1-F69C-4645-B8B8-E2CCBB9DAC0E}">
      <text>
        <t>[Threaded comment]
Your version of Excel allows you to read this threaded comment; however, any edits to it will get removed if the file is opened in a newer version of Excel. Learn more: https://go.microsoft.com/fwlink/?linkid=870924
Comment:
    For HV clients, determines if this line item is eligible for HV discount, and determines the HV dicount factor. 
&gt;&gt; Note: Use this column only for HV clients.</t>
      </text>
    </comment>
    <comment ref="R2" authorId="6" shapeId="0" xr:uid="{8D6F4ECC-0186-4F61-8D67-0D90453779B4}">
      <text>
        <t>[Threaded comment]
Your version of Excel allows you to read this threaded comment; however, any edits to it will get removed if the file is opened in a newer version of Excel. Learn more: https://go.microsoft.com/fwlink/?linkid=870924
Comment:
    if there is an uplift (Core pack = UP), then apply the uplift factor, else keep it 100% (1)</t>
      </text>
    </comment>
    <comment ref="S2" authorId="7" shapeId="0" xr:uid="{6C51FCFE-3B63-4B7F-8B22-E32E4F82300D}">
      <text>
        <t>[Threaded comment]
Your version of Excel allows you to read this threaded comment; however, any edits to it will get removed if the file is opened in a newer version of Excel. Learn more: https://go.microsoft.com/fwlink/?linkid=870924
Comment:
    This is always in USD, so the License unit does not need exchange rate update.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tc={1927A43E-6E45-4451-886E-1EAD7A6166F0}</author>
    <author>tc={30F37C59-5F96-435C-8671-1B8450E5E2E1}</author>
    <author>tc={EBB26D46-A5E7-4E6A-A040-5C3B015C1ED1}</author>
  </authors>
  <commentList>
    <comment ref="B6" authorId="0" shapeId="0" xr:uid="{1927A43E-6E45-4451-886E-1EAD7A6166F0}">
      <text>
        <t>[Threaded comment]
Your version of Excel allows you to read this threaded comment; however, any edits to it will get removed if the file is opened in a newer version of Excel. Learn more: https://go.microsoft.com/fwlink/?linkid=870924
Comment:
    this will be used for formating, it is based on number of leading spaces before the description. on hte output .xls/pdf, the number of leading spaces is to be taken for the indentation, and formating</t>
      </text>
    </comment>
    <comment ref="J6" authorId="1" shapeId="0" xr:uid="{30F37C59-5F96-435C-8671-1B8450E5E2E1}">
      <text>
        <t>[Threaded comment]
Your version of Excel allows you to read this threaded comment; however, any edits to it will get removed if the file is opened in a newer version of Excel. Learn more: https://go.microsoft.com/fwlink/?linkid=870924
Comment:
    This converts into Discount Units after conversion.</t>
      </text>
    </comment>
    <comment ref="L6" authorId="2" shapeId="0" xr:uid="{EBB26D46-A5E7-4E6A-A040-5C3B015C1ED1}">
      <text>
        <t>[Threaded comment]
Your version of Excel allows you to read this threaded comment; however, any edits to it will get removed if the file is opened in a newer version of Excel. Learn more: https://go.microsoft.com/fwlink/?linkid=870924
Comment:
    This is always in USD, so the License unit does not need exchange rate update.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<sst xmlns="http://schemas.openxmlformats.org/spreadsheetml/2006/main" count="2524" uniqueCount="883">
  <si>
    <t>Discount Unit</t>
  </si>
  <si>
    <t>Uplift Factor</t>
  </si>
  <si>
    <t>Category search for HV Base Discount</t>
  </si>
  <si>
    <t>Volume adjustment Factor</t>
  </si>
  <si>
    <t>List Price (Volume Adjusted Price in Local Currency)</t>
  </si>
  <si>
    <t>Base Price in Local Currency</t>
  </si>
  <si>
    <t>Eligible For Volume Discount</t>
  </si>
  <si>
    <t>License Units</t>
  </si>
  <si>
    <t>Charge Basis / Entity counted</t>
  </si>
  <si>
    <t>Base Price (USD)</t>
  </si>
  <si>
    <t>Available</t>
  </si>
  <si>
    <t>Description</t>
  </si>
  <si>
    <t>Code</t>
  </si>
  <si>
    <t>Category</t>
  </si>
  <si>
    <t>Row</t>
  </si>
  <si>
    <t>Item Level</t>
  </si>
  <si>
    <t>AUD</t>
  </si>
  <si>
    <t>Exchange Rate</t>
  </si>
  <si>
    <t>Core Uplift %</t>
  </si>
  <si>
    <t>Core Pack Excluded from Std volume discount</t>
  </si>
  <si>
    <t>VolumeBasedPriceItems</t>
  </si>
  <si>
    <t>Volume %</t>
  </si>
  <si>
    <t>Volume Price Adjustment</t>
  </si>
  <si>
    <t>Currency</t>
  </si>
  <si>
    <t>Org Name</t>
  </si>
  <si>
    <t>Org Code</t>
  </si>
  <si>
    <t xml:space="preserve">For each row in "BorderWise Pricelist master" fill corresponding cells marked in grey. </t>
  </si>
  <si>
    <t>Prerequisites</t>
  </si>
  <si>
    <t>Base Price</t>
  </si>
  <si>
    <t>BorderWise</t>
  </si>
  <si>
    <t>BOR</t>
  </si>
  <si>
    <t>AUP</t>
  </si>
  <si>
    <t xml:space="preserve">   Single Window (AU) Partner</t>
  </si>
  <si>
    <t>Per Registered User</t>
  </si>
  <si>
    <t>AUW</t>
  </si>
  <si>
    <t xml:space="preserve">   Single Window (AU) CW1</t>
  </si>
  <si>
    <t>AUX</t>
  </si>
  <si>
    <t xml:space="preserve">   Single Window (AU) CW1 + Partner</t>
  </si>
  <si>
    <t>AUS</t>
  </si>
  <si>
    <t xml:space="preserve">   Single Window (AU) Standalone</t>
  </si>
  <si>
    <t>AU3</t>
  </si>
  <si>
    <t xml:space="preserve">   Pro Pack (AU)</t>
  </si>
  <si>
    <t>NZP</t>
  </si>
  <si>
    <t xml:space="preserve">   Single Window (NZ) Partner</t>
  </si>
  <si>
    <t>NZD</t>
  </si>
  <si>
    <t>NZW</t>
  </si>
  <si>
    <t xml:space="preserve">   Single Window (NZ) CW1</t>
  </si>
  <si>
    <t>NZX</t>
  </si>
  <si>
    <t xml:space="preserve">   Single Window (NZ) CW1 + Partner</t>
  </si>
  <si>
    <t>NZS</t>
  </si>
  <si>
    <t xml:space="preserve">   Single Window (NZ) Standalone</t>
  </si>
  <si>
    <t>NZ3</t>
  </si>
  <si>
    <t xml:space="preserve">   Pro Pack (NZ)</t>
  </si>
  <si>
    <t>USP</t>
  </si>
  <si>
    <t xml:space="preserve">   Single Window (US) Partner</t>
  </si>
  <si>
    <t>USD</t>
  </si>
  <si>
    <t>USW</t>
  </si>
  <si>
    <t xml:space="preserve">   Single Window (US) CW1</t>
  </si>
  <si>
    <t>USX</t>
  </si>
  <si>
    <t xml:space="preserve">   Single Window (US) CW1 + Partner</t>
  </si>
  <si>
    <t>USS</t>
  </si>
  <si>
    <t xml:space="preserve">   Single Window (US) Standalone</t>
  </si>
  <si>
    <t>US3</t>
  </si>
  <si>
    <t xml:space="preserve">   Pro Pack (US)</t>
  </si>
  <si>
    <t>ZAP</t>
  </si>
  <si>
    <t xml:space="preserve">   Single Window (ZA) Partner</t>
  </si>
  <si>
    <t>ZAR</t>
  </si>
  <si>
    <t>ZAW</t>
  </si>
  <si>
    <t xml:space="preserve">   Single Window (ZA) CW1</t>
  </si>
  <si>
    <t>ZAX</t>
  </si>
  <si>
    <t xml:space="preserve">   Single Window (ZA) CW1 + Partner</t>
  </si>
  <si>
    <t>ZAS</t>
  </si>
  <si>
    <t xml:space="preserve">   Single Window (ZA) Standalone</t>
  </si>
  <si>
    <t>ZA3</t>
  </si>
  <si>
    <t xml:space="preserve">   Pro Pack (ZA)</t>
  </si>
  <si>
    <t>BWX</t>
  </si>
  <si>
    <t>BWS</t>
  </si>
  <si>
    <t>BW3</t>
  </si>
  <si>
    <t xml:space="preserve">   Pro Pack (Global)</t>
  </si>
  <si>
    <t xml:space="preserve">  BorderWise Free Trial Licence</t>
  </si>
  <si>
    <t>BF1</t>
  </si>
  <si>
    <t xml:space="preserve">   Free Trial Access</t>
  </si>
  <si>
    <t>CW1</t>
  </si>
  <si>
    <t>Price</t>
  </si>
  <si>
    <t>ABM Customs</t>
  </si>
  <si>
    <t>Y</t>
  </si>
  <si>
    <t>User Access</t>
  </si>
  <si>
    <t>STL</t>
  </si>
  <si>
    <t>USR</t>
  </si>
  <si>
    <t xml:space="preserve"> Per Active (Registered) User</t>
  </si>
  <si>
    <t>Per Active Staff Record</t>
  </si>
  <si>
    <t>Logistics and Supply Chain</t>
  </si>
  <si>
    <t xml:space="preserve"> Forwarder</t>
  </si>
  <si>
    <t xml:space="preserve">  General Forwarding Engine</t>
  </si>
  <si>
    <t>SHP</t>
  </si>
  <si>
    <t>Per Job Header</t>
  </si>
  <si>
    <t>ORM</t>
  </si>
  <si>
    <t xml:space="preserve">   Order Manager</t>
  </si>
  <si>
    <t>Per Order</t>
  </si>
  <si>
    <t xml:space="preserve">   Gateway Billing</t>
  </si>
  <si>
    <t xml:space="preserve"> CFS/Freight Shed Manager</t>
  </si>
  <si>
    <t xml:space="preserve">  Container Freight Station / Air Freight Shed</t>
  </si>
  <si>
    <t>CFC</t>
  </si>
  <si>
    <t xml:space="preserve">   Container Packing (Packing Tab in Forwarding/Consol or CFS Load List)</t>
  </si>
  <si>
    <t>Per Load List (if no container) Per Container</t>
  </si>
  <si>
    <t>CFP</t>
  </si>
  <si>
    <t xml:space="preserve">   Shipment Management</t>
  </si>
  <si>
    <t>Per Consignment</t>
  </si>
  <si>
    <t>CFM</t>
  </si>
  <si>
    <t xml:space="preserve">   Container Storage Management</t>
  </si>
  <si>
    <t xml:space="preserve"> Liner and Agency</t>
  </si>
  <si>
    <t xml:space="preserve">  General Liner/Ships Agent Engine</t>
  </si>
  <si>
    <t>BOL</t>
  </si>
  <si>
    <t xml:space="preserve">   Booking/Bill of Lading</t>
  </si>
  <si>
    <t xml:space="preserve">   Container Manager</t>
  </si>
  <si>
    <t>Per Container</t>
  </si>
  <si>
    <t>CDT</t>
  </si>
  <si>
    <t xml:space="preserve">   Container Detention</t>
  </si>
  <si>
    <t>Included</t>
  </si>
  <si>
    <t xml:space="preserve">  Tramp Liner</t>
  </si>
  <si>
    <t xml:space="preserve">   Tramp Shipping Functions</t>
  </si>
  <si>
    <t>Per Vessel Voyage</t>
  </si>
  <si>
    <t xml:space="preserve">  Principal Accounting</t>
  </si>
  <si>
    <t xml:space="preserve">   Voyage Accounting</t>
  </si>
  <si>
    <t xml:space="preserve">   Sundry Charges</t>
  </si>
  <si>
    <t xml:space="preserve"> Land Transport (Road / Rail)</t>
  </si>
  <si>
    <t xml:space="preserve">  Land Transport System</t>
  </si>
  <si>
    <t>LTM</t>
  </si>
  <si>
    <t xml:space="preserve">   LTL/General Freight (PUD + Line Haul)</t>
  </si>
  <si>
    <t xml:space="preserve">   FTL/Bulk/Liquid/Livestock (Point to Point/Direct Move)</t>
  </si>
  <si>
    <t>Per Move</t>
  </si>
  <si>
    <t>PTC</t>
  </si>
  <si>
    <t xml:space="preserve">   Containerized Moves (Port/Door/CY, CY/Door/Port)</t>
  </si>
  <si>
    <t xml:space="preserve"> Warehouse Manager</t>
  </si>
  <si>
    <t xml:space="preserve">  Contract Warehouse Functions(Warehouse including 3PL, 4PL)</t>
  </si>
  <si>
    <t>WIN</t>
  </si>
  <si>
    <t xml:space="preserve">   Receipt Header</t>
  </si>
  <si>
    <t>Per Receipt Header</t>
  </si>
  <si>
    <t>WOD</t>
  </si>
  <si>
    <t xml:space="preserve">   Outward Order Header</t>
  </si>
  <si>
    <t>Per Outward Order Header</t>
  </si>
  <si>
    <t>WOL</t>
  </si>
  <si>
    <t xml:space="preserve">   Outward Order Line</t>
  </si>
  <si>
    <t>Per Outward Order Line</t>
  </si>
  <si>
    <t xml:space="preserve">   Outward Order Header (Greater Than 1,000 Orders)</t>
  </si>
  <si>
    <t xml:space="preserve">   Outward Order Header (Greater Than 5,000 Orders)</t>
  </si>
  <si>
    <t xml:space="preserve">   Outward Order Header (Greater Than 20,000 Orders)</t>
  </si>
  <si>
    <t>WBM</t>
  </si>
  <si>
    <t xml:space="preserve">   Bill Of Material / Value Added Services Work Orders</t>
  </si>
  <si>
    <t>Per Bill Of Material Work Order</t>
  </si>
  <si>
    <t xml:space="preserve"> Integrated Warehouse / Inventory Management - Long Term Bond / FTZ</t>
  </si>
  <si>
    <t>W4P</t>
  </si>
  <si>
    <t xml:space="preserve">   W/H Receipt and W/H Withdrawal</t>
  </si>
  <si>
    <t>Per W/H Inwards and Per W/H Withdrawal</t>
  </si>
  <si>
    <t xml:space="preserve"> Transit Warehouse</t>
  </si>
  <si>
    <t>WTP</t>
  </si>
  <si>
    <t xml:space="preserve">   Less than or equal to 50,000</t>
  </si>
  <si>
    <t xml:space="preserve">   Greater than 50,000</t>
  </si>
  <si>
    <t xml:space="preserve">   Greater than 100,000</t>
  </si>
  <si>
    <t xml:space="preserve">   Greater than 250,000</t>
  </si>
  <si>
    <t>Customs &amp; Country Specific Integrations</t>
  </si>
  <si>
    <t xml:space="preserve"> Customs and Other Government Research Tools</t>
  </si>
  <si>
    <t xml:space="preserve">  Global Compliance</t>
  </si>
  <si>
    <t xml:space="preserve">   Compliance Manager (Research &amp; Classification)</t>
  </si>
  <si>
    <t>Included (ediTariff)</t>
  </si>
  <si>
    <t xml:space="preserve"> Pre Departure, Advanced Filing, Embargo and Denied Parties</t>
  </si>
  <si>
    <t xml:space="preserve">  Embargo / Denied Parties / Parties of Interest etc</t>
  </si>
  <si>
    <t xml:space="preserve">   Embargo Management</t>
  </si>
  <si>
    <t>Per Screened Movement/Shipment</t>
  </si>
  <si>
    <t>ISF</t>
  </si>
  <si>
    <t xml:space="preserve">   Importer Security Filing (eg: ISF/10+2 and other similar)</t>
  </si>
  <si>
    <t>Per Original Transmission</t>
  </si>
  <si>
    <t>#PD</t>
  </si>
  <si>
    <t xml:space="preserve">   Pre Departure Manifest (eManifest, AMS, ACI, ICS, AFR etc)</t>
  </si>
  <si>
    <t xml:space="preserve"> Customs &amp; Other Government Communication</t>
  </si>
  <si>
    <t xml:space="preserve">  Export Formal Customs/Statistics Entry Compliance</t>
  </si>
  <si>
    <t>EFC</t>
  </si>
  <si>
    <t>Per Registration (Including First Entry) and Per Additional Entry</t>
  </si>
  <si>
    <t xml:space="preserve">  Import Formal Customs Entry Compliance</t>
  </si>
  <si>
    <t>IFG</t>
  </si>
  <si>
    <t>IFL</t>
  </si>
  <si>
    <t xml:space="preserve">   Land Border Clearance (Truck and Rail)</t>
  </si>
  <si>
    <t>Per Registration</t>
  </si>
  <si>
    <t>GBC</t>
  </si>
  <si>
    <t xml:space="preserve">   UK Customs (HCI Terminal Clearance)</t>
  </si>
  <si>
    <t>Per Month Per licence</t>
  </si>
  <si>
    <t xml:space="preserve">   Informal /  Simplified Entry</t>
  </si>
  <si>
    <t>Per Registration/First Message</t>
  </si>
  <si>
    <t>LVS</t>
  </si>
  <si>
    <t>#CC</t>
  </si>
  <si>
    <t xml:space="preserve">  Core Customs Processing (applies exclusively in non-integrated countries)</t>
  </si>
  <si>
    <t xml:space="preserve">  Special Entry Types</t>
  </si>
  <si>
    <t>MSC</t>
  </si>
  <si>
    <t xml:space="preserve">   Miscellaneous/External Broker In-Out Customs Jobs</t>
  </si>
  <si>
    <t>DRW</t>
  </si>
  <si>
    <t xml:space="preserve">   Drawbacks (integrated with Warehousing and BOM)</t>
  </si>
  <si>
    <t>FTZ</t>
  </si>
  <si>
    <t xml:space="preserve">   Free Trade Zone Entry/Protest/Reconciliation/B2 Entries</t>
  </si>
  <si>
    <t>LCH</t>
  </si>
  <si>
    <t xml:space="preserve">   Landed Costing</t>
  </si>
  <si>
    <t>Per Landed Cost</t>
  </si>
  <si>
    <t>EBD</t>
  </si>
  <si>
    <t xml:space="preserve">   Single Transaction Bond Application (US Only)</t>
  </si>
  <si>
    <t>Per Successful Application</t>
  </si>
  <si>
    <t>RFP</t>
  </si>
  <si>
    <t>INB</t>
  </si>
  <si>
    <t xml:space="preserve">   Intransit / InBond / Underbond Movement Request (From Customs Menu)</t>
  </si>
  <si>
    <t>Per Movement Registration</t>
  </si>
  <si>
    <t>NCT</t>
  </si>
  <si>
    <t xml:space="preserve">   InBond / Underbond Movement Request (From Forwarding Menu)</t>
  </si>
  <si>
    <t xml:space="preserve"> Other Parties Customs and Port Messaging (non Broker/Agent messaging)</t>
  </si>
  <si>
    <t xml:space="preserve">  Ecommerce (Incl. low value customs entries - only if transaction originates from Ecommerce, otherwise separately charged)</t>
  </si>
  <si>
    <t xml:space="preserve">   First 50,000</t>
  </si>
  <si>
    <t>Per Item (Ecommerce) / Per Entry Number (customs entries)</t>
  </si>
  <si>
    <t xml:space="preserve">   Between 50,001 to 100,000</t>
  </si>
  <si>
    <t xml:space="preserve">   Between 100,001 to 200,000</t>
  </si>
  <si>
    <t xml:space="preserve">   Between 200,001 to 400,000</t>
  </si>
  <si>
    <t xml:space="preserve">   Between 400,001 to 1,000,000</t>
  </si>
  <si>
    <t xml:space="preserve">   Between 1,000,001 to 2,000,000</t>
  </si>
  <si>
    <t xml:space="preserve">   Between 2,000,001 to 4,000,000</t>
  </si>
  <si>
    <t xml:space="preserve">   Between 4,000,001 to 6,000,000</t>
  </si>
  <si>
    <t xml:space="preserve">   Between 6,000,001 to 10,000,000</t>
  </si>
  <si>
    <t xml:space="preserve">   10,000,001 and above</t>
  </si>
  <si>
    <t>Per Item</t>
  </si>
  <si>
    <t xml:space="preserve">  Forwarder/CFS/CTO/CY/Land Transport Message Functions</t>
  </si>
  <si>
    <t>Per Inbond</t>
  </si>
  <si>
    <t>ACX</t>
  </si>
  <si>
    <t xml:space="preserve">   Import/Export Air Cargo Report</t>
  </si>
  <si>
    <t>Per HAWB or MAWB</t>
  </si>
  <si>
    <t>SCE</t>
  </si>
  <si>
    <t xml:space="preserve">   Import/Export Sea Cargo Report</t>
  </si>
  <si>
    <t>Per HBL or OBL</t>
  </si>
  <si>
    <t>CTT</t>
  </si>
  <si>
    <t xml:space="preserve">   Import/Export Air Cargo CFS/CTO Customs Functions</t>
  </si>
  <si>
    <t>STT</t>
  </si>
  <si>
    <t xml:space="preserve">   Import/Export Sea Cargo CFS/CTO Customs Functions</t>
  </si>
  <si>
    <t>Per HBL or OBL or Container</t>
  </si>
  <si>
    <t>IQM</t>
  </si>
  <si>
    <t xml:space="preserve">   Air/Sea/Rail/Road Consol/Manifest/Quarantine Report</t>
  </si>
  <si>
    <t>Per Report Message</t>
  </si>
  <si>
    <t>CPT</t>
  </si>
  <si>
    <t>PRT</t>
  </si>
  <si>
    <t xml:space="preserve">   Pre Receival (PRA) / Export Receival Advice (ERA)</t>
  </si>
  <si>
    <t>Per PRA/ERA Message</t>
  </si>
  <si>
    <t xml:space="preserve">   Slot Booking Request / Port, CFS, CY Slot request</t>
  </si>
  <si>
    <t>Per Slot Request</t>
  </si>
  <si>
    <t>SVC</t>
  </si>
  <si>
    <t>CAU</t>
  </si>
  <si>
    <t xml:space="preserve">   Pre-loading Advance Cargo Information Filing (PLACI)</t>
  </si>
  <si>
    <t>Per Direct MAWB or HAWB</t>
  </si>
  <si>
    <t xml:space="preserve">  Liner &amp; Agency Functions</t>
  </si>
  <si>
    <t>SRI</t>
  </si>
  <si>
    <t xml:space="preserve">   Import/Export Shipping Customs Report</t>
  </si>
  <si>
    <t>Per OBL</t>
  </si>
  <si>
    <t>SDT</t>
  </si>
  <si>
    <t xml:space="preserve">   Container Release/Container Arrive PreAdvice/Delivery Order</t>
  </si>
  <si>
    <t>SPT</t>
  </si>
  <si>
    <t xml:space="preserve">   Port Authority/Stevedore Manifest (Shipping Manifest, Load/Discharge List)</t>
  </si>
  <si>
    <t>Per Bill of Lading</t>
  </si>
  <si>
    <t xml:space="preserve">   Dangerous Goods Declaration</t>
  </si>
  <si>
    <t>Per Bill of Lading with DG</t>
  </si>
  <si>
    <t>OCK</t>
  </si>
  <si>
    <t xml:space="preserve">   Container Movement Tracking</t>
  </si>
  <si>
    <t>Per Movement</t>
  </si>
  <si>
    <t xml:space="preserve">  Forwarding Port Messaging</t>
  </si>
  <si>
    <t>PMG</t>
  </si>
  <si>
    <t>PM1</t>
  </si>
  <si>
    <t xml:space="preserve">   Port Messaging Data Record / Original Entry (eg. MRN)</t>
  </si>
  <si>
    <t>PM2</t>
  </si>
  <si>
    <t xml:space="preserve">   Port Other Messages (eManifest /eCLP /eTerminal Release/Delivery/Stop/Gate Pass/Request/Cert/Cargo Dues etc)</t>
  </si>
  <si>
    <t>Per Message</t>
  </si>
  <si>
    <t>PM3</t>
  </si>
  <si>
    <t xml:space="preserve">   Port Status</t>
  </si>
  <si>
    <t>Bundled Language, Geographic Compliance, Online Air and Sea Schedule Data, Trade and Shipping Data and Reference Data Sets</t>
  </si>
  <si>
    <t>N</t>
  </si>
  <si>
    <t xml:space="preserve">  Pricing is based on Average Registered Users per Country in the billing month.</t>
  </si>
  <si>
    <t>ODM</t>
  </si>
  <si>
    <t>GPC</t>
  </si>
  <si>
    <t xml:space="preserve">   Less than or equal to 5 users</t>
  </si>
  <si>
    <t>C - Country</t>
  </si>
  <si>
    <t xml:space="preserve">   Greater than 5 users</t>
  </si>
  <si>
    <t xml:space="preserve">   Greater than 25 users</t>
  </si>
  <si>
    <t xml:space="preserve">   Greater than 100 users</t>
  </si>
  <si>
    <t>Additional Services</t>
  </si>
  <si>
    <t xml:space="preserve"> Additional Services</t>
  </si>
  <si>
    <t xml:space="preserve">  Distance Calculations</t>
  </si>
  <si>
    <t>DCG</t>
  </si>
  <si>
    <t xml:space="preserve">   Distance Calculator (Google)</t>
  </si>
  <si>
    <t>Per Query</t>
  </si>
  <si>
    <t xml:space="preserve">  Messaging and Electronic Submission</t>
  </si>
  <si>
    <t>AMG</t>
  </si>
  <si>
    <t>AIR</t>
  </si>
  <si>
    <t xml:space="preserve">   Airlines Messaging (FWB/FHL//FSR)</t>
  </si>
  <si>
    <t>Per outward FWB/FHL/FSR</t>
  </si>
  <si>
    <t>SHI</t>
  </si>
  <si>
    <t>Per Booking/Shipping Instruction Message Sent</t>
  </si>
  <si>
    <t>VGM</t>
  </si>
  <si>
    <t xml:space="preserve">   VGM - submission to Carrier</t>
  </si>
  <si>
    <t xml:space="preserve">   Status Events not otherwise provided for</t>
  </si>
  <si>
    <t>Per Status Event Received</t>
  </si>
  <si>
    <t xml:space="preserve">  Carrier/NVOCC Messaging</t>
  </si>
  <si>
    <t>CMV</t>
  </si>
  <si>
    <t xml:space="preserve">   Receiving VGM</t>
  </si>
  <si>
    <t>CBR</t>
  </si>
  <si>
    <t xml:space="preserve">   Receiving Booking/SI</t>
  </si>
  <si>
    <t>Per Shipment</t>
  </si>
  <si>
    <t xml:space="preserve">  Tracking Functions</t>
  </si>
  <si>
    <t>RIM</t>
  </si>
  <si>
    <t>RIC</t>
  </si>
  <si>
    <t xml:space="preserve">   Railinc Tracking Event</t>
  </si>
  <si>
    <t>Per Event Received</t>
  </si>
  <si>
    <t xml:space="preserve">   Ocean Bill Tracking</t>
  </si>
  <si>
    <t>Included in Booking/SI</t>
  </si>
  <si>
    <t xml:space="preserve">   Airline FSU/FSA/FMA/FNA</t>
  </si>
  <si>
    <t>Included in FWB/FSR transaction</t>
  </si>
  <si>
    <t>CRM / Sales Management / HRM</t>
  </si>
  <si>
    <t xml:space="preserve"> Sales and Marketing System</t>
  </si>
  <si>
    <t xml:space="preserve">  General Sales and Marketing tools</t>
  </si>
  <si>
    <t xml:space="preserve">   Customer and Competitor Intelligence</t>
  </si>
  <si>
    <t xml:space="preserve">   Inquiry Manager</t>
  </si>
  <si>
    <t xml:space="preserve">   Communications Manager</t>
  </si>
  <si>
    <t xml:space="preserve">  Sales and Marketing Power Functions</t>
  </si>
  <si>
    <t>CMR</t>
  </si>
  <si>
    <t xml:space="preserve">   Campaign Manager - Campaign Registration</t>
  </si>
  <si>
    <t>Per Campaign (Free if CargoWise Certification Program requirements are met - refer to MyAccount)</t>
  </si>
  <si>
    <t>CME</t>
  </si>
  <si>
    <t xml:space="preserve">       - Email Creation and Transmission</t>
  </si>
  <si>
    <t>Per Email (Free if CargoWise Certification Program requirements are met - refer to MyAccount)</t>
  </si>
  <si>
    <t>OPM</t>
  </si>
  <si>
    <t xml:space="preserve">   Opportunity Manager</t>
  </si>
  <si>
    <t>Per Opportunity (Free if CargoWise Certification Program requirements are met - refer to MyAccount)</t>
  </si>
  <si>
    <t xml:space="preserve">   Event Manager - Event Registration</t>
  </si>
  <si>
    <t>Per Event (Free if CargoWise Certification Program requirements are met - refer to MyAccount)</t>
  </si>
  <si>
    <t xml:space="preserve">        - Per Attendee</t>
  </si>
  <si>
    <t>Per Attendee (Free if CargoWise Certification Program requirements are met - refer to MyAccount)</t>
  </si>
  <si>
    <t xml:space="preserve">   Quotation Manager</t>
  </si>
  <si>
    <t>Per Quotation (Free if CargoWise Certification Program requirements are met - refer to MyAccount)</t>
  </si>
  <si>
    <t xml:space="preserve"> Human Resources Manager</t>
  </si>
  <si>
    <t xml:space="preserve">  Staff Management</t>
  </si>
  <si>
    <t>Included in Seat Lic of STL</t>
  </si>
  <si>
    <t xml:space="preserve">   Leave Manager</t>
  </si>
  <si>
    <t xml:space="preserve">   licence and Certification Manager</t>
  </si>
  <si>
    <t xml:space="preserve">   Staff Activity Tracking</t>
  </si>
  <si>
    <t xml:space="preserve">  Recruitment</t>
  </si>
  <si>
    <t xml:space="preserve">   Recruitment Manager</t>
  </si>
  <si>
    <t>Per Job Vacancy</t>
  </si>
  <si>
    <t xml:space="preserve">     - Job Applicant Processing</t>
  </si>
  <si>
    <t>Per Applicant</t>
  </si>
  <si>
    <t xml:space="preserve">   Recruitment Portal</t>
  </si>
  <si>
    <t>Process and Workflow</t>
  </si>
  <si>
    <t xml:space="preserve"> Process and Workflow</t>
  </si>
  <si>
    <t xml:space="preserve">  Process Management</t>
  </si>
  <si>
    <t>WKP</t>
  </si>
  <si>
    <t xml:space="preserve">   Project System</t>
  </si>
  <si>
    <t>Per Project Item</t>
  </si>
  <si>
    <t>WKI</t>
  </si>
  <si>
    <t xml:space="preserve">   WorkItem System</t>
  </si>
  <si>
    <t>Per Work Item</t>
  </si>
  <si>
    <t>CST</t>
  </si>
  <si>
    <t xml:space="preserve">   Incident System</t>
  </si>
  <si>
    <t>Per Incident</t>
  </si>
  <si>
    <t>Fax Gateway</t>
  </si>
  <si>
    <t xml:space="preserve"> Faxing</t>
  </si>
  <si>
    <t>FAX</t>
  </si>
  <si>
    <t xml:space="preserve">   Fax Service (Support for Fax Engine is now dropped)</t>
  </si>
  <si>
    <t>Per Fax Page</t>
  </si>
  <si>
    <t>System Licence</t>
  </si>
  <si>
    <t>#MF</t>
  </si>
  <si>
    <t xml:space="preserve">   System Minimum Fee</t>
  </si>
  <si>
    <t>Per Database</t>
  </si>
  <si>
    <t>#NP</t>
  </si>
  <si>
    <t xml:space="preserve">   Non-Production System</t>
  </si>
  <si>
    <t xml:space="preserve">   Customer Requested Changes to Enterprise or Company Registration or Server Codes</t>
  </si>
  <si>
    <t xml:space="preserve">    To convert Enterprise or Company Registration or Server code to a customer preferred code on a live system</t>
  </si>
  <si>
    <t xml:space="preserve">   Accounting Period Configuration</t>
  </si>
  <si>
    <t>Per Change Request</t>
  </si>
  <si>
    <t>(blank)</t>
  </si>
  <si>
    <t>Available Symbol</t>
  </si>
  <si>
    <t>Feature</t>
  </si>
  <si>
    <t>Pricelist Version</t>
  </si>
  <si>
    <t>TWD</t>
  </si>
  <si>
    <t>List Price</t>
  </si>
  <si>
    <t xml:space="preserve">  Conditions: -</t>
  </si>
  <si>
    <t xml:space="preserve">    No discounts apply</t>
  </si>
  <si>
    <t>ABM Customs Transaction Type</t>
  </si>
  <si>
    <t>Price per transaction (EUR)</t>
  </si>
  <si>
    <t>Customs</t>
  </si>
  <si>
    <t>Port Community</t>
  </si>
  <si>
    <t>Fiscal Rep Invoice</t>
  </si>
  <si>
    <t>*WTG 3rd Party Services and Transactions (External Services)</t>
  </si>
  <si>
    <t xml:space="preserve">* External Services are those that are provided by or dependent on a third party provider and also include any transactions, modules, functions </t>
  </si>
  <si>
    <t>or features that are not the CargoWise application suite.</t>
  </si>
  <si>
    <t>* No discounts apply External Services.</t>
  </si>
  <si>
    <t>* Due to the multiple third party providers who have separate, independent pricing agreements and policies and who supply this data, often in aggregate across our global customer base – no prepayment or any other discounts apply other than the discounts noted in this section (3rd Party Services and Transactions (External Services)) of the price lists</t>
  </si>
  <si>
    <t xml:space="preserve">* As with all External Services, we are subject to separate, independent pricing agreements and policies with the third party providers and our prices may be affected by those agreements and policies. </t>
  </si>
  <si>
    <t>Container Automation (*External Services)</t>
  </si>
  <si>
    <t>* As with all External Services, who have separate, independent pricing agreements and policies, we have no control over pricing other than a notice period for price list changes</t>
  </si>
  <si>
    <t>Number of unique containers tracked per month</t>
  </si>
  <si>
    <t>Price per unique container tracked per month (USD)</t>
  </si>
  <si>
    <t>0 – 250</t>
  </si>
  <si>
    <t>251 – 1000</t>
  </si>
  <si>
    <t>4001 – 5000</t>
  </si>
  <si>
    <t>5001 - 25000</t>
  </si>
  <si>
    <t>25001 - 50000</t>
  </si>
  <si>
    <t>50001 - 100000</t>
  </si>
  <si>
    <t>More than 100000</t>
  </si>
  <si>
    <t>LCL Tracking &amp; Automation (*External Services)</t>
  </si>
  <si>
    <t>Price per LCL Booking (USD)*</t>
  </si>
  <si>
    <t>* Please note this is an introductory charge as we continue to build out and advance these capabilities</t>
  </si>
  <si>
    <t>Air Waybill Automation (*External Services)</t>
  </si>
  <si>
    <t>Price per MAWB (USD)*</t>
  </si>
  <si>
    <t>Number of invoices per month</t>
  </si>
  <si>
    <t>Price per invoice (USD)*</t>
  </si>
  <si>
    <t xml:space="preserve"> 0 – 1,000</t>
  </si>
  <si>
    <t>1,001 – 2,500</t>
  </si>
  <si>
    <t>2,501 - 5,000</t>
  </si>
  <si>
    <t>5,001 - 10,000</t>
  </si>
  <si>
    <t>10,001 - 25,000</t>
  </si>
  <si>
    <t>More than 25,000</t>
  </si>
  <si>
    <t>* Please note these are introductory charges as we continue to build out and advance these capabilities</t>
  </si>
  <si>
    <t>China Customs Declaration (*External Services)</t>
  </si>
  <si>
    <t>* Due to the multiple third party providers supplying this data often in aggregate across our global customer base - only volume discounts apply</t>
  </si>
  <si>
    <t>* Sales Tax, withholding tax (WHT) or any other taxes and these prices represent the gross amount due to be paid by the Customer to which any applicable taxes will be added</t>
  </si>
  <si>
    <t>China Customs Declaration Type</t>
  </si>
  <si>
    <t>Price per entry (CNY)</t>
  </si>
  <si>
    <t>CN Import Entry</t>
  </si>
  <si>
    <t>CN Export Entry</t>
  </si>
  <si>
    <t>Credit Reports - Australia and New Zealand (*External Services)</t>
  </si>
  <si>
    <t>Report Type</t>
  </si>
  <si>
    <t>Price per Report (AUD)*</t>
  </si>
  <si>
    <t>Comprehensive Report</t>
  </si>
  <si>
    <t>Risk of Failure Report</t>
  </si>
  <si>
    <t>Risk of Late Payment Report</t>
  </si>
  <si>
    <t>Commercial Bureau Enquiry</t>
  </si>
  <si>
    <t>3Gtms - TMS Execution &amp; Planning (*External Services)</t>
  </si>
  <si>
    <t>* The 3Gtms platform requires implementation and hosting fees, for more information please raise an eRequest and the License Management team will assist accordingly</t>
  </si>
  <si>
    <t>* The Minimum Monthly Spend for 3Gtms is USD $4,725. In any month where usage is below the minimum spend level, the usage count on the monthly invoice will be adjusted to the minimum monthly spend.</t>
  </si>
  <si>
    <t>Number of orders per month</t>
  </si>
  <si>
    <t>Price per Order (USD)*</t>
  </si>
  <si>
    <t>Less than or equal to 5,000  orders</t>
  </si>
  <si>
    <t>Greater than 5,000  orders</t>
  </si>
  <si>
    <t>Greater than 10,000  orders</t>
  </si>
  <si>
    <t>Greater than 20,000  orders</t>
  </si>
  <si>
    <t>Greater than 30,000  orders</t>
  </si>
  <si>
    <t>Global Sailing Schedules API (*External Services)</t>
  </si>
  <si>
    <t>Price per API Access Key (USD) *</t>
  </si>
  <si>
    <t>Airline eBookings (*External Services)</t>
  </si>
  <si>
    <t>Price per MAWB (USD) *</t>
  </si>
  <si>
    <t>Volume Usage Discount</t>
  </si>
  <si>
    <t xml:space="preserve">    Discounts apply to the whole amount spent at the level of discount for that spend</t>
  </si>
  <si>
    <t xml:space="preserve">    If the fee charged would be lower if the spend was at the next break then that lower fee will apply</t>
  </si>
  <si>
    <t>*Discount on application above 60%</t>
  </si>
  <si>
    <t>Volume
Usage
Discount</t>
  </si>
  <si>
    <t>Seat + Transaction (STL)
Discount Scales [Units Greater than]</t>
  </si>
  <si>
    <t>CargoWise Cloud Introductory Discount</t>
  </si>
  <si>
    <t xml:space="preserve">    Customer must be on CargoWise Cloud for the entire billing period for the discount to apply. </t>
  </si>
  <si>
    <t xml:space="preserve">    This discount will only be applied to new Customers or Customers migrating to CargoWise Cloud and will apply for a period of 12 months.</t>
  </si>
  <si>
    <t>Discount</t>
  </si>
  <si>
    <t>Commitment Discount</t>
  </si>
  <si>
    <t>Must be accompanied by a Volume Usage amount and its associated discount</t>
  </si>
  <si>
    <t xml:space="preserve">  Conditions</t>
  </si>
  <si>
    <t xml:space="preserve">    Must be a firm contract with a firm and fixed term - cancellation is not allowed outside the terms of the MLA</t>
  </si>
  <si>
    <t xml:space="preserve">    Break fee will apply if a commitment is terminated earlier than the committed period</t>
  </si>
  <si>
    <t>Commitment Term</t>
  </si>
  <si>
    <t>Duration (Years)</t>
  </si>
  <si>
    <t>No Of Years</t>
  </si>
  <si>
    <t>Prepayment Discount</t>
  </si>
  <si>
    <t xml:space="preserve">    In any month in which the Customer holds an account balance with WTG greater than or equal to an amount determined by WTG ("Prepayment Balance")</t>
  </si>
  <si>
    <t xml:space="preserve">    then the Customer shall be entitled to a Prepayment discount on the current Monthly Fees invoice regardless of the Monthly Fee amount.</t>
  </si>
  <si>
    <t>Payment in Advance (Estimated Usage)</t>
  </si>
  <si>
    <t>Extended Credit Terms Surcharge</t>
  </si>
  <si>
    <t xml:space="preserve">    Customers may request extended credit terms - approval shall be at the sole discretion of WTG</t>
  </si>
  <si>
    <t xml:space="preserve">    Customers will not be granted extended terms past 60 days from invoice and surcharges are strictly not negotiable</t>
  </si>
  <si>
    <t>Extended Credit Terms</t>
  </si>
  <si>
    <t>Surcharge</t>
  </si>
  <si>
    <t>Net 14 Days from Invoice</t>
  </si>
  <si>
    <t>No Surcharge</t>
  </si>
  <si>
    <t>Net 30 Days from Invoice</t>
  </si>
  <si>
    <t>Net 45 Days from Invoice</t>
  </si>
  <si>
    <t>Net 60 Days from Invoice</t>
  </si>
  <si>
    <t>CargoWise Industry Partner Discount</t>
  </si>
  <si>
    <t xml:space="preserve">    For CargoWise Industry partner discount, applies for the first 12 months from the Approved Lead's Go Live based on WTG then current global price list.</t>
  </si>
  <si>
    <t>Development Partner Discount</t>
  </si>
  <si>
    <t>TBD</t>
  </si>
  <si>
    <t>Certified Discount</t>
  </si>
  <si>
    <t>GTM</t>
  </si>
  <si>
    <t xml:space="preserve">   Per Machine (including 500 invoices per month)</t>
  </si>
  <si>
    <t xml:space="preserve">   Per Additional Invoice</t>
  </si>
  <si>
    <t>CargoWise One STL Full Pricing</t>
  </si>
  <si>
    <t>Seat + Transactional License (STL) provides access to every Module and feature and function available in the Application Suite.</t>
  </si>
  <si>
    <t>You control the Registered Users who you want to access the Application Suite through the security settings, you ‘turn on’ or ‘turn off’ access to both Registered Users and Modules as needed.</t>
  </si>
  <si>
    <t>WTG will charge at the conclusion of each Billing Period for the Transactions utilized and Registered Users Active in that Billing Period as set out below.</t>
  </si>
  <si>
    <t>Registered Users have access to all Modules to which they have been allowed access.  For example, if you have less shipments and or jobs in a month you will pay less unless you have otherwise agreed to a minimum volume commitment.  Registered Users have access to all Modules to which they have been allowed access and you only pay a Registered User fee plus any Transaction fees as outlined in the pricelist.</t>
  </si>
  <si>
    <t>Calculation of STL Fees</t>
  </si>
  <si>
    <t>Transactions are counted once at the first moment that the entity (e.g. Container, Order, Consignment, Vessel Voyage, Move, etc.) named in the price list is created.</t>
  </si>
  <si>
    <t>Job Header is created by: (a) a Registered User first entry in the billing tab, (b) a receipt of an electronic transmission (for example a Universal XML message), (c) a related Customer trigger in the workflow, and/or (d) a transfer of data from one Module to another.  For purposes of clarity, there will only be one Job Header per defined Customer legal entity per shipment.</t>
  </si>
  <si>
    <t>Transactions are counted for each from midnight on the first day of each month to midnight on the last day of that month Sydney, Australian time and billed in arrears</t>
  </si>
  <si>
    <t>If a job is cancelled after the Transaction has occurred the Transaction is still charged. Once a Transaction has occurred a cancellation of the job or entity does not reverse the Transaction. Cancelled entities can be reused modified and overwritten by the Registered User without incurring an additional charge.</t>
  </si>
  <si>
    <t>Multiple offices and Registered User interactions, electronic transmission, workflow triggers or inter-Module job transfer and complex business logic may be the source of an entity involved in a Transaction and thus WTG rely solely on the create time of the entity named on the price list (“Charge Basis / Entity Counted”) and not a single Registered User action or process to determine the timing of the billing for the relevant Transaction.</t>
  </si>
  <si>
    <t>CargoWise Cloud Pricing</t>
  </si>
  <si>
    <t>The following charges are applicable only if the Customer is utilising CargoWise Cloud.</t>
  </si>
  <si>
    <t>Role</t>
  </si>
  <si>
    <t>Module</t>
  </si>
  <si>
    <t>Function</t>
  </si>
  <si>
    <t>Desc without indent</t>
  </si>
  <si>
    <t>Per Active (Registered) User</t>
  </si>
  <si>
    <t>Forwarder</t>
  </si>
  <si>
    <t>CFS/Freight Shed Manager</t>
  </si>
  <si>
    <t>Liner and Agency</t>
  </si>
  <si>
    <t>Land Transport (Road / Rail)</t>
  </si>
  <si>
    <t>Warehouse Manager</t>
  </si>
  <si>
    <t>Integrated Warehouse / Inventory Management - Long Term Bond / FTZ</t>
  </si>
  <si>
    <t>Transit Warehouse</t>
  </si>
  <si>
    <t>Customs and Other Government Research Tools</t>
  </si>
  <si>
    <t>Pre Departure, Advanced Filing, Embargo and Denied Parties</t>
  </si>
  <si>
    <t>Customs &amp; Other Government Communication</t>
  </si>
  <si>
    <t>Other Parties Customs and Port Messaging (non Broker/Agent messaging)</t>
  </si>
  <si>
    <t>Sales and Marketing System</t>
  </si>
  <si>
    <t>Human Resources Manager</t>
  </si>
  <si>
    <t>Faxing</t>
  </si>
  <si>
    <t>General Forwarding Engine</t>
  </si>
  <si>
    <t>Container Freight Station / Air Freight Shed</t>
  </si>
  <si>
    <t>General Liner/Ships Agent Engine</t>
  </si>
  <si>
    <t>Tramp Liner</t>
  </si>
  <si>
    <t>Principal Accounting</t>
  </si>
  <si>
    <t>Land Transport System</t>
  </si>
  <si>
    <t>Contract Warehouse Functions(Warehouse including 3PL, 4PL)</t>
  </si>
  <si>
    <t>Global Compliance</t>
  </si>
  <si>
    <t>Embargo / Denied Parties / Parties of Interest etc</t>
  </si>
  <si>
    <t>Export Formal Customs/Statistics Entry Compliance</t>
  </si>
  <si>
    <t>Import Formal Customs Entry Compliance</t>
  </si>
  <si>
    <t>Core Customs Processing (applies exclusively in non-integrated countries)</t>
  </si>
  <si>
    <t>Special Entry Types</t>
  </si>
  <si>
    <t>Ecommerce (Incl. low value customs entries - only if transaction originates from Ecommerce, otherwise separately charged)</t>
  </si>
  <si>
    <t>Forwarder/CFS/CTO/CY/Land Transport Message Functions</t>
  </si>
  <si>
    <t>Liner &amp; Agency Functions</t>
  </si>
  <si>
    <t>Forwarding Port Messaging</t>
  </si>
  <si>
    <t>Pricing is based on Average Registered Users per Country in the billing month.</t>
  </si>
  <si>
    <t>Distance Calculations</t>
  </si>
  <si>
    <t>Messaging and Electronic Submission</t>
  </si>
  <si>
    <t>Carrier/NVOCC Messaging</t>
  </si>
  <si>
    <t>Tracking Functions</t>
  </si>
  <si>
    <t>General Sales and Marketing tools</t>
  </si>
  <si>
    <t>Sales and Marketing Power Functions</t>
  </si>
  <si>
    <t>Staff Management</t>
  </si>
  <si>
    <t>Recruitment</t>
  </si>
  <si>
    <t>Process Management</t>
  </si>
  <si>
    <t>Order Manager</t>
  </si>
  <si>
    <t>Gateway Billing</t>
  </si>
  <si>
    <t>Container Packing (Packing Tab in Forwarding/Consol or CFS Load List)</t>
  </si>
  <si>
    <t>Shipment Management</t>
  </si>
  <si>
    <t>Container Storage Management</t>
  </si>
  <si>
    <t>Booking/Bill of Lading</t>
  </si>
  <si>
    <t>Container Manager</t>
  </si>
  <si>
    <t>Container Detention</t>
  </si>
  <si>
    <t>Tramp Shipping Functions</t>
  </si>
  <si>
    <t>Voyage Accounting</t>
  </si>
  <si>
    <t>Sundry Charges</t>
  </si>
  <si>
    <t>LTL/General Freight (PUD + Line Haul)</t>
  </si>
  <si>
    <t>FTL/Bulk/Liquid/Livestock (Point to Point/Direct Move)</t>
  </si>
  <si>
    <t>Containerized Moves (Port/Door/CY, CY/Door/Port)</t>
  </si>
  <si>
    <t>Receipt Header</t>
  </si>
  <si>
    <t>Outward Order Header</t>
  </si>
  <si>
    <t>Outward Order Line</t>
  </si>
  <si>
    <t>Outward Order Header (Greater Than 1,000 Orders)</t>
  </si>
  <si>
    <t>Outward Order Header (Greater Than 5,000 Orders)</t>
  </si>
  <si>
    <t>Outward Order Header (Greater Than 20,000 Orders)</t>
  </si>
  <si>
    <t>Bill Of Material / Value Added Services Work Orders</t>
  </si>
  <si>
    <t>W/H Receipt and W/H Withdrawal</t>
  </si>
  <si>
    <t>Less than or equal to 50,000</t>
  </si>
  <si>
    <t>Greater than 50,000</t>
  </si>
  <si>
    <t>Greater than 100,000</t>
  </si>
  <si>
    <t>Greater than 250,000</t>
  </si>
  <si>
    <t>Compliance Manager (Research &amp; Classification)</t>
  </si>
  <si>
    <t>Embargo Management</t>
  </si>
  <si>
    <t>Importer Security Filing (eg: ISF/10+2 and other similar)</t>
  </si>
  <si>
    <t>Pre Departure Manifest (eManifest, AMS, ACI, ICS, AFR etc)</t>
  </si>
  <si>
    <t>Land Border Clearance (Truck and Rail)</t>
  </si>
  <si>
    <t>UK Customs (HCI Terminal Clearance)</t>
  </si>
  <si>
    <t>Informal / Simplified Entry</t>
  </si>
  <si>
    <t>Miscellaneous/External Broker In-Out Customs Jobs</t>
  </si>
  <si>
    <t>Drawbacks (integrated with Warehousing and BOM)</t>
  </si>
  <si>
    <t>Free Trade Zone Entry/Protest/Reconciliation/B2 Entries</t>
  </si>
  <si>
    <t>Landed Costing</t>
  </si>
  <si>
    <t>Single Transaction Bond Application (US Only)</t>
  </si>
  <si>
    <t>Intransit / InBond / Underbond Movement Request (From Customs Menu)</t>
  </si>
  <si>
    <t>InBond / Underbond Movement Request (From Forwarding Menu)</t>
  </si>
  <si>
    <t>First 50,000</t>
  </si>
  <si>
    <t>Between 50,001 to 100,000</t>
  </si>
  <si>
    <t>Between 100,001 to 200,000</t>
  </si>
  <si>
    <t>Between 200,001 to 400,000</t>
  </si>
  <si>
    <t>Between 400,001 to 1,000,000</t>
  </si>
  <si>
    <t>Between 1,000,001 to 2,000,000</t>
  </si>
  <si>
    <t>Between 2,000,001 to 4,000,000</t>
  </si>
  <si>
    <t>Between 4,000,001 to 6,000,000</t>
  </si>
  <si>
    <t>Between 6,000,001 to 10,000,000</t>
  </si>
  <si>
    <t>10,000,001 and above</t>
  </si>
  <si>
    <t>Import/Export Air Cargo Report</t>
  </si>
  <si>
    <t>Import/Export Sea Cargo Report</t>
  </si>
  <si>
    <t>Import/Export Air Cargo CFS/CTO Customs Functions</t>
  </si>
  <si>
    <t>Import/Export Sea Cargo CFS/CTO Customs Functions</t>
  </si>
  <si>
    <t>Air/Sea/Rail/Road Consol/Manifest/Quarantine Report</t>
  </si>
  <si>
    <t>Pre Receival (PRA) / Export Receival Advice (ERA)</t>
  </si>
  <si>
    <t>Slot Booking Request / Port, CFS, CY Slot request</t>
  </si>
  <si>
    <t>Pre-loading Advance Cargo Information Filing (PLACI)</t>
  </si>
  <si>
    <t>Import/Export Shipping Customs Report</t>
  </si>
  <si>
    <t>Container Release/Container Arrive PreAdvice/Delivery Order</t>
  </si>
  <si>
    <t>Port Authority/Stevedore Manifest (Shipping Manifest, Load/Discharge List)</t>
  </si>
  <si>
    <t>Dangerous Goods Declaration</t>
  </si>
  <si>
    <t>Container Movement Tracking</t>
  </si>
  <si>
    <t>Port Messaging Data Record / Original Entry (eg. MRN)</t>
  </si>
  <si>
    <t>Port Other Messages (eManifest /eCLP /eTerminal Release/Delivery/Stop/Gate Pass/Request/Cert/Cargo Dues etc)</t>
  </si>
  <si>
    <t>Port Status</t>
  </si>
  <si>
    <t>Less than or equal to 5 users</t>
  </si>
  <si>
    <t>Greater than 5 users</t>
  </si>
  <si>
    <t>Greater than 25 users</t>
  </si>
  <si>
    <t>Greater than 100 users</t>
  </si>
  <si>
    <t>Distance Calculator (Google)</t>
  </si>
  <si>
    <t>Airlines Messaging (FWB/FHL//FSR)</t>
  </si>
  <si>
    <t>VGM - submission to Carrier</t>
  </si>
  <si>
    <t>Status Events not otherwise provided for</t>
  </si>
  <si>
    <t>Receiving VGM</t>
  </si>
  <si>
    <t>Receiving Booking/SI</t>
  </si>
  <si>
    <t>Railinc Tracking Event</t>
  </si>
  <si>
    <t>Ocean Bill Tracking</t>
  </si>
  <si>
    <t>Airline FSU/FSA/FMA/FNA</t>
  </si>
  <si>
    <t>Customer and Competitor Intelligence</t>
  </si>
  <si>
    <t>Inquiry Manager</t>
  </si>
  <si>
    <t>Communications Manager</t>
  </si>
  <si>
    <t>Campaign Manager - Campaign Registration</t>
  </si>
  <si>
    <t>Opportunity Manager</t>
  </si>
  <si>
    <t>Event Manager - Event Registration</t>
  </si>
  <si>
    <t>Quotation Manager</t>
  </si>
  <si>
    <t>Leave Manager</t>
  </si>
  <si>
    <t>licence and Certification Manager</t>
  </si>
  <si>
    <t>Staff Activity Tracking</t>
  </si>
  <si>
    <t>Recruitment Manager</t>
  </si>
  <si>
    <t>Recruitment Portal</t>
  </si>
  <si>
    <t>Project System</t>
  </si>
  <si>
    <t>WorkItem System</t>
  </si>
  <si>
    <t>Incident System</t>
  </si>
  <si>
    <t>Fax Service (Support for Fax Engine is now dropped)</t>
  </si>
  <si>
    <t>System Minimum Fee</t>
  </si>
  <si>
    <t>Non-Production System</t>
  </si>
  <si>
    <t>Customer Requested Changes to Enterprise or Company Registration or Server Codes</t>
  </si>
  <si>
    <t>Accounting Period Configuration</t>
  </si>
  <si>
    <t>Prerequisite Text</t>
  </si>
  <si>
    <t xml:space="preserve">  BorderWise Licence AU</t>
  </si>
  <si>
    <t xml:space="preserve">  BorderWise Licence NZ</t>
  </si>
  <si>
    <t xml:space="preserve">  BorderWise Licence US</t>
  </si>
  <si>
    <t xml:space="preserve">  BorderWise Licence ZA</t>
  </si>
  <si>
    <t xml:space="preserve">  BorderWise Licence Global</t>
  </si>
  <si>
    <t xml:space="preserve">   Global Partner and/or CW1</t>
  </si>
  <si>
    <t xml:space="preserve">   Global Standalone</t>
  </si>
  <si>
    <t>BorderWise Licence AU</t>
  </si>
  <si>
    <t>BorderWise Licence NZ</t>
  </si>
  <si>
    <t>BorderWise Licence US</t>
  </si>
  <si>
    <t>BorderWise Licence ZA</t>
  </si>
  <si>
    <t>BorderWise Licence Global</t>
  </si>
  <si>
    <t>BorderWise Free Trial Licence</t>
  </si>
  <si>
    <t>Single Window (AU) Partner</t>
  </si>
  <si>
    <t>Single Window (AU) CW1</t>
  </si>
  <si>
    <t>Single Window (AU) CW1 + Partner</t>
  </si>
  <si>
    <t>Single Window (AU) Standalone</t>
  </si>
  <si>
    <t>Pro Pack (AU)</t>
  </si>
  <si>
    <t>Single Window (NZ) Partner</t>
  </si>
  <si>
    <t>Single Window (NZ) CW1</t>
  </si>
  <si>
    <t>Single Window (NZ) CW1 + Partner</t>
  </si>
  <si>
    <t>Single Window (NZ) Standalone</t>
  </si>
  <si>
    <t>Pro Pack (NZ)</t>
  </si>
  <si>
    <t>Single Window (US) Partner</t>
  </si>
  <si>
    <t>Single Window (US) CW1</t>
  </si>
  <si>
    <t>Single Window (US) CW1 + Partner</t>
  </si>
  <si>
    <t>Single Window (US) Standalone</t>
  </si>
  <si>
    <t>Pro Pack (US)</t>
  </si>
  <si>
    <t>Single Window (ZA) Partner</t>
  </si>
  <si>
    <t>Single Window (ZA) CW1</t>
  </si>
  <si>
    <t>Single Window (ZA) CW1 + Partner</t>
  </si>
  <si>
    <t>Single Window (ZA) Standalone</t>
  </si>
  <si>
    <t>Pro Pack (ZA)</t>
  </si>
  <si>
    <t>Global Partner and/or CW1</t>
  </si>
  <si>
    <t>Global Standalone</t>
  </si>
  <si>
    <t>Pro Pack (Global)</t>
  </si>
  <si>
    <t>Free Trial Access</t>
  </si>
  <si>
    <t>Free</t>
  </si>
  <si>
    <t>-</t>
  </si>
  <si>
    <t>Server Code</t>
  </si>
  <si>
    <t>Exchange Rate Group</t>
  </si>
  <si>
    <t>LDAAS</t>
  </si>
  <si>
    <t>21.07</t>
  </si>
  <si>
    <t>RBU</t>
  </si>
  <si>
    <t xml:space="preserve"> Per Active (Registered) Robotic Login</t>
  </si>
  <si>
    <t xml:space="preserve">   Shipment and/or Booking _x000D_
   Include Consol, Spot Quotes, Air/Sea Schedules, Address Cleansing &amp; Geocoding, Denied Party Screening* (*External Services)</t>
  </si>
  <si>
    <t>GSH</t>
  </si>
  <si>
    <t xml:space="preserve">   Export Formal Clearance / Fiscal Report _x000D_
   Includes Air/Sea Schedules, Address Cleansing &amp; Geocoding, Denied Party Screening* (*External Services)</t>
  </si>
  <si>
    <t xml:space="preserve">   Export Formal Clearance / Fiscal Report</t>
  </si>
  <si>
    <t xml:space="preserve">   Import Clearance Full / Detailed Formal Entry / Fiscal Report _x000D_
   Includes Air/Sea Schedules, Address Cleansing &amp; Geocoding, Denied Party Screening* (*External Services)</t>
  </si>
  <si>
    <t xml:space="preserve">   Import Clearance Full / Detailed Formal Entry / Fiscal Report</t>
  </si>
  <si>
    <t xml:space="preserve">   Low Value/Write Off/Deminimus Clearance</t>
  </si>
  <si>
    <t xml:space="preserve">   Export Biosecurity (Export Docs/RFP/etc) (price does not include Export Formal Clearance AU ECN)</t>
  </si>
  <si>
    <t>HVD</t>
  </si>
  <si>
    <t xml:space="preserve">  Ecommerce Plus (Incl. Related Customs Procedures)</t>
  </si>
  <si>
    <t>HVP</t>
  </si>
  <si>
    <t>ACS</t>
  </si>
  <si>
    <t xml:space="preserve">   Booking/Shipping Instruction/Shipping Order (China) - submission to Carrier</t>
  </si>
  <si>
    <t>NVS</t>
  </si>
  <si>
    <t xml:space="preserve">   LCL Tracking &amp; Automation</t>
  </si>
  <si>
    <t>Per Active Robotic Login Record</t>
  </si>
  <si>
    <t>Per Gateway Shipment</t>
  </si>
  <si>
    <t>22.01</t>
  </si>
  <si>
    <t>Per Package Per Warehouses Transitioned Through (Refer to Transit Warehouse Discount)</t>
  </si>
  <si>
    <t>21.04</t>
  </si>
  <si>
    <t>Per LCL Booking (Currently on introductory pricing)</t>
  </si>
  <si>
    <t>20.10</t>
  </si>
  <si>
    <t>EUR</t>
  </si>
  <si>
    <t>GBP</t>
  </si>
  <si>
    <t>SGD</t>
  </si>
  <si>
    <t>CAD</t>
  </si>
  <si>
    <t>CNY</t>
  </si>
  <si>
    <t>HKD</t>
  </si>
  <si>
    <t>Ex-Currency</t>
  </si>
  <si>
    <t>Exchange rates</t>
  </si>
  <si>
    <t>Client Specific STL Settings: Details pulled from 'Client Specific Settings' of master for the client for which this pricelist is being generated.</t>
  </si>
  <si>
    <t>Enterprise Code</t>
  </si>
  <si>
    <t>eServices Pricing</t>
  </si>
  <si>
    <t>Device Pricing</t>
  </si>
  <si>
    <t>Notes:</t>
  </si>
  <si>
    <t>* eHub Mapping and Additional Connection Service Conditions</t>
  </si>
  <si>
    <t>6 Months minimum service fee applies irrespective of WARP discount if applicable</t>
  </si>
  <si>
    <t>Additional Connection fee will be charged for customers who provide our published and / or Legacy XMl, can go through eHUB via FTP</t>
  </si>
  <si>
    <t>Please note the usage of eHub services requires customer to sign a separate eHub New Interface Order. Please refer to this document for full Terms &amp; Conditions.</t>
  </si>
  <si>
    <t>** Archiving and Compliance Retention hold messages for a full 7 years and allows customers to manage message systems, meet compliance retention regulations, audit and other obligations</t>
  </si>
  <si>
    <t>Billing Basis Per</t>
  </si>
  <si>
    <t>Per Message Means: Each file or interchange transmitted counts as at least 1 message. If a file or interchange transmitted contains more than 1 high level entity, where a high level entity is</t>
  </si>
  <si>
    <t xml:space="preserve">an item such as a single job, registration, order, warehouse receipt, pick, A/P invoice, A/R invoice, status event or similar. Then each additional high level entity counts as an extra message. </t>
  </si>
  <si>
    <t>Line items such as invoice lines, order lines, tariff lines, events that are contained within a high level entity such as a job, order, registration etc are not counted as separate messages.</t>
  </si>
  <si>
    <t>^Legacy Interface Conversion Conditions:</t>
  </si>
  <si>
    <t>Customer must still have an active upgrade assurance maintenance</t>
  </si>
  <si>
    <t>The interface will be ported over to eHub at a time determined by Wisetech Global</t>
  </si>
  <si>
    <t>The customer must agree to participate in retesting the interface</t>
  </si>
  <si>
    <t>Billing will commence from the expiry of prepaid upgrade assurance</t>
  </si>
  <si>
    <t>Customer Supplied Devices - Rules</t>
  </si>
  <si>
    <t>Integrated &amp; Electronic Invoicing Compliance (Including External Services)</t>
  </si>
  <si>
    <t>Accounting and Invoicing Compliance Engine</t>
  </si>
  <si>
    <t>Golden Tax Machine - China VAT (金税接口) (*External Services)</t>
  </si>
  <si>
    <t>Charge basis</t>
  </si>
  <si>
    <t>**Each Golden Tax Machine requires a non-refundable deposit of 10 months Price Per Machine which will be applied against the first 10 months of Per Machine fees.</t>
  </si>
  <si>
    <t>Ocean Carrier Messaging (*External Services)</t>
  </si>
  <si>
    <t>Charge</t>
  </si>
  <si>
    <t>Charge Basis</t>
  </si>
  <si>
    <t>Price (USD)</t>
  </si>
  <si>
    <t xml:space="preserve">   FCL Booking/Shipping Instruction/Shipping Order (China)/Registered Container (USD)</t>
  </si>
  <si>
    <t>Per TEU</t>
  </si>
  <si>
    <t xml:space="preserve">   LCL, Bulk &amp; other Booking/Shipping Instruction/Shipping Order (China) (USD)</t>
  </si>
  <si>
    <t>Per Message Sent</t>
  </si>
  <si>
    <t xml:space="preserve">   VGM – submission to Carrier (USD)</t>
  </si>
  <si>
    <r>
      <t xml:space="preserve">Access to the Finance and Accounting Engine including Core Invoicing, A/R, A/P, Cash Books, Job Costing and the General Ledger and 
to cover the cost of </t>
    </r>
    <r>
      <rPr>
        <b/>
        <sz val="9"/>
        <color theme="1"/>
        <rFont val="DM Sans"/>
      </rPr>
      <t xml:space="preserve">electronic lodgement </t>
    </r>
    <r>
      <rPr>
        <sz val="9"/>
        <color theme="1"/>
        <rFont val="DM Sans"/>
      </rPr>
      <t>and regulatory compliance in many complex countries and their many states including: -
• Integration with government e-invoicing requirements, message interfaces, and message transit fees
• Calculation &amp; management of Value Added, Consumption, Sales &amp; Use and local, state and federal taxes within A/R &amp; A/P
• Invoice layout and presentation requirements in each country
• Registration, certification and compliance with local state and federal laws in each country</t>
    </r>
  </si>
  <si>
    <t>** The count of either Consol FCL TEUs, on Bookings, related Shipping Instruction/Shipping Order (China) or registered container - whichever is the greater</t>
  </si>
  <si>
    <t>Developing Country/Region Discount</t>
  </si>
  <si>
    <t xml:space="preserve">  Conditions for multiple entity discount: -</t>
  </si>
  <si>
    <t xml:space="preserve">    Main entity/corporation in the 'Developing Country/Region' must be the controlling entity/head office; AND</t>
  </si>
  <si>
    <t xml:space="preserve">    No more than 20% of users outside of the 'Developing Country/Region'; AND</t>
  </si>
  <si>
    <t xml:space="preserve">    No more than 50 users outside of 'Developing Country/Region'; AND</t>
  </si>
  <si>
    <t xml:space="preserve">    No more than 5 Entities (Corporation or trading entities) on the Licence outside of the 'Developing Country/Region'</t>
  </si>
  <si>
    <t xml:space="preserve">    Fulfilling all of the above will grant the full discount up to the below parameters.</t>
  </si>
  <si>
    <t xml:space="preserve">    Customers may exceed the above numbers for up to 3 months before the discount terminates.</t>
  </si>
  <si>
    <t>China</t>
  </si>
  <si>
    <r>
      <t>SADC Countries</t>
    </r>
    <r>
      <rPr>
        <vertAlign val="superscript"/>
        <sz val="9"/>
        <rFont val="DM Sans"/>
      </rPr>
      <t>1</t>
    </r>
  </si>
  <si>
    <t>India</t>
  </si>
  <si>
    <t>Mexico</t>
  </si>
  <si>
    <r>
      <t>GCC Countries</t>
    </r>
    <r>
      <rPr>
        <vertAlign val="superscript"/>
        <sz val="9"/>
        <rFont val="DM Sans"/>
      </rPr>
      <t>2</t>
    </r>
  </si>
  <si>
    <t>Turkey</t>
  </si>
  <si>
    <r>
      <rPr>
        <i/>
        <vertAlign val="superscript"/>
        <sz val="9"/>
        <color theme="1"/>
        <rFont val="DM Sans"/>
      </rPr>
      <t>1</t>
    </r>
    <r>
      <rPr>
        <i/>
        <sz val="9"/>
        <color theme="1"/>
        <rFont val="DM Sans"/>
      </rPr>
      <t xml:space="preserve"> SADC refers to Angola, Botswana, Cote d'Ivoire, Democratic Republic of the Congo, Ghana, Kenya, Lesotho, Madagascar, Malawi, Mauritius, Mozambique, Namibia, Seychelles, South Africa, Swaziland, </t>
    </r>
  </si>
  <si>
    <t xml:space="preserve"> Tanzania, Zambia, Zimbabwe and no other countries.</t>
  </si>
  <si>
    <r>
      <rPr>
        <i/>
        <vertAlign val="superscript"/>
        <sz val="9"/>
        <color theme="1"/>
        <rFont val="DM Sans"/>
      </rPr>
      <t>2</t>
    </r>
    <r>
      <rPr>
        <i/>
        <sz val="9"/>
        <color theme="1"/>
        <rFont val="DM Sans"/>
      </rPr>
      <t xml:space="preserve"> GCC refers to “Bahrain, Kuwait, Oman, Qatar, Saudi Arabia, and the United Arab Emirates” and no other countries.</t>
    </r>
  </si>
  <si>
    <t xml:space="preserve">If a package attributed to the Customer's Registered User transitions through multiple Transit Warehouses whilst utilising the Application Suite, </t>
  </si>
  <si>
    <t>The applicable discount listed in the second column of the table below will be applied to the relevant Transit Warehouse pricelist tier</t>
  </si>
  <si>
    <t>based on the number of Transit Warehouses a package has transitioned through at the time of billing, as listed in the first column of the table below.</t>
  </si>
  <si>
    <t>Number of Transit Warehouses a package has transitioned through on the Application Suite in the relevant billing period</t>
  </si>
  <si>
    <t xml:space="preserve">Number of Transactions chargeable in the billing period </t>
  </si>
  <si>
    <t>First Transit Warehouse</t>
  </si>
  <si>
    <t>Second Transit Warehouse</t>
  </si>
  <si>
    <t>Third Transit Warehouse</t>
  </si>
  <si>
    <t>Fourth Transit Warehouse</t>
  </si>
  <si>
    <t>Fifth Transit Warehouse</t>
  </si>
  <si>
    <t>&gt; Five Transit Warehouses</t>
  </si>
  <si>
    <t>up to 75%</t>
  </si>
  <si>
    <t>2.28 + (0.17 for each subsequent Transit Warehouse)</t>
  </si>
  <si>
    <t>Option 2</t>
  </si>
  <si>
    <t>Number of Transit Warehouses a package has transition through on the Application Suite in the relevant billing period</t>
  </si>
  <si>
    <t>Five or more Transit Warehouses</t>
  </si>
  <si>
    <t>Option 3</t>
  </si>
  <si>
    <t>Number of Transit Warehouses package has transition through on the Application Suite in the relevant billing period</t>
  </si>
  <si>
    <t>Incremental  Transaction chargeable in the billing period</t>
  </si>
  <si>
    <t>Local Service and Administration Fee</t>
  </si>
  <si>
    <t xml:space="preserve">    Applies to customers who are issued their CargoWise invoices from the local WiseTech legal entity.</t>
  </si>
  <si>
    <t xml:space="preserve">    Currently we offer this arrangement in Taiwan, mainland China, South Africa, Brazil and from time to time will make this available in other countries.</t>
  </si>
  <si>
    <t>then the following discount applies to transactions chargeable in the billing period in addition to the tiered pricing for the Transit Warehouse feature</t>
  </si>
  <si>
    <t>on the STL pricelist.</t>
  </si>
  <si>
    <t>Change Log</t>
  </si>
  <si>
    <t>Date</t>
  </si>
  <si>
    <t>Author</t>
  </si>
  <si>
    <t>Version #</t>
  </si>
  <si>
    <t>Rudra Chaudhury</t>
  </si>
  <si>
    <t>Added Header (WTG image) and footer text, except for the pricelist version number, which neds to be done using VBA</t>
  </si>
  <si>
    <r>
      <t xml:space="preserve">1. Added Pivot Style STLPivotStyle and Table Style PricelistTableStyle01.
2. Adjust text size for static items; header = DM Sans 10, body = DM Sans 9
3. Added Static tables for STL discount: </t>
    </r>
    <r>
      <rPr>
        <b/>
        <sz val="9"/>
        <color theme="1"/>
        <rFont val="DM Sans"/>
      </rPr>
      <t>Developing Country/Region discount</t>
    </r>
    <r>
      <rPr>
        <sz val="9"/>
        <color theme="1"/>
        <rFont val="DM Sans"/>
      </rPr>
      <t xml:space="preserve">, </t>
    </r>
    <r>
      <rPr>
        <b/>
        <sz val="9"/>
        <color theme="1"/>
        <rFont val="DM Sans"/>
      </rPr>
      <t>Transit warehouse discount</t>
    </r>
    <r>
      <rPr>
        <sz val="9"/>
        <color theme="1"/>
        <rFont val="DM Sans"/>
      </rPr>
      <t xml:space="preserve"> and </t>
    </r>
    <r>
      <rPr>
        <b/>
        <sz val="9"/>
        <color theme="1"/>
        <rFont val="DM Sans"/>
      </rPr>
      <t>local service and administration fee</t>
    </r>
    <r>
      <rPr>
        <sz val="9"/>
        <color theme="1"/>
        <rFont val="DM Sans"/>
      </rPr>
      <t>. These are still to be adjusted using VBA</t>
    </r>
  </si>
  <si>
    <t>Report Category</t>
  </si>
  <si>
    <t>Per Active (Registered) Robotic Login</t>
  </si>
  <si>
    <t>Shipment and/or Booking _x000D_
 Include Consol, Spot Quotes, Air/Sea Schedules, Address Cleansing &amp; Geocoding, Denied Party Screening* (*External Services)</t>
  </si>
  <si>
    <t>Export Formal Clearance / Fiscal Report _x000D_
 Includes Air/Sea Schedules, Address Cleansing &amp; Geocoding, Denied Party Screening* (*External Services)</t>
  </si>
  <si>
    <t>Export Formal Clearance / Fiscal Report</t>
  </si>
  <si>
    <t>Import Clearance Full / Detailed Formal Entry / Fiscal Report _x000D_
 Includes Air/Sea Schedules, Address Cleansing &amp; Geocoding, Denied Party Screening* (*External Services)</t>
  </si>
  <si>
    <t>Import Clearance Full / Detailed Formal Entry / Fiscal Report</t>
  </si>
  <si>
    <t>Low Value/Write Off/Deminimus Clearance</t>
  </si>
  <si>
    <t>Export Biosecurity (Export Docs/RFP/etc) (price does not include Export Formal Clearance AU ECN)</t>
  </si>
  <si>
    <t>Ecommerce Plus (Incl. Related Customs Procedures)</t>
  </si>
  <si>
    <t>Booking/Shipping Instruction/Shipping Order (China) - submission to Carrier</t>
  </si>
  <si>
    <t>LCL Tracking &amp; Automation</t>
  </si>
  <si>
    <t>CLD</t>
  </si>
  <si>
    <t>DEV</t>
  </si>
  <si>
    <t>ESV</t>
  </si>
  <si>
    <t>Consoldate client template sheets into one sheet. That is STL Pricelist Client Template</t>
  </si>
  <si>
    <t>Benjamin Rogers</t>
  </si>
  <si>
    <t>Reduced pivot and table border width</t>
  </si>
  <si>
    <t>Adjust Currency column width on BorderWise Pivot and Charge Basis on eServices Pivot</t>
  </si>
  <si>
    <t>Adjust display for STL data with greater than 3 indents. Allow for leading spaces = indent -3 for these rows</t>
  </si>
  <si>
    <t>Discount and Surcharge Tables</t>
  </si>
  <si>
    <t>FIATA Electronic Bills of Lading (eFBL) &amp; connection fee (*External Services)</t>
  </si>
  <si>
    <t>Country classification**</t>
  </si>
  <si>
    <t>Price per eFBL (USD)</t>
  </si>
  <si>
    <t>**Country classification based of FIATA pricing list - subject to change</t>
  </si>
  <si>
    <r>
      <t xml:space="preserve"> </t>
    </r>
    <r>
      <rPr>
        <b/>
        <sz val="9"/>
        <rFont val="DM Sans"/>
      </rPr>
      <t xml:space="preserve"> Conditions:</t>
    </r>
    <r>
      <rPr>
        <sz val="9"/>
        <rFont val="DM Sans"/>
      </rPr>
      <t xml:space="preserve">
</t>
    </r>
  </si>
  <si>
    <t xml:space="preserve">- Additional Licences linked to the same Registered User cannot be used simultaneously.
</t>
  </si>
  <si>
    <t xml:space="preserve">- The conditions are subject to change with 30 days notice.
</t>
  </si>
  <si>
    <t>- The above fees will be charged per registered user for each full month or part thereof that a user is registered</t>
  </si>
  <si>
    <t>- Once a user is deregistered, The reduction in charges will be effective in The next full month in which that user is no longer registered</t>
  </si>
  <si>
    <t xml:space="preserve">- Licences are linked to specific devices with users being allowed a maximum of two (2) devices linked to the one Licence. </t>
  </si>
  <si>
    <t>Users will be charged for the highest edition selected across all devices during the billing month.</t>
  </si>
  <si>
    <t xml:space="preserve">- Users are permitted five (5) relocations of Licences between devices per month via the BorderWise application.
</t>
  </si>
  <si>
    <t xml:space="preserve">- CargoWise One Users Only: For customers already using CargoWise One, the standard discounts will be applicable to any BorderWise fees </t>
  </si>
  <si>
    <t xml:space="preserve">incremental usage units for volume discounts. For the avoidance of doubt, standard discounts include the Volume Usage, </t>
  </si>
  <si>
    <t>- Please note that BorderWise is supplied in accordance with the BorderWise Application Suite (BorderWise) Terms and Conditions,</t>
  </si>
  <si>
    <t>a copy of which is available upon request.</t>
  </si>
  <si>
    <t>standard conditions for each discount noted on the latest WTG published pricelist. BorderWise will count towards</t>
  </si>
  <si>
    <r>
      <t>Accounting and 3</t>
    </r>
    <r>
      <rPr>
        <b/>
        <vertAlign val="superscript"/>
        <sz val="18"/>
        <color rgb="FF1D1765"/>
        <rFont val="DM Sans"/>
      </rPr>
      <t>rd</t>
    </r>
    <r>
      <rPr>
        <b/>
        <sz val="18"/>
        <color rgb="FF1D1765"/>
        <rFont val="DM Sans"/>
      </rPr>
      <t xml:space="preserve"> Party Services and Transactions (External Services)</t>
    </r>
  </si>
  <si>
    <t>* The discounts below are applied to all containers that commence being tracked within a single month, if the price of container tracking would be lower by charging the minimum number of containers for the next highest volume level, rather than charging the actual volume, the WTG will apply the higher volume and deeper discount and charge the lower amount: EG: if the actual container volume for a month is 997 containers @ $1.67 resulting in a cost of $1,663.61 and billing at the next level of 1001 containers @ $1.58 would result in a cost of $1,577.49 then WTG will bill the lower amount of $1,577.49 instead of the $1,663.61 rate for the lower volume and discount</t>
  </si>
  <si>
    <t xml:space="preserve">    Customers who achieve ‘Attain’ status in respect of the CargoWise Certified Logistics Provider (CCLP) program will be eligible to receive the 5% Certified Discount</t>
  </si>
  <si>
    <t xml:space="preserve">    certification requirements in any given Billing Period, the Customer will not be entitled to receive the Certification Discount in respect of that Billing Period.</t>
  </si>
  <si>
    <t xml:space="preserve">    for so long as they continue to meet the relevant CCLP program certification requirements. Where a Customer ceases to meet the relevant CCLP program</t>
  </si>
  <si>
    <t xml:space="preserve">Must be purchased with BorderWise Single Window </t>
  </si>
  <si>
    <t>N/A</t>
  </si>
  <si>
    <t>Must be purchased with BorderWise Single Window (AU)</t>
  </si>
  <si>
    <t>Must be purchased with BorderWise Single Window (NZ)</t>
  </si>
  <si>
    <t>Must be purchased with BorderWise Single Window (US)</t>
  </si>
  <si>
    <t>Must be purchased with BorderWise Single Window (ZA)</t>
  </si>
  <si>
    <t>Must be purchased with BorderWise Single Window (Global)</t>
  </si>
  <si>
    <t>Maxwell Lane</t>
  </si>
  <si>
    <t>Format discount units to 1 dp in STL and CW Cloud pivots with conditional formatting</t>
  </si>
  <si>
    <t>Add conditional formatting for 'included' iteams and Geocompliance to show as '0.00'</t>
  </si>
  <si>
    <t>Per Container Automation (*External Services- see WTG 3rd Party Services &amp; Transactions (External Services))</t>
  </si>
  <si>
    <t xml:space="preserve">    - Email Creation and Transmission</t>
  </si>
  <si>
    <t xml:space="preserve">     - Per Attendee</t>
  </si>
  <si>
    <t xml:space="preserve">  - Job Applicant Processing</t>
  </si>
  <si>
    <t xml:space="preserve"> To convert Enterprise or Company Registration or Server code to a customer preferred code on a live system</t>
  </si>
  <si>
    <t>Added new column for charge basis column to accommodate Container Automation and Air Waybill Automation due to 100 character limit in ediProd</t>
  </si>
  <si>
    <t>* For devices not on the pre-approved device list but with a pre-approved vendor (currently Zebra) - there will be a  fee for testing</t>
  </si>
  <si>
    <t>a customer-supplied device not on our supported list and for creating the staging platform for that device.</t>
  </si>
  <si>
    <t>Prerequisite Text - global</t>
  </si>
  <si>
    <t>Must be purchased with BorderWise Global Licence</t>
  </si>
  <si>
    <t xml:space="preserve">CargoWise Cloud Hosting, Commitment, Prepayment, CargoWise Industry Partner, Development Partner, Certified and the Developing Country/Region Discount. 
</t>
  </si>
  <si>
    <t>Access to the Finance and Accounting Engine including Core Invoicing, A/R, A/P, Cash Books, Job Costing and the General Ledger and 
to cover the cost of regulatory compliance in over 100 countries and their many states including: -
• Calculation &amp; management of Value Added, Consumption, Sales &amp; Use and local, state and federal taxes within A/R &amp; A/P
• Invoice layout and presentation requirements in each country</t>
  </si>
  <si>
    <t>Updated pre-requist formuals in BorderWise Client Template tab to match what is shown in excel pricelist</t>
  </si>
  <si>
    <t>Transactions are counted for each from midnight on the first day of each month to midnight on the last day of that month Sydney, Australian time and billed in arrears.</t>
  </si>
  <si>
    <t>LV</t>
  </si>
  <si>
    <t>V23.01</t>
  </si>
  <si>
    <t>INC</t>
  </si>
  <si>
    <t>Please contact the BorderWise Support team for an updated list of approved WTG Partners for BorderWise.</t>
  </si>
  <si>
    <t>- Prices are shown excluding GST/VAT or country equivalent, and any other taxes</t>
  </si>
  <si>
    <t>- *Please note this is an introductory charge as we continue to build out the library content</t>
  </si>
  <si>
    <t>- Partners are approved WTG Partners who share in the cost of development and sales and marketing costs of BorderWise.</t>
  </si>
  <si>
    <t>BorderWise discount unit formatted to 1 dp using conditional formatting</t>
  </si>
  <si>
    <t xml:space="preserve">Updated Core uplift formula in 'STL Pricelist Client Template' tab to apply core uplift adjustment to only USR and RBU feature codes. </t>
  </si>
  <si>
    <t>Updated Desc without indent formula in 'BorderWise Client Template' tab to add note for introductory pricing for relevant countries (UK, IE, EU and 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</si>
</sst>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quot;$&quot;* #,##0.00_-;_-&quot;$&quot;* &quot;-&quot;??_-;_-@_-"/>
    <numFmt numFmtId="43" formatCode="_-* #,##0.00_-;\-* #,##0.00_-;_-* &quot;-&quot;??_-;_-@_-"/>
    <numFmt numFmtId="164" formatCode="#,##0.000000"/>
    <numFmt numFmtId="165" formatCode="0.0%"/>
    <numFmt numFmtId="166" formatCode="_-* #,##0_-;\-* #,##0_-;_-* &quot;-&quot;??_-;_-@_-"/>
    <numFmt numFmtId="167" formatCode="[$€-2]\ #,##0.00;\-[$€-2]\ #,##0.00"/>
    <numFmt numFmtId="168" formatCode="[$¥-804]#,##0.00;[$¥-804]\-#,##0.00"/>
    <numFmt numFmtId="169" formatCode="_-&quot;$&quot;* #,##0_-;\-&quot;$&quot;* #,##0_-;_-&quot;$&quot;* &quot;-&quot;??_-;_-@_-"/>
    <numFmt numFmtId="170" formatCode="#,##0_ ;\-#,##0\ "/>
    <numFmt numFmtId="171" formatCode="_-* #,##0.0_-;\-* #,##0.0_-;_-* &quot;-&quot;?_-;_-@_-"/>
  </numFmts>
  <fonts count="43" x14ac:knownFonts="1">
    <font>
      <sz val="11"/>
      <color theme="1"/>
      <name val="Calibri"/>
      <family val="2"/>
      <scheme val="minor"/>
    </font>
    <font>
      <b/>
      <sz val="11"/>
      <color theme="0"/>
      <name val="Calibri"/>
      <family val="2"/>
      <scheme val="minor"/>
    </font>
    <font>
      <sz val="11"/>
      <name val="Calibri"/>
      <family val="2"/>
      <scheme val="minor"/>
    </font>
    <font>
      <sz val="11"/>
      <color rgb="FF000000"/>
      <name val="Calibri"/>
      <family val="2"/>
      <scheme val="minor"/>
    </font>
    <font>
      <sz val="11"/>
      <color theme="1"/>
      <name val="Wingdings 2"/>
      <family val="1"/>
      <charset val="2"/>
    </font>
    <font>
      <sz val="9"/>
      <color theme="1"/>
      <name val="DM Sans"/>
    </font>
    <font>
      <b/>
      <sz val="9"/>
      <color theme="1"/>
      <name val="DM Sans"/>
    </font>
    <font>
      <sz val="9"/>
      <color theme="0"/>
      <name val="DM Sans"/>
    </font>
    <font>
      <sz val="9"/>
      <color theme="1"/>
      <name val="Wingdings 2"/>
      <family val="1"/>
      <charset val="2"/>
    </font>
    <font>
      <sz val="11"/>
      <color theme="1"/>
      <name val="Calibri"/>
      <family val="2"/>
      <scheme val="minor"/>
    </font>
    <font>
      <b/>
      <sz val="9"/>
      <color theme="0"/>
      <name val="DM Sans"/>
    </font>
    <font>
      <sz val="11"/>
      <color rgb="FF0070C0"/>
      <name val="Calibri"/>
      <family val="2"/>
      <scheme val="minor"/>
    </font>
    <font>
      <b/>
      <sz val="10"/>
      <color theme="0"/>
      <name val="DM Sans"/>
    </font>
    <font>
      <b/>
      <sz val="11"/>
      <color theme="1"/>
      <name val="DM Sans"/>
    </font>
    <font>
      <sz val="11"/>
      <color theme="1"/>
      <name val="DM Sans"/>
    </font>
    <font>
      <b/>
      <sz val="9"/>
      <name val="DM Sans"/>
    </font>
    <font>
      <sz val="9"/>
      <name val="DM Sans"/>
    </font>
    <font>
      <b/>
      <sz val="11"/>
      <color rgb="FF000000"/>
      <name val="DM Sans"/>
    </font>
    <font>
      <sz val="11"/>
      <color rgb="FF000000"/>
      <name val="DM Sans"/>
    </font>
    <font>
      <b/>
      <sz val="10"/>
      <color theme="1"/>
      <name val="DM Sans"/>
    </font>
    <font>
      <sz val="10"/>
      <color theme="1"/>
      <name val="DM Sans"/>
    </font>
    <font>
      <b/>
      <sz val="9"/>
      <color rgb="FFFF0000"/>
      <name val="DM Sans"/>
    </font>
    <font>
      <sz val="9"/>
      <color theme="1" tint="0.499984740745262"/>
      <name val="DM Sans"/>
    </font>
    <font>
      <b/>
      <sz val="9"/>
      <color theme="1" tint="0.499984740745262"/>
      <name val="DM Sans"/>
    </font>
    <font>
      <b/>
      <sz val="12"/>
      <color rgb="FF1D1765"/>
      <name val="DM Sans"/>
    </font>
    <font>
      <sz val="10"/>
      <name val="Arial"/>
      <family val="2"/>
    </font>
    <font>
      <sz val="11"/>
      <color rgb="FFFF0000"/>
      <name val="Calibri"/>
      <family val="2"/>
      <scheme val="minor"/>
    </font>
    <font>
      <b/>
      <i/>
      <sz val="9"/>
      <color theme="1"/>
      <name val="DM Sans"/>
    </font>
    <font>
      <sz val="9"/>
      <color theme="1"/>
      <name val="Arial"/>
      <family val="2"/>
    </font>
    <font>
      <i/>
      <sz val="9"/>
      <color theme="1"/>
      <name val="DM Sans"/>
    </font>
    <font>
      <sz val="9"/>
      <color rgb="FF00B050"/>
      <name val="Wingdings 2"/>
      <family val="1"/>
      <charset val="2"/>
    </font>
    <font>
      <sz val="9"/>
      <name val="Arial"/>
      <family val="2"/>
    </font>
    <font>
      <sz val="9"/>
      <color theme="1"/>
      <name val="Calibri"/>
      <family val="2"/>
      <scheme val="minor"/>
    </font>
    <font>
      <vertAlign val="superscript"/>
      <sz val="9"/>
      <name val="DM Sans"/>
    </font>
    <font>
      <i/>
      <vertAlign val="superscript"/>
      <sz val="9"/>
      <color theme="1"/>
      <name val="DM Sans"/>
    </font>
    <font>
      <i/>
      <u/>
      <sz val="11"/>
      <color theme="1"/>
      <name val="DM Sans"/>
    </font>
    <font>
      <sz val="8"/>
      <color theme="1"/>
      <name val="DM Sans"/>
    </font>
    <font>
      <b/>
      <sz val="28"/>
      <color rgb="FF1D1765"/>
      <name val="DM Sans"/>
    </font>
    <font>
      <sz val="14"/>
      <color theme="1"/>
      <name val="DM Sans"/>
    </font>
    <font>
      <b/>
      <sz val="14"/>
      <color theme="1"/>
      <name val="DM Sans"/>
    </font>
    <font>
      <b/>
      <sz val="16"/>
      <color rgb="FF1D1765"/>
      <name val="DM Sans"/>
    </font>
    <font>
      <b/>
      <sz val="18"/>
      <color rgb="FF1D1765"/>
      <name val="DM Sans"/>
    </font>
    <font>
      <b/>
      <vertAlign val="superscript"/>
      <sz val="18"/>
      <color rgb="FF1D1765"/>
      <name val="DM Sans"/>
    </font>
  </fonts>
  <fills count="14">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theme="4" tint="0.79998168889431442"/>
      </patternFill>
    </fill>
    <fill>
      <patternFill patternType="solid">
        <fgColor theme="4"/>
        <bgColor theme="4"/>
      </patternFill>
    </fill>
    <fill>
      <patternFill patternType="solid">
        <fgColor rgb="FF00B050"/>
        <bgColor theme="4"/>
      </patternFill>
    </fill>
    <fill>
      <patternFill patternType="solid">
        <fgColor rgb="FF92D050"/>
        <bgColor theme="4"/>
      </patternFill>
    </fill>
    <fill>
      <patternFill patternType="solid">
        <fgColor theme="0" tint="-0.249977111117893"/>
        <bgColor theme="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1D1765"/>
        <bgColor indexed="64"/>
      </patternFill>
    </fill>
    <fill>
      <patternFill patternType="solid">
        <fgColor theme="4"/>
        <bgColor indexed="64"/>
      </patternFill>
    </fill>
    <fill>
      <patternFill patternType="solid">
        <fgColor theme="1"/>
        <bgColor indexed="64"/>
      </patternFill>
    </fill>
  </fills>
  <borders count="3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auto="1"/>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indexed="64"/>
      </right>
      <top/>
      <bottom/>
      <diagonal/>
    </border>
    <border>
      <left/>
      <right/>
      <top/>
      <bottom style="thin">
        <color indexed="64"/>
      </bottom>
      <diagonal/>
    </border>
    <border>
      <left style="thin">
        <color theme="0" tint="-0.34998626667073579"/>
      </left>
      <right style="thin">
        <color theme="0" tint="-0.34998626667073579"/>
      </right>
      <top/>
      <bottom/>
      <diagonal/>
    </border>
    <border>
      <left style="thin">
        <color indexed="64"/>
      </left>
      <right/>
      <top style="thin">
        <color indexed="64"/>
      </top>
      <bottom style="thin">
        <color theme="1" tint="0.499984740745262"/>
      </bottom>
      <diagonal/>
    </border>
    <border>
      <left style="thin">
        <color theme="1" tint="0.499984740745262"/>
      </left>
      <right style="thin">
        <color indexed="64"/>
      </right>
      <top style="thin">
        <color indexed="64"/>
      </top>
      <bottom style="thin">
        <color theme="1" tint="0.499984740745262"/>
      </bottom>
      <diagonal/>
    </border>
    <border>
      <left style="thin">
        <color theme="0" tint="-0.34998626667073579"/>
      </left>
      <right style="thin">
        <color indexed="64"/>
      </right>
      <top/>
      <bottom/>
      <diagonal/>
    </border>
    <border>
      <left style="thin">
        <color theme="0" tint="-0.34998626667073579"/>
      </left>
      <right style="thin">
        <color theme="0" tint="-0.34998626667073579"/>
      </right>
      <top/>
      <bottom style="thin">
        <color indexed="64"/>
      </bottom>
      <diagonal/>
    </border>
    <border>
      <left style="thin">
        <color theme="0" tint="-0.34998626667073579"/>
      </left>
      <right style="thin">
        <color indexed="64"/>
      </right>
      <top/>
      <bottom style="thin">
        <color indexed="64"/>
      </bottom>
      <diagonal/>
    </border>
    <border>
      <left style="thin">
        <color indexed="64"/>
      </left>
      <right style="thin">
        <color theme="0" tint="-0.34998626667073579"/>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tint="0.499984740745262"/>
      </bottom>
      <diagonal/>
    </border>
    <border>
      <left/>
      <right/>
      <top style="thick">
        <color rgb="FF1D1765"/>
      </top>
      <bottom/>
      <diagonal/>
    </border>
    <border>
      <left style="thin">
        <color indexed="64"/>
      </left>
      <right style="thin">
        <color theme="1" tint="0.499984740745262"/>
      </right>
      <top style="thin">
        <color indexed="64"/>
      </top>
      <bottom style="thin">
        <color theme="1" tint="0.499984740745262"/>
      </bottom>
      <diagonal/>
    </border>
  </borders>
  <cellStyleXfs count="5">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25" fillId="0" borderId="0"/>
  </cellStyleXfs>
  <cellXfs count="336">
    <xf numFmtId="0" fontId="0" fillId="0" borderId="0" xfId="0"/>
    <xf numFmtId="0" fontId="2" fillId="2" borderId="1" xfId="0" applyFont="1" applyFill="1" applyBorder="1"/>
    <xf numFmtId="0" fontId="2" fillId="3" borderId="2" xfId="0" applyFont="1" applyFill="1" applyBorder="1"/>
    <xf numFmtId="0" fontId="2" fillId="3" borderId="1" xfId="0" applyFont="1" applyFill="1" applyBorder="1"/>
    <xf numFmtId="0" fontId="1" fillId="4" borderId="4" xfId="0" applyFont="1" applyFill="1" applyBorder="1"/>
    <xf numFmtId="0" fontId="1" fillId="5" borderId="4" xfId="0" applyFont="1" applyFill="1" applyBorder="1"/>
    <xf numFmtId="0" fontId="1" fillId="6" borderId="4" xfId="0" applyFont="1" applyFill="1" applyBorder="1"/>
    <xf numFmtId="0" fontId="1" fillId="7" borderId="5" xfId="0" applyFont="1" applyFill="1" applyBorder="1"/>
    <xf numFmtId="0" fontId="1" fillId="4" borderId="6" xfId="0" applyFont="1" applyFill="1" applyBorder="1"/>
    <xf numFmtId="0" fontId="0" fillId="3" borderId="1" xfId="0" applyFill="1" applyBorder="1"/>
    <xf numFmtId="1" fontId="0" fillId="3" borderId="1" xfId="0" applyNumberFormat="1" applyFill="1" applyBorder="1"/>
    <xf numFmtId="0" fontId="0" fillId="3" borderId="3" xfId="0" applyFill="1" applyBorder="1"/>
    <xf numFmtId="0" fontId="2" fillId="2" borderId="7" xfId="0" applyFont="1" applyFill="1" applyBorder="1"/>
    <xf numFmtId="0" fontId="2" fillId="3" borderId="7" xfId="0" applyFont="1" applyFill="1" applyBorder="1"/>
    <xf numFmtId="0" fontId="2" fillId="3" borderId="8" xfId="0" applyFont="1" applyFill="1" applyBorder="1"/>
    <xf numFmtId="0" fontId="2" fillId="2" borderId="7" xfId="0" applyNumberFormat="1" applyFont="1" applyFill="1" applyBorder="1"/>
    <xf numFmtId="0" fontId="2" fillId="2" borderId="8" xfId="0" applyFont="1" applyFill="1" applyBorder="1"/>
    <xf numFmtId="0" fontId="0" fillId="0" borderId="10" xfId="0" applyNumberFormat="1" applyBorder="1"/>
    <xf numFmtId="0" fontId="0" fillId="2" borderId="7" xfId="0" applyFill="1" applyBorder="1"/>
    <xf numFmtId="0" fontId="3" fillId="9" borderId="7" xfId="0" applyFont="1" applyFill="1" applyBorder="1" applyAlignment="1">
      <alignment vertical="top"/>
    </xf>
    <xf numFmtId="4" fontId="3" fillId="9" borderId="7" xfId="0" applyNumberFormat="1" applyFont="1" applyFill="1" applyBorder="1" applyAlignment="1">
      <alignment vertical="top"/>
    </xf>
    <xf numFmtId="164" fontId="3" fillId="9" borderId="7" xfId="0" applyNumberFormat="1" applyFont="1" applyFill="1" applyBorder="1" applyAlignment="1">
      <alignment vertical="top"/>
    </xf>
    <xf numFmtId="0" fontId="2" fillId="2" borderId="9" xfId="0" applyFont="1" applyFill="1" applyBorder="1"/>
    <xf numFmtId="0" fontId="5" fillId="0" borderId="0" xfId="0" applyFont="1"/>
    <xf numFmtId="0" fontId="6" fillId="0" borderId="0" xfId="0" applyFont="1" applyAlignment="1">
      <alignment horizontal="center"/>
    </xf>
    <xf numFmtId="0" fontId="0" fillId="3" borderId="11" xfId="0" applyFill="1" applyBorder="1"/>
    <xf numFmtId="0" fontId="4" fillId="8" borderId="0" xfId="0" applyFont="1" applyFill="1"/>
    <xf numFmtId="0" fontId="2" fillId="2" borderId="3" xfId="0" applyFont="1" applyFill="1" applyBorder="1"/>
    <xf numFmtId="0" fontId="8" fillId="0" borderId="0" xfId="0" applyFont="1"/>
    <xf numFmtId="0" fontId="4" fillId="0" borderId="0" xfId="0" applyFont="1"/>
    <xf numFmtId="0" fontId="2" fillId="2" borderId="8" xfId="0" applyNumberFormat="1" applyFont="1" applyFill="1" applyBorder="1"/>
    <xf numFmtId="0" fontId="2" fillId="2" borderId="12" xfId="0" applyNumberFormat="1" applyFont="1" applyFill="1" applyBorder="1"/>
    <xf numFmtId="0" fontId="0" fillId="0" borderId="0" xfId="0" quotePrefix="1"/>
    <xf numFmtId="0" fontId="11" fillId="0" borderId="0" xfId="0" applyFont="1"/>
    <xf numFmtId="0" fontId="12" fillId="11" borderId="0" xfId="0" applyFont="1" applyFill="1"/>
    <xf numFmtId="165" fontId="12" fillId="11" borderId="0" xfId="3" applyNumberFormat="1" applyFont="1" applyFill="1"/>
    <xf numFmtId="0" fontId="13" fillId="0" borderId="0" xfId="0" applyFont="1"/>
    <xf numFmtId="0" fontId="14" fillId="0" borderId="0" xfId="0" applyFont="1"/>
    <xf numFmtId="0" fontId="15" fillId="0" borderId="0" xfId="0" applyFont="1"/>
    <xf numFmtId="165" fontId="16" fillId="0" borderId="0" xfId="3" applyNumberFormat="1" applyFont="1"/>
    <xf numFmtId="0" fontId="16" fillId="0" borderId="0" xfId="0" applyFont="1"/>
    <xf numFmtId="9" fontId="14" fillId="0" borderId="0" xfId="3" applyFont="1"/>
    <xf numFmtId="0" fontId="6" fillId="0" borderId="0" xfId="0" applyFont="1" applyAlignment="1">
      <alignment vertical="center"/>
    </xf>
    <xf numFmtId="0" fontId="20" fillId="0" borderId="0" xfId="0" applyFont="1"/>
    <xf numFmtId="0" fontId="17" fillId="0" borderId="0" xfId="0" applyFont="1" applyAlignment="1">
      <alignment vertical="center"/>
    </xf>
    <xf numFmtId="0" fontId="18" fillId="0" borderId="0" xfId="0" applyFont="1" applyAlignment="1">
      <alignment vertical="center"/>
    </xf>
    <xf numFmtId="0" fontId="15" fillId="0" borderId="2" xfId="0" applyFont="1" applyBorder="1"/>
    <xf numFmtId="165" fontId="16" fillId="0" borderId="13" xfId="3" applyNumberFormat="1" applyFont="1" applyBorder="1"/>
    <xf numFmtId="0" fontId="16" fillId="0" borderId="13" xfId="0" applyFont="1" applyBorder="1"/>
    <xf numFmtId="0" fontId="16" fillId="0" borderId="3" xfId="0" applyFont="1" applyBorder="1"/>
    <xf numFmtId="44" fontId="14" fillId="0" borderId="0" xfId="0" applyNumberFormat="1" applyFont="1"/>
    <xf numFmtId="2" fontId="14" fillId="0" borderId="0" xfId="0" applyNumberFormat="1" applyFont="1"/>
    <xf numFmtId="168" fontId="14" fillId="0" borderId="0" xfId="0" applyNumberFormat="1" applyFont="1"/>
    <xf numFmtId="166" fontId="16" fillId="0" borderId="0" xfId="1" applyNumberFormat="1" applyFont="1"/>
    <xf numFmtId="44" fontId="5" fillId="0" borderId="0" xfId="2" applyFont="1"/>
    <xf numFmtId="0" fontId="14" fillId="0" borderId="0" xfId="0" applyFont="1" applyBorder="1"/>
    <xf numFmtId="165" fontId="16" fillId="0" borderId="0" xfId="3" applyNumberFormat="1" applyFont="1" applyBorder="1"/>
    <xf numFmtId="169" fontId="21" fillId="10" borderId="0" xfId="2" applyNumberFormat="1" applyFont="1" applyFill="1" applyAlignment="1">
      <alignment horizontal="left"/>
    </xf>
    <xf numFmtId="166" fontId="5" fillId="0" borderId="0" xfId="0" applyNumberFormat="1" applyFont="1"/>
    <xf numFmtId="9" fontId="15" fillId="0" borderId="0" xfId="3" applyFont="1"/>
    <xf numFmtId="165" fontId="5" fillId="0" borderId="0" xfId="3" applyNumberFormat="1" applyFont="1"/>
    <xf numFmtId="0" fontId="5" fillId="0" borderId="17" xfId="0" applyFont="1" applyBorder="1"/>
    <xf numFmtId="165" fontId="5" fillId="0" borderId="18" xfId="3" applyNumberFormat="1" applyFont="1" applyBorder="1"/>
    <xf numFmtId="0" fontId="5" fillId="0" borderId="18" xfId="0" applyFont="1" applyBorder="1"/>
    <xf numFmtId="0" fontId="5" fillId="0" borderId="6" xfId="0" applyFont="1" applyBorder="1"/>
    <xf numFmtId="171" fontId="14" fillId="0" borderId="0" xfId="0" applyNumberFormat="1" applyFont="1"/>
    <xf numFmtId="0" fontId="6" fillId="0" borderId="0" xfId="0" applyFont="1"/>
    <xf numFmtId="9" fontId="20" fillId="0" borderId="0" xfId="3" applyFont="1"/>
    <xf numFmtId="165" fontId="5" fillId="0" borderId="13" xfId="3" applyNumberFormat="1" applyFont="1" applyBorder="1"/>
    <xf numFmtId="0" fontId="5" fillId="0" borderId="13" xfId="0" applyFont="1" applyBorder="1"/>
    <xf numFmtId="0" fontId="5" fillId="0" borderId="3" xfId="0" applyFont="1" applyBorder="1"/>
    <xf numFmtId="43" fontId="22" fillId="10" borderId="0" xfId="1" applyFont="1" applyFill="1"/>
    <xf numFmtId="165" fontId="23" fillId="10" borderId="0" xfId="3" applyNumberFormat="1" applyFont="1" applyFill="1"/>
    <xf numFmtId="0" fontId="12" fillId="11" borderId="14" xfId="0" applyFont="1" applyFill="1" applyBorder="1"/>
    <xf numFmtId="165" fontId="12" fillId="11" borderId="15" xfId="3" applyNumberFormat="1" applyFont="1" applyFill="1" applyBorder="1"/>
    <xf numFmtId="0" fontId="12" fillId="11" borderId="15" xfId="0" applyFont="1" applyFill="1" applyBorder="1"/>
    <xf numFmtId="0" fontId="12" fillId="11" borderId="16" xfId="0" applyFont="1" applyFill="1" applyBorder="1"/>
    <xf numFmtId="169" fontId="16" fillId="0" borderId="0" xfId="2" applyNumberFormat="1" applyFont="1" applyFill="1" applyBorder="1" applyAlignment="1">
      <alignment horizontal="right"/>
    </xf>
    <xf numFmtId="165" fontId="6" fillId="0" borderId="0" xfId="3" applyNumberFormat="1" applyFont="1" applyFill="1" applyBorder="1" applyAlignment="1">
      <alignment horizontal="right"/>
    </xf>
    <xf numFmtId="0" fontId="24" fillId="0" borderId="0" xfId="0" applyFont="1" applyAlignment="1">
      <alignment vertical="center"/>
    </xf>
    <xf numFmtId="0" fontId="0" fillId="0" borderId="0" xfId="0" applyAlignment="1">
      <alignment wrapText="1"/>
    </xf>
    <xf numFmtId="0" fontId="1" fillId="4" borderId="11" xfId="0" applyFont="1" applyFill="1" applyBorder="1"/>
    <xf numFmtId="0" fontId="0" fillId="8" borderId="7" xfId="0" applyFill="1" applyBorder="1"/>
    <xf numFmtId="0" fontId="5" fillId="0" borderId="0" xfId="0" applyFont="1" applyAlignment="1">
      <alignment wrapText="1"/>
    </xf>
    <xf numFmtId="0" fontId="6" fillId="0" borderId="0" xfId="0" applyFont="1" applyAlignment="1">
      <alignment horizontal="center" wrapText="1"/>
    </xf>
    <xf numFmtId="0" fontId="0" fillId="8" borderId="0" xfId="0" applyFont="1" applyFill="1"/>
    <xf numFmtId="0" fontId="0" fillId="0" borderId="7" xfId="0" applyBorder="1"/>
    <xf numFmtId="0" fontId="1" fillId="12" borderId="7" xfId="0" applyFont="1" applyFill="1" applyBorder="1"/>
    <xf numFmtId="0" fontId="2" fillId="2" borderId="1" xfId="0" applyNumberFormat="1" applyFont="1" applyFill="1" applyBorder="1"/>
    <xf numFmtId="0" fontId="2" fillId="2" borderId="11" xfId="0" applyNumberFormat="1" applyFont="1" applyFill="1" applyBorder="1"/>
    <xf numFmtId="0" fontId="0" fillId="0" borderId="0" xfId="0" applyNumberFormat="1"/>
    <xf numFmtId="0" fontId="0" fillId="8" borderId="7" xfId="0" applyNumberFormat="1" applyFill="1" applyBorder="1"/>
    <xf numFmtId="0" fontId="3" fillId="9" borderId="1" xfId="0" applyFont="1" applyFill="1" applyBorder="1" applyAlignment="1">
      <alignment vertical="top"/>
    </xf>
    <xf numFmtId="4" fontId="3" fillId="9" borderId="1" xfId="0" applyNumberFormat="1" applyFont="1" applyFill="1" applyBorder="1" applyAlignment="1">
      <alignment vertical="top"/>
    </xf>
    <xf numFmtId="164" fontId="3" fillId="9" borderId="1" xfId="0" applyNumberFormat="1" applyFont="1" applyFill="1" applyBorder="1" applyAlignment="1">
      <alignment vertical="top"/>
    </xf>
    <xf numFmtId="0" fontId="0" fillId="0" borderId="2" xfId="0" applyNumberFormat="1" applyBorder="1"/>
    <xf numFmtId="0" fontId="0" fillId="0" borderId="0" xfId="0" applyNumberFormat="1" applyBorder="1"/>
    <xf numFmtId="0" fontId="0" fillId="8" borderId="1" xfId="0" applyNumberFormat="1" applyFill="1" applyBorder="1"/>
    <xf numFmtId="0" fontId="0" fillId="9" borderId="0" xfId="0" applyFill="1"/>
    <xf numFmtId="0" fontId="5" fillId="0" borderId="0" xfId="0" applyFont="1"/>
    <xf numFmtId="0" fontId="5" fillId="0" borderId="0" xfId="0" applyFont="1"/>
    <xf numFmtId="0" fontId="12" fillId="11" borderId="0" xfId="0" applyFont="1" applyFill="1" applyBorder="1" applyAlignment="1">
      <alignment horizontal="right" vertical="center" wrapText="1"/>
    </xf>
    <xf numFmtId="0" fontId="12" fillId="11" borderId="0" xfId="0" applyFont="1" applyFill="1" applyBorder="1" applyAlignment="1">
      <alignment horizontal="left" wrapText="1"/>
    </xf>
    <xf numFmtId="0" fontId="5" fillId="0" borderId="0" xfId="0" applyFont="1"/>
    <xf numFmtId="0" fontId="5" fillId="0" borderId="0" xfId="0" applyFont="1" applyAlignment="1">
      <alignment wrapText="1"/>
    </xf>
    <xf numFmtId="0" fontId="0" fillId="0" borderId="0" xfId="0"/>
    <xf numFmtId="0" fontId="26" fillId="0" borderId="0" xfId="0" applyFont="1"/>
    <xf numFmtId="0" fontId="28" fillId="0" borderId="0" xfId="0" applyFont="1"/>
    <xf numFmtId="0" fontId="5" fillId="0" borderId="0" xfId="0" applyFont="1" applyAlignment="1">
      <alignment horizontal="center"/>
    </xf>
    <xf numFmtId="0" fontId="29" fillId="0" borderId="0" xfId="0" applyFont="1"/>
    <xf numFmtId="0" fontId="30" fillId="0" borderId="0" xfId="0" applyFont="1" applyAlignment="1">
      <alignment horizontal="center" vertical="center"/>
    </xf>
    <xf numFmtId="169" fontId="5" fillId="0" borderId="0" xfId="2" applyNumberFormat="1" applyFont="1" applyFill="1" applyAlignment="1">
      <alignment horizontal="center"/>
    </xf>
    <xf numFmtId="40" fontId="5" fillId="0" borderId="0" xfId="2" applyNumberFormat="1" applyFont="1" applyFill="1"/>
    <xf numFmtId="4" fontId="16" fillId="0" borderId="0" xfId="4" applyNumberFormat="1" applyFont="1" applyAlignment="1">
      <alignment horizontal="left"/>
    </xf>
    <xf numFmtId="40" fontId="5" fillId="0" borderId="0" xfId="0" applyNumberFormat="1" applyFont="1"/>
    <xf numFmtId="4" fontId="31" fillId="0" borderId="0" xfId="4" applyNumberFormat="1" applyFont="1" applyAlignment="1">
      <alignment horizontal="left"/>
    </xf>
    <xf numFmtId="0" fontId="5" fillId="0" borderId="0" xfId="0" applyFont="1" applyAlignment="1" applyProtection="1">
      <alignment horizontal="center"/>
      <protection locked="0"/>
    </xf>
    <xf numFmtId="0" fontId="5" fillId="0" borderId="0" xfId="0" applyFont="1" applyProtection="1">
      <protection locked="0"/>
    </xf>
    <xf numFmtId="0" fontId="28" fillId="0" borderId="0" xfId="0" applyFont="1" applyAlignment="1" applyProtection="1">
      <alignment horizontal="center"/>
      <protection locked="0"/>
    </xf>
    <xf numFmtId="40" fontId="5" fillId="0" borderId="0" xfId="0" applyNumberFormat="1" applyFont="1" applyProtection="1">
      <protection locked="0"/>
    </xf>
    <xf numFmtId="0" fontId="8" fillId="0" borderId="0" xfId="0" applyFont="1" applyProtection="1">
      <protection locked="0"/>
    </xf>
    <xf numFmtId="0" fontId="0" fillId="0" borderId="0" xfId="0"/>
    <xf numFmtId="0" fontId="0" fillId="0" borderId="0" xfId="0" applyAlignment="1">
      <alignment vertical="top" wrapText="1"/>
    </xf>
    <xf numFmtId="0" fontId="5" fillId="0" borderId="0" xfId="0" applyFont="1"/>
    <xf numFmtId="0" fontId="20" fillId="0" borderId="0" xfId="0" pivotButton="1" applyFont="1" applyAlignment="1">
      <alignment horizontal="center"/>
    </xf>
    <xf numFmtId="0" fontId="20" fillId="0" borderId="0" xfId="0" pivotButton="1" applyFont="1" applyAlignment="1">
      <alignment horizontal="center" textRotation="90"/>
    </xf>
    <xf numFmtId="0" fontId="12" fillId="0" borderId="0" xfId="0" applyFont="1" applyFill="1" applyAlignment="1">
      <alignment horizontal="center"/>
    </xf>
    <xf numFmtId="0" fontId="12" fillId="0" borderId="0" xfId="0" pivotButton="1" applyFont="1" applyAlignment="1">
      <alignment horizontal="center" textRotation="90"/>
    </xf>
    <xf numFmtId="0" fontId="12" fillId="0" borderId="0" xfId="0" pivotButton="1" applyFont="1" applyAlignment="1">
      <alignment horizontal="center"/>
    </xf>
    <xf numFmtId="0" fontId="0" fillId="0" borderId="0" xfId="0"/>
    <xf numFmtId="0" fontId="29" fillId="0" borderId="0" xfId="0" applyFont="1" applyAlignment="1">
      <alignment vertical="top"/>
    </xf>
    <xf numFmtId="0" fontId="5" fillId="0" borderId="0" xfId="0" applyFont="1" applyAlignment="1">
      <alignment vertical="top"/>
    </xf>
    <xf numFmtId="0" fontId="32"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6" fillId="0" borderId="0" xfId="0" applyFont="1" applyAlignment="1">
      <alignment vertical="top"/>
    </xf>
    <xf numFmtId="4" fontId="16" fillId="0" borderId="0" xfId="4" applyNumberFormat="1" applyFont="1" applyAlignment="1">
      <alignment horizontal="left" vertical="top"/>
    </xf>
    <xf numFmtId="166" fontId="16" fillId="0" borderId="0" xfId="1" applyNumberFormat="1" applyFont="1" applyBorder="1"/>
    <xf numFmtId="0" fontId="15" fillId="0" borderId="2" xfId="0" applyFont="1" applyBorder="1" applyAlignment="1">
      <alignment vertical="top"/>
    </xf>
    <xf numFmtId="165" fontId="16" fillId="0" borderId="13" xfId="3" applyNumberFormat="1" applyFont="1" applyBorder="1" applyAlignment="1">
      <alignment vertical="top"/>
    </xf>
    <xf numFmtId="0" fontId="16" fillId="0" borderId="13" xfId="0" applyFont="1" applyBorder="1" applyAlignment="1">
      <alignment vertical="top"/>
    </xf>
    <xf numFmtId="0" fontId="16" fillId="0" borderId="3" xfId="0" applyFont="1" applyBorder="1" applyAlignment="1">
      <alignment vertical="top"/>
    </xf>
    <xf numFmtId="0" fontId="6" fillId="0" borderId="2" xfId="0" applyFont="1" applyBorder="1" applyAlignment="1">
      <alignment vertical="top"/>
    </xf>
    <xf numFmtId="0" fontId="6" fillId="0" borderId="13" xfId="0" applyFont="1" applyBorder="1" applyAlignment="1">
      <alignment vertical="top"/>
    </xf>
    <xf numFmtId="0" fontId="17" fillId="0" borderId="13" xfId="0" applyFont="1" applyBorder="1" applyAlignment="1">
      <alignment vertical="top"/>
    </xf>
    <xf numFmtId="0" fontId="18" fillId="0" borderId="13" xfId="0" applyFont="1" applyBorder="1" applyAlignment="1">
      <alignment vertical="top"/>
    </xf>
    <xf numFmtId="0" fontId="18" fillId="0" borderId="3" xfId="0" applyFont="1" applyBorder="1" applyAlignment="1">
      <alignment vertical="top"/>
    </xf>
    <xf numFmtId="0" fontId="6" fillId="0" borderId="8" xfId="0" applyFont="1" applyBorder="1" applyAlignment="1">
      <alignment vertical="top"/>
    </xf>
    <xf numFmtId="0" fontId="19" fillId="0" borderId="0" xfId="0" applyFont="1" applyAlignment="1">
      <alignment vertical="top"/>
    </xf>
    <xf numFmtId="0" fontId="20" fillId="0" borderId="0" xfId="0" applyFont="1" applyAlignment="1">
      <alignment vertical="top"/>
    </xf>
    <xf numFmtId="0" fontId="20" fillId="0" borderId="17" xfId="0" applyFont="1" applyBorder="1" applyAlignment="1">
      <alignment vertical="top"/>
    </xf>
    <xf numFmtId="0" fontId="6" fillId="0" borderId="5" xfId="0" applyFont="1" applyBorder="1" applyAlignment="1">
      <alignment vertical="top"/>
    </xf>
    <xf numFmtId="0" fontId="17" fillId="0" borderId="18" xfId="0" applyFont="1" applyBorder="1" applyAlignment="1">
      <alignment vertical="top"/>
    </xf>
    <xf numFmtId="0" fontId="18" fillId="0" borderId="18" xfId="0" applyFont="1" applyBorder="1" applyAlignment="1">
      <alignment vertical="top"/>
    </xf>
    <xf numFmtId="0" fontId="18" fillId="0" borderId="6" xfId="0" applyFont="1" applyBorder="1" applyAlignment="1">
      <alignment vertical="top"/>
    </xf>
    <xf numFmtId="0" fontId="12" fillId="11" borderId="0" xfId="0" applyFont="1" applyFill="1" applyBorder="1" applyAlignment="1">
      <alignment horizontal="left" vertical="center" wrapText="1"/>
    </xf>
    <xf numFmtId="166" fontId="16" fillId="0" borderId="0" xfId="1" applyNumberFormat="1" applyFont="1" applyFill="1" applyBorder="1"/>
    <xf numFmtId="44" fontId="16" fillId="0" borderId="0" xfId="2" applyNumberFormat="1" applyFont="1" applyFill="1" applyBorder="1"/>
    <xf numFmtId="166" fontId="16" fillId="10" borderId="0" xfId="1" applyNumberFormat="1" applyFont="1" applyFill="1" applyBorder="1" applyAlignment="1">
      <alignment vertical="top"/>
    </xf>
    <xf numFmtId="44" fontId="16" fillId="10" borderId="0" xfId="2" applyFont="1" applyFill="1" applyBorder="1" applyAlignment="1">
      <alignment vertical="top"/>
    </xf>
    <xf numFmtId="166" fontId="16" fillId="0" borderId="0" xfId="1" applyNumberFormat="1" applyFont="1" applyFill="1" applyBorder="1" applyAlignment="1">
      <alignment vertical="top"/>
    </xf>
    <xf numFmtId="44" fontId="16" fillId="0" borderId="0" xfId="2" applyNumberFormat="1" applyFont="1" applyFill="1" applyBorder="1" applyAlignment="1">
      <alignment vertical="top"/>
    </xf>
    <xf numFmtId="44" fontId="5" fillId="0" borderId="0" xfId="2" applyNumberFormat="1" applyFont="1" applyFill="1" applyBorder="1"/>
    <xf numFmtId="44" fontId="5" fillId="0" borderId="0" xfId="2" applyFont="1" applyBorder="1"/>
    <xf numFmtId="44" fontId="5" fillId="10" borderId="0" xfId="2" applyFont="1" applyFill="1" applyBorder="1"/>
    <xf numFmtId="0" fontId="12" fillId="11" borderId="0" xfId="0" applyFont="1" applyFill="1" applyBorder="1" applyAlignment="1">
      <alignment horizontal="right" wrapText="1"/>
    </xf>
    <xf numFmtId="44" fontId="5" fillId="10" borderId="0" xfId="2" applyFont="1" applyFill="1" applyBorder="1" applyAlignment="1">
      <alignment vertical="top" wrapText="1"/>
    </xf>
    <xf numFmtId="0" fontId="5" fillId="0" borderId="0" xfId="0" applyFont="1" applyAlignment="1" applyProtection="1">
      <alignment horizontal="center" vertical="top"/>
      <protection locked="0"/>
    </xf>
    <xf numFmtId="0" fontId="5" fillId="0" borderId="0" xfId="0" applyFont="1" applyAlignment="1" applyProtection="1">
      <alignment vertical="top"/>
      <protection locked="0"/>
    </xf>
    <xf numFmtId="0" fontId="5" fillId="0" borderId="0" xfId="0" applyFont="1" applyFill="1" applyAlignment="1" applyProtection="1">
      <alignment vertical="top"/>
      <protection locked="0"/>
    </xf>
    <xf numFmtId="0" fontId="12" fillId="11" borderId="0" xfId="0" applyFont="1" applyFill="1" applyBorder="1" applyAlignment="1">
      <alignment vertical="center" wrapText="1"/>
    </xf>
    <xf numFmtId="0" fontId="12" fillId="11" borderId="0" xfId="0" applyFont="1" applyFill="1" applyBorder="1" applyAlignment="1">
      <alignment horizontal="center" vertical="center" wrapText="1"/>
    </xf>
    <xf numFmtId="170" fontId="5" fillId="10" borderId="0" xfId="2" applyNumberFormat="1" applyFont="1" applyFill="1" applyBorder="1" applyAlignment="1">
      <alignment horizontal="left" vertical="top"/>
    </xf>
    <xf numFmtId="9" fontId="6" fillId="10" borderId="0" xfId="3" applyNumberFormat="1" applyFont="1" applyFill="1" applyBorder="1" applyAlignment="1">
      <alignment vertical="top"/>
    </xf>
    <xf numFmtId="0" fontId="6" fillId="10" borderId="8" xfId="0" applyFont="1" applyFill="1" applyBorder="1" applyAlignment="1">
      <alignment vertical="top"/>
    </xf>
    <xf numFmtId="165" fontId="5" fillId="0" borderId="0" xfId="3" applyNumberFormat="1" applyFont="1" applyAlignment="1">
      <alignment vertical="top"/>
    </xf>
    <xf numFmtId="0" fontId="5" fillId="0" borderId="17" xfId="0" applyFont="1" applyBorder="1" applyAlignment="1">
      <alignment vertical="top"/>
    </xf>
    <xf numFmtId="0" fontId="6" fillId="10" borderId="5" xfId="0" applyFont="1" applyFill="1" applyBorder="1" applyAlignment="1">
      <alignment vertical="top"/>
    </xf>
    <xf numFmtId="165" fontId="5" fillId="0" borderId="18" xfId="3" applyNumberFormat="1" applyFont="1" applyBorder="1" applyAlignment="1">
      <alignment vertical="top"/>
    </xf>
    <xf numFmtId="0" fontId="5" fillId="0" borderId="18" xfId="0" applyFont="1" applyBorder="1" applyAlignment="1">
      <alignment vertical="top"/>
    </xf>
    <xf numFmtId="0" fontId="5" fillId="0" borderId="6" xfId="0" applyFont="1" applyBorder="1" applyAlignment="1">
      <alignment vertical="top"/>
    </xf>
    <xf numFmtId="169" fontId="16" fillId="10" borderId="0" xfId="2" applyNumberFormat="1" applyFont="1" applyFill="1" applyBorder="1" applyAlignment="1">
      <alignment horizontal="right"/>
    </xf>
    <xf numFmtId="169" fontId="16" fillId="10" borderId="0" xfId="2" applyNumberFormat="1" applyFont="1" applyFill="1" applyBorder="1" applyAlignment="1">
      <alignment horizontal="right" vertical="center"/>
    </xf>
    <xf numFmtId="9" fontId="16" fillId="10" borderId="0" xfId="2" applyNumberFormat="1" applyFont="1" applyFill="1" applyBorder="1" applyAlignment="1">
      <alignment horizontal="right" vertical="center"/>
    </xf>
    <xf numFmtId="0" fontId="12" fillId="11" borderId="0" xfId="0" applyFont="1" applyFill="1" applyBorder="1" applyAlignment="1">
      <alignment vertical="center"/>
    </xf>
    <xf numFmtId="0" fontId="12" fillId="11" borderId="0" xfId="0" applyFont="1" applyFill="1" applyBorder="1" applyAlignment="1">
      <alignment horizontal="center" vertical="center"/>
    </xf>
    <xf numFmtId="0" fontId="16" fillId="0" borderId="0" xfId="0" applyFont="1" applyFill="1" applyBorder="1"/>
    <xf numFmtId="0" fontId="5" fillId="0" borderId="0" xfId="0" applyFont="1" applyFill="1" applyBorder="1" applyAlignment="1">
      <alignment horizontal="right"/>
    </xf>
    <xf numFmtId="165" fontId="16" fillId="0" borderId="0" xfId="3" applyNumberFormat="1" applyFont="1" applyFill="1" applyBorder="1"/>
    <xf numFmtId="169" fontId="16" fillId="0" borderId="0" xfId="2" applyNumberFormat="1" applyFont="1" applyFill="1" applyBorder="1" applyAlignment="1">
      <alignment horizontal="right" vertical="top"/>
    </xf>
    <xf numFmtId="165" fontId="5" fillId="0" borderId="0" xfId="3" applyNumberFormat="1" applyFont="1" applyFill="1" applyBorder="1" applyAlignment="1">
      <alignment horizontal="right" vertical="top"/>
    </xf>
    <xf numFmtId="9" fontId="16" fillId="10" borderId="0" xfId="3" applyNumberFormat="1" applyFont="1" applyFill="1" applyBorder="1"/>
    <xf numFmtId="9" fontId="5" fillId="10" borderId="0" xfId="3" applyNumberFormat="1" applyFont="1" applyFill="1" applyBorder="1"/>
    <xf numFmtId="0" fontId="5" fillId="0" borderId="0" xfId="0" applyFont="1"/>
    <xf numFmtId="0" fontId="5" fillId="0" borderId="0" xfId="0" applyFont="1" applyAlignment="1">
      <alignment vertical="top" wrapText="1"/>
    </xf>
    <xf numFmtId="0" fontId="27" fillId="0" borderId="0" xfId="0" applyFont="1" applyBorder="1" applyAlignment="1" applyProtection="1">
      <alignment vertical="top"/>
      <protection locked="0"/>
    </xf>
    <xf numFmtId="0" fontId="5" fillId="0" borderId="0" xfId="0" applyFont="1" applyBorder="1" applyAlignment="1" applyProtection="1">
      <alignment vertical="top"/>
      <protection locked="0"/>
    </xf>
    <xf numFmtId="0" fontId="16" fillId="0" borderId="8" xfId="0" applyFont="1" applyBorder="1" applyAlignment="1">
      <alignment vertical="top"/>
    </xf>
    <xf numFmtId="165" fontId="16" fillId="0" borderId="0" xfId="3" applyNumberFormat="1" applyFont="1" applyBorder="1" applyAlignment="1">
      <alignment vertical="top"/>
    </xf>
    <xf numFmtId="0" fontId="16" fillId="0" borderId="0" xfId="0" applyFont="1" applyBorder="1" applyAlignment="1">
      <alignment vertical="top"/>
    </xf>
    <xf numFmtId="0" fontId="16" fillId="0" borderId="17" xfId="0" applyFont="1" applyBorder="1" applyAlignment="1">
      <alignment vertical="top"/>
    </xf>
    <xf numFmtId="0" fontId="15" fillId="10" borderId="2" xfId="0" applyFont="1" applyFill="1" applyBorder="1"/>
    <xf numFmtId="0" fontId="15" fillId="0" borderId="8" xfId="0" applyFont="1" applyBorder="1"/>
    <xf numFmtId="0" fontId="16" fillId="0" borderId="0" xfId="0" applyFont="1" applyBorder="1"/>
    <xf numFmtId="0" fontId="16" fillId="0" borderId="17" xfId="0" applyFont="1" applyBorder="1"/>
    <xf numFmtId="0" fontId="15" fillId="0" borderId="5" xfId="0" applyFont="1" applyBorder="1"/>
    <xf numFmtId="165" fontId="16" fillId="0" borderId="18" xfId="3" applyNumberFormat="1" applyFont="1" applyBorder="1"/>
    <xf numFmtId="0" fontId="16" fillId="0" borderId="18" xfId="0" applyFont="1" applyBorder="1"/>
    <xf numFmtId="0" fontId="16" fillId="0" borderId="6" xfId="0" applyFont="1" applyBorder="1"/>
    <xf numFmtId="165" fontId="5" fillId="0" borderId="0" xfId="3" applyNumberFormat="1" applyFont="1" applyBorder="1"/>
    <xf numFmtId="0" fontId="5" fillId="0" borderId="0" xfId="0" applyFont="1" applyBorder="1"/>
    <xf numFmtId="0" fontId="15" fillId="0" borderId="8" xfId="0" applyFont="1" applyBorder="1" applyAlignment="1">
      <alignment vertical="top"/>
    </xf>
    <xf numFmtId="0" fontId="15" fillId="0" borderId="5" xfId="0" applyFont="1" applyBorder="1" applyAlignment="1">
      <alignment vertical="top"/>
    </xf>
    <xf numFmtId="0" fontId="5" fillId="0" borderId="0" xfId="0" applyFont="1" applyAlignment="1">
      <alignment vertical="top" wrapText="1"/>
    </xf>
    <xf numFmtId="9" fontId="15" fillId="10" borderId="19" xfId="3" applyFont="1" applyFill="1" applyBorder="1"/>
    <xf numFmtId="0" fontId="29" fillId="0" borderId="0" xfId="0" applyFont="1" applyAlignment="1">
      <alignment vertical="center"/>
    </xf>
    <xf numFmtId="0" fontId="12" fillId="11" borderId="0" xfId="0" applyFont="1" applyFill="1" applyAlignment="1">
      <alignment horizontal="left"/>
    </xf>
    <xf numFmtId="0" fontId="14" fillId="0" borderId="0" xfId="0" applyFont="1" applyAlignment="1">
      <alignment horizontal="left"/>
    </xf>
    <xf numFmtId="0" fontId="15" fillId="0" borderId="8" xfId="0" applyFont="1" applyBorder="1" applyAlignment="1">
      <alignment horizontal="left" indent="2"/>
    </xf>
    <xf numFmtId="0" fontId="15" fillId="0" borderId="5" xfId="0" applyFont="1" applyBorder="1" applyAlignment="1">
      <alignment horizontal="left" indent="2"/>
    </xf>
    <xf numFmtId="0" fontId="35" fillId="0" borderId="0" xfId="0" applyFont="1"/>
    <xf numFmtId="0" fontId="12" fillId="11" borderId="20" xfId="0" applyFont="1" applyFill="1" applyBorder="1" applyAlignment="1">
      <alignment vertical="center" wrapText="1"/>
    </xf>
    <xf numFmtId="0" fontId="12" fillId="11" borderId="21" xfId="0" applyFont="1" applyFill="1" applyBorder="1" applyAlignment="1">
      <alignment horizontal="right" vertical="center" wrapText="1"/>
    </xf>
    <xf numFmtId="0" fontId="16" fillId="10" borderId="8" xfId="0" applyFont="1" applyFill="1" applyBorder="1" applyAlignment="1">
      <alignment horizontal="right" vertical="center"/>
    </xf>
    <xf numFmtId="43" fontId="15" fillId="10" borderId="22" xfId="1" applyFont="1" applyFill="1" applyBorder="1" applyAlignment="1">
      <alignment horizontal="right" vertical="center"/>
    </xf>
    <xf numFmtId="0" fontId="16" fillId="10" borderId="5" xfId="0" applyFont="1" applyFill="1" applyBorder="1" applyAlignment="1">
      <alignment horizontal="right" vertical="center"/>
    </xf>
    <xf numFmtId="9" fontId="15" fillId="10" borderId="23" xfId="3" applyFont="1" applyFill="1" applyBorder="1"/>
    <xf numFmtId="0" fontId="16" fillId="10" borderId="0" xfId="0" applyFont="1" applyFill="1" applyAlignment="1">
      <alignment horizontal="right" vertical="center"/>
    </xf>
    <xf numFmtId="9" fontId="15" fillId="10" borderId="0" xfId="3" applyFont="1" applyFill="1" applyBorder="1"/>
    <xf numFmtId="0" fontId="36" fillId="0" borderId="0" xfId="0" applyFont="1" applyAlignment="1">
      <alignment wrapText="1"/>
    </xf>
    <xf numFmtId="43" fontId="14" fillId="0" borderId="0" xfId="0" applyNumberFormat="1" applyFont="1"/>
    <xf numFmtId="0" fontId="16" fillId="10" borderId="25" xfId="0" applyFont="1" applyFill="1" applyBorder="1" applyAlignment="1">
      <alignment horizontal="right" vertical="center"/>
    </xf>
    <xf numFmtId="43" fontId="15" fillId="10" borderId="24" xfId="1" applyFont="1" applyFill="1" applyBorder="1" applyAlignment="1">
      <alignment horizontal="right" vertical="center"/>
    </xf>
    <xf numFmtId="9" fontId="15" fillId="10" borderId="26" xfId="3" applyFont="1" applyFill="1" applyBorder="1" applyAlignment="1">
      <alignment horizontal="right" vertical="center"/>
    </xf>
    <xf numFmtId="0" fontId="19" fillId="0" borderId="0" xfId="0" applyFont="1" applyAlignment="1">
      <alignment vertical="top" wrapText="1"/>
    </xf>
    <xf numFmtId="15" fontId="5" fillId="0" borderId="0" xfId="0" applyNumberFormat="1" applyFont="1" applyAlignment="1">
      <alignment vertical="top" wrapText="1"/>
    </xf>
    <xf numFmtId="0" fontId="0" fillId="0" borderId="0" xfId="0"/>
    <xf numFmtId="0" fontId="0" fillId="0" borderId="0" xfId="0"/>
    <xf numFmtId="0" fontId="0" fillId="0" borderId="0" xfId="0" pivotButton="1"/>
    <xf numFmtId="0" fontId="5" fillId="0" borderId="0" xfId="0" applyFont="1"/>
    <xf numFmtId="0" fontId="6" fillId="0" borderId="0" xfId="0" applyFont="1" applyBorder="1" applyAlignment="1">
      <alignment horizontal="center"/>
    </xf>
    <xf numFmtId="0" fontId="6" fillId="0" borderId="0" xfId="0" applyFont="1" applyBorder="1" applyAlignment="1">
      <alignment horizontal="center" wrapText="1"/>
    </xf>
    <xf numFmtId="0" fontId="5" fillId="0" borderId="0" xfId="0" pivotButton="1" applyFont="1"/>
    <xf numFmtId="0" fontId="5" fillId="0" borderId="0" xfId="0" applyFont="1" applyAlignment="1">
      <alignment vertical="top" wrapText="1"/>
    </xf>
    <xf numFmtId="0" fontId="5" fillId="0" borderId="0" xfId="0" applyFont="1" applyAlignment="1">
      <alignment vertical="top" wrapText="1"/>
    </xf>
    <xf numFmtId="0" fontId="10" fillId="0" borderId="0" xfId="0" applyFont="1" applyFill="1" applyBorder="1" applyAlignment="1">
      <alignment horizontal="center"/>
    </xf>
    <xf numFmtId="0" fontId="7" fillId="0" borderId="0" xfId="0" applyFont="1" applyFill="1" applyBorder="1"/>
    <xf numFmtId="167" fontId="16" fillId="0" borderId="0" xfId="2" applyNumberFormat="1" applyFont="1" applyBorder="1"/>
    <xf numFmtId="0" fontId="12" fillId="11" borderId="28" xfId="0" applyFont="1" applyFill="1" applyBorder="1" applyAlignment="1">
      <alignment horizontal="left" vertical="center" wrapText="1"/>
    </xf>
    <xf numFmtId="0" fontId="12" fillId="11" borderId="28" xfId="0" applyFont="1" applyFill="1" applyBorder="1" applyAlignment="1">
      <alignment horizontal="right" vertical="center" wrapText="1"/>
    </xf>
    <xf numFmtId="166" fontId="16" fillId="0" borderId="26" xfId="1" applyNumberFormat="1" applyFont="1" applyBorder="1"/>
    <xf numFmtId="168" fontId="16" fillId="0" borderId="26" xfId="2" applyNumberFormat="1" applyFont="1" applyBorder="1"/>
    <xf numFmtId="166" fontId="16" fillId="0" borderId="27" xfId="1" applyNumberFormat="1" applyFont="1" applyBorder="1"/>
    <xf numFmtId="168" fontId="16" fillId="0" borderId="27" xfId="2" applyNumberFormat="1" applyFont="1" applyBorder="1"/>
    <xf numFmtId="0" fontId="12" fillId="11" borderId="29" xfId="0" applyFont="1" applyFill="1" applyBorder="1" applyAlignment="1">
      <alignment vertical="center" wrapText="1"/>
    </xf>
    <xf numFmtId="0" fontId="12" fillId="11" borderId="29" xfId="0" applyFont="1" applyFill="1" applyBorder="1" applyAlignment="1">
      <alignment horizontal="center" vertical="center" wrapText="1"/>
    </xf>
    <xf numFmtId="169" fontId="16" fillId="10" borderId="26" xfId="2" applyNumberFormat="1" applyFont="1" applyFill="1" applyBorder="1" applyAlignment="1">
      <alignment horizontal="right"/>
    </xf>
    <xf numFmtId="9" fontId="16" fillId="0" borderId="26" xfId="3" applyFont="1" applyBorder="1" applyAlignment="1">
      <alignment horizontal="right"/>
    </xf>
    <xf numFmtId="9" fontId="16" fillId="10" borderId="26" xfId="3" applyFont="1" applyFill="1" applyBorder="1"/>
    <xf numFmtId="169" fontId="16" fillId="10" borderId="27" xfId="2" applyNumberFormat="1" applyFont="1" applyFill="1" applyBorder="1" applyAlignment="1">
      <alignment horizontal="right"/>
    </xf>
    <xf numFmtId="9" fontId="16" fillId="10" borderId="27" xfId="3" applyFont="1" applyFill="1" applyBorder="1"/>
    <xf numFmtId="0" fontId="12" fillId="11" borderId="29" xfId="0" applyFont="1" applyFill="1" applyBorder="1" applyAlignment="1">
      <alignment horizontal="left" vertical="center" wrapText="1"/>
    </xf>
    <xf numFmtId="9" fontId="16" fillId="10" borderId="27" xfId="3" applyFont="1" applyFill="1" applyBorder="1" applyAlignment="1">
      <alignment horizontal="right"/>
    </xf>
    <xf numFmtId="0" fontId="12" fillId="11" borderId="28" xfId="0" applyFont="1" applyFill="1" applyBorder="1" applyAlignment="1">
      <alignment horizontal="center" vertical="center" wrapText="1"/>
    </xf>
    <xf numFmtId="0" fontId="16" fillId="10" borderId="26" xfId="0" applyFont="1" applyFill="1" applyBorder="1" applyAlignment="1">
      <alignment horizontal="right"/>
    </xf>
    <xf numFmtId="9" fontId="15" fillId="10" borderId="26" xfId="3" applyFont="1" applyFill="1" applyBorder="1"/>
    <xf numFmtId="0" fontId="16" fillId="10" borderId="27" xfId="0" applyFont="1" applyFill="1" applyBorder="1" applyAlignment="1">
      <alignment horizontal="right"/>
    </xf>
    <xf numFmtId="9" fontId="15" fillId="10" borderId="27" xfId="3" applyFont="1" applyFill="1" applyBorder="1"/>
    <xf numFmtId="0" fontId="12" fillId="11" borderId="28" xfId="0" applyFont="1" applyFill="1" applyBorder="1" applyAlignment="1">
      <alignment vertical="center" wrapText="1"/>
    </xf>
    <xf numFmtId="0" fontId="16" fillId="10" borderId="26" xfId="0" applyFont="1" applyFill="1" applyBorder="1" applyAlignment="1">
      <alignment horizontal="right" vertical="center"/>
    </xf>
    <xf numFmtId="43" fontId="15" fillId="10" borderId="26" xfId="1" applyFont="1" applyFill="1" applyBorder="1" applyAlignment="1">
      <alignment horizontal="right" vertical="center"/>
    </xf>
    <xf numFmtId="0" fontId="16" fillId="10" borderId="27" xfId="0" applyFont="1" applyFill="1" applyBorder="1" applyAlignment="1">
      <alignment horizontal="right" vertical="top"/>
    </xf>
    <xf numFmtId="9" fontId="15" fillId="10" borderId="27" xfId="3" applyFont="1" applyFill="1" applyBorder="1" applyAlignment="1">
      <alignment horizontal="right" vertical="top"/>
    </xf>
    <xf numFmtId="43" fontId="15" fillId="10" borderId="27" xfId="1" applyFont="1" applyFill="1" applyBorder="1" applyAlignment="1">
      <alignment horizontal="right" vertical="top" wrapText="1"/>
    </xf>
    <xf numFmtId="0" fontId="10" fillId="11" borderId="2" xfId="0" applyFont="1" applyFill="1" applyBorder="1"/>
    <xf numFmtId="165" fontId="10" fillId="11" borderId="13" xfId="3" applyNumberFormat="1" applyFont="1" applyFill="1" applyBorder="1"/>
    <xf numFmtId="0" fontId="10" fillId="11" borderId="13" xfId="0" applyFont="1" applyFill="1" applyBorder="1"/>
    <xf numFmtId="0" fontId="10" fillId="11" borderId="3" xfId="0" applyFont="1" applyFill="1" applyBorder="1"/>
    <xf numFmtId="0" fontId="15" fillId="0" borderId="18" xfId="0" applyFont="1" applyBorder="1"/>
    <xf numFmtId="0" fontId="15" fillId="0" borderId="6" xfId="0" applyFont="1" applyBorder="1"/>
    <xf numFmtId="0" fontId="10" fillId="13" borderId="10" xfId="0" applyFont="1" applyFill="1" applyBorder="1" applyAlignment="1">
      <alignment horizontal="center"/>
    </xf>
    <xf numFmtId="0" fontId="10" fillId="13" borderId="12" xfId="0" applyFont="1" applyFill="1" applyBorder="1" applyAlignment="1">
      <alignment horizontal="center"/>
    </xf>
    <xf numFmtId="0" fontId="10" fillId="13" borderId="9" xfId="0" applyFont="1" applyFill="1" applyBorder="1" applyAlignment="1">
      <alignment horizontal="center"/>
    </xf>
    <xf numFmtId="0" fontId="7" fillId="13" borderId="9" xfId="0" applyFont="1" applyFill="1" applyBorder="1"/>
    <xf numFmtId="0" fontId="6" fillId="0" borderId="10" xfId="0" applyFont="1" applyBorder="1" applyAlignment="1">
      <alignment horizontal="center"/>
    </xf>
    <xf numFmtId="0" fontId="6" fillId="0" borderId="12" xfId="0" applyFont="1" applyBorder="1" applyAlignment="1">
      <alignment horizontal="center"/>
    </xf>
    <xf numFmtId="0" fontId="5" fillId="0" borderId="9" xfId="0" applyFont="1" applyBorder="1"/>
    <xf numFmtId="0" fontId="0" fillId="0" borderId="0" xfId="0"/>
    <xf numFmtId="0" fontId="20" fillId="0" borderId="0" xfId="0" pivotButton="1" applyFont="1"/>
    <xf numFmtId="0" fontId="19" fillId="0" borderId="0" xfId="0" applyFont="1" applyAlignment="1">
      <alignment horizontal="center"/>
    </xf>
    <xf numFmtId="0" fontId="19" fillId="0" borderId="0" xfId="0" applyFont="1" applyAlignment="1">
      <alignment horizontal="center" wrapText="1"/>
    </xf>
    <xf numFmtId="0" fontId="19" fillId="0" borderId="10" xfId="0" applyFont="1" applyBorder="1" applyAlignment="1">
      <alignment horizontal="center" wrapText="1"/>
    </xf>
    <xf numFmtId="0" fontId="19" fillId="0" borderId="12" xfId="0" applyFont="1" applyBorder="1" applyAlignment="1">
      <alignment horizontal="center"/>
    </xf>
    <xf numFmtId="0" fontId="20" fillId="0" borderId="9" xfId="0" applyFont="1" applyBorder="1"/>
    <xf numFmtId="0" fontId="5" fillId="0" borderId="0" xfId="0" applyFont="1" applyAlignment="1">
      <alignment vertical="top" wrapText="1"/>
    </xf>
    <xf numFmtId="0" fontId="5" fillId="0" borderId="0" xfId="0" applyFont="1" applyAlignment="1">
      <alignment vertical="top" wrapText="1"/>
    </xf>
    <xf numFmtId="0" fontId="5" fillId="0" borderId="0" xfId="0" applyFont="1"/>
    <xf numFmtId="0" fontId="5" fillId="0" borderId="30" xfId="0" applyFont="1" applyBorder="1"/>
    <xf numFmtId="0" fontId="37" fillId="0" borderId="0" xfId="0" applyFont="1"/>
    <xf numFmtId="0" fontId="12" fillId="11" borderId="31" xfId="0" applyFont="1" applyFill="1" applyBorder="1" applyAlignment="1">
      <alignment horizontal="left" vertical="center" wrapText="1"/>
    </xf>
    <xf numFmtId="0" fontId="5" fillId="0" borderId="0" xfId="0" quotePrefix="1" applyFont="1" applyAlignment="1">
      <alignment vertical="top"/>
    </xf>
    <xf numFmtId="0" fontId="5" fillId="0" borderId="0" xfId="0" quotePrefix="1" applyFont="1" applyAlignment="1">
      <alignment horizontal="left" vertical="top" indent="1"/>
    </xf>
    <xf numFmtId="0" fontId="5" fillId="0" borderId="0" xfId="0" applyFont="1" applyAlignment="1">
      <alignment horizontal="left" vertical="top" indent="1"/>
    </xf>
    <xf numFmtId="0" fontId="41" fillId="0" borderId="0" xfId="0" applyFont="1" applyAlignment="1">
      <alignment vertical="center"/>
    </xf>
    <xf numFmtId="0" fontId="16" fillId="0" borderId="18" xfId="0" applyFont="1" applyBorder="1" applyAlignment="1">
      <alignment vertical="top" wrapText="1"/>
    </xf>
    <xf numFmtId="0" fontId="16" fillId="0" borderId="6" xfId="0" applyFont="1" applyBorder="1" applyAlignment="1">
      <alignment vertical="top" wrapText="1"/>
    </xf>
    <xf numFmtId="0" fontId="16" fillId="0" borderId="5" xfId="0" applyFont="1" applyBorder="1" applyAlignment="1">
      <alignment vertical="top"/>
    </xf>
    <xf numFmtId="0" fontId="29" fillId="0" borderId="0" xfId="0" applyFont="1" applyAlignment="1">
      <alignment vertical="top"/>
    </xf>
    <xf numFmtId="0" fontId="5" fillId="0" borderId="0" xfId="0" applyFont="1"/>
    <xf numFmtId="0" fontId="5" fillId="0" borderId="0" xfId="0" applyFont="1"/>
    <xf numFmtId="0" fontId="0" fillId="8" borderId="4" xfId="0" applyNumberFormat="1" applyFill="1" applyBorder="1"/>
    <xf numFmtId="0" fontId="0" fillId="0" borderId="0" xfId="0" applyBorder="1"/>
    <xf numFmtId="0" fontId="29" fillId="0" borderId="0" xfId="0" quotePrefix="1" applyFont="1" applyAlignment="1">
      <alignment vertical="top"/>
    </xf>
    <xf numFmtId="0" fontId="37" fillId="0" borderId="0" xfId="0" applyFont="1"/>
    <xf numFmtId="0" fontId="5" fillId="0" borderId="30" xfId="0" applyFont="1" applyBorder="1"/>
    <xf numFmtId="0" fontId="38" fillId="0" borderId="0" xfId="0" applyFont="1"/>
    <xf numFmtId="0" fontId="5" fillId="0" borderId="0" xfId="0" applyFont="1"/>
    <xf numFmtId="0" fontId="38" fillId="0" borderId="0" xfId="0" applyFont="1" applyAlignment="1">
      <alignment vertical="top" wrapText="1"/>
    </xf>
    <xf numFmtId="0" fontId="5" fillId="0" borderId="0" xfId="0" applyFont="1" applyAlignment="1">
      <alignment wrapText="1"/>
    </xf>
    <xf numFmtId="0" fontId="39" fillId="0" borderId="0" xfId="0" applyFont="1" applyAlignment="1">
      <alignment vertical="top" wrapText="1"/>
    </xf>
    <xf numFmtId="0" fontId="40" fillId="0" borderId="0" xfId="0" applyFont="1" applyBorder="1"/>
    <xf numFmtId="0" fontId="5" fillId="0" borderId="0" xfId="0" applyFont="1" applyBorder="1"/>
    <xf numFmtId="0" fontId="5" fillId="0" borderId="0" xfId="0" pivotButton="1" applyFont="1"/>
    <xf numFmtId="0" fontId="5" fillId="0" borderId="0" xfId="0" applyFont="1" applyAlignment="1">
      <alignment horizontal="left" vertical="top" wrapText="1"/>
    </xf>
    <xf numFmtId="0" fontId="16" fillId="0" borderId="8" xfId="0" applyFont="1" applyBorder="1" applyAlignment="1">
      <alignment horizontal="left" vertical="top" wrapText="1"/>
    </xf>
    <xf numFmtId="0" fontId="16" fillId="0" borderId="0" xfId="0" applyFont="1" applyAlignment="1">
      <alignment horizontal="left" vertical="top" wrapText="1"/>
    </xf>
    <xf numFmtId="0" fontId="16" fillId="0" borderId="17" xfId="0" applyFont="1" applyBorder="1" applyAlignment="1">
      <alignment horizontal="left" vertical="top" wrapText="1"/>
    </xf>
    <xf numFmtId="0" fontId="16" fillId="0" borderId="5" xfId="0" applyFont="1" applyBorder="1" applyAlignment="1">
      <alignment horizontal="left" vertical="top" wrapText="1"/>
    </xf>
    <xf numFmtId="0" fontId="16" fillId="0" borderId="18" xfId="0" applyFont="1" applyBorder="1" applyAlignment="1">
      <alignment horizontal="left" vertical="top" wrapText="1"/>
    </xf>
    <xf numFmtId="0" fontId="16" fillId="0" borderId="6" xfId="0" applyFont="1" applyBorder="1" applyAlignment="1">
      <alignment horizontal="left" vertical="top" wrapText="1"/>
    </xf>
    <xf numFmtId="0" fontId="16" fillId="0" borderId="0" xfId="0" applyFont="1" applyBorder="1" applyAlignment="1">
      <alignment horizontal="left" vertical="top" wrapText="1"/>
    </xf>
    <xf numFmtId="0" fontId="5" fillId="0" borderId="10" xfId="0" applyFont="1" applyBorder="1" applyAlignment="1">
      <alignment vertical="top" wrapText="1"/>
    </xf>
    <xf numFmtId="0" fontId="5" fillId="0" borderId="12" xfId="0" applyFont="1" applyBorder="1" applyAlignment="1">
      <alignment vertical="top" wrapText="1"/>
    </xf>
    <xf numFmtId="0" fontId="5" fillId="0" borderId="9" xfId="0" applyFont="1" applyBorder="1" applyAlignment="1">
      <alignment vertical="top" wrapText="1"/>
    </xf>
    <xf numFmtId="0" fontId="29" fillId="0" borderId="0" xfId="0" applyFont="1" applyAlignment="1">
      <alignment vertical="top" wrapText="1"/>
    </xf>
    <xf numFmtId="0" fontId="29" fillId="0" borderId="0" xfId="0" applyFont="1" applyAlignment="1">
      <alignment vertical="top"/>
    </xf>
  </cellXfs>
  <cellStyles count="5">
    <cellStyle name="Comma" xfId="1" builtinId="3"/>
    <cellStyle name="Currency" xfId="2" builtinId="4"/>
    <cellStyle name="Normal" xfId="0" builtinId="0"/>
    <cellStyle name="Normal 2" xfId="4" xr:uid="{FE83D800-022D-400C-A961-9D90587E8863}"/>
    <cellStyle name="Percent" xfId="3" builtinId="5"/>
  </cellStyles>
  <dxfs count="2425">
    <dxf>
      <numFmt numFmtId="172" formatCode="#,##0.0"/>
    </dxf>
    <dxf>
      <numFmt numFmtId="173" formatCode=";;;"/>
    </dxf>
    <dxf>
      <font>
        <b/>
        <i val="0"/>
      </font>
    </dxf>
    <dxf>
      <font>
        <b val="0"/>
        <i val="0"/>
      </font>
    </dxf>
    <dxf>
      <font>
        <b val="0"/>
        <i/>
      </font>
    </dxf>
    <dxf>
      <font>
        <color theme="0"/>
      </font>
      <fill>
        <patternFill>
          <bgColor theme="1"/>
        </patternFill>
      </fill>
    </dxf>
    <dxf>
      <numFmt numFmtId="4" formatCode="#,##0.00"/>
    </dxf>
    <dxf>
      <numFmt numFmtId="173" formatCode=";;;"/>
    </dxf>
    <dxf>
      <numFmt numFmtId="173" formatCode=";;;"/>
    </dxf>
    <dxf>
      <numFmt numFmtId="174" formatCode="[$¥-804]#,##0.00;[Red][$¥-804]#,##0.00"/>
    </dxf>
    <dxf>
      <numFmt numFmtId="175" formatCode="&quot;$&quot;#,##0.00"/>
    </dxf>
    <dxf>
      <numFmt numFmtId="173" formatCode=";;;"/>
    </dxf>
    <dxf>
      <numFmt numFmtId="4" formatCode="#,##0.00"/>
    </dxf>
    <dxf>
      <font>
        <color rgb="FF00B050"/>
      </font>
      <numFmt numFmtId="0" formatCode="General"/>
    </dxf>
    <dxf>
      <numFmt numFmtId="173" formatCode=";;;"/>
    </dxf>
    <dxf>
      <font>
        <b/>
        <i val="0"/>
      </font>
    </dxf>
    <dxf>
      <font>
        <b val="0"/>
        <i/>
      </font>
    </dxf>
    <dxf>
      <font>
        <b val="0"/>
        <i val="0"/>
      </font>
    </dxf>
    <dxf>
      <font>
        <b val="0"/>
        <i val="0"/>
      </font>
    </dxf>
    <dxf>
      <font>
        <color theme="0"/>
      </font>
      <fill>
        <patternFill>
          <bgColor theme="1"/>
        </patternFill>
      </fill>
    </dxf>
    <dxf>
      <font>
        <color rgb="FFC00000"/>
      </font>
    </dxf>
    <dxf>
      <numFmt numFmtId="173" formatCode=";;;"/>
    </dxf>
    <dxf>
      <numFmt numFmtId="176" formatCode="[$£-809]#,##0.00"/>
    </dxf>
    <dxf>
      <numFmt numFmtId="177" formatCode="[$€-2]\ #,##0.00"/>
    </dxf>
    <dxf>
      <numFmt numFmtId="178" formatCode="[$R-1C09]\ #,##0.00"/>
    </dxf>
    <dxf>
      <numFmt numFmtId="179" formatCode="[$$-C09]#,##0.00"/>
    </dxf>
    <dxf>
      <numFmt numFmtId="180" formatCode="[$$-4809]#,##0.00"/>
    </dxf>
    <dxf>
      <numFmt numFmtId="181" formatCode="[$$-409]#,##0.00"/>
    </dxf>
    <dxf>
      <numFmt numFmtId="182" formatCode="[$$-1409]#,##0.00"/>
    </dxf>
    <dxf>
      <numFmt numFmtId="175" formatCode="&quot;$&quot;#,##0.00"/>
    </dxf>
    <dxf>
      <numFmt numFmtId="175" formatCode="&quot;$&quot;#,##0.00"/>
    </dxf>
    <dxf>
      <numFmt numFmtId="178" formatCode="[$R-1C09]\ #,##0.00"/>
    </dxf>
    <dxf>
      <numFmt numFmtId="179" formatCode="[$$-C09]#,##0.00"/>
    </dxf>
    <dxf>
      <numFmt numFmtId="180" formatCode="[$$-4809]#,##0.00"/>
    </dxf>
    <dxf>
      <numFmt numFmtId="181" formatCode="[$$-409]#,##0.00"/>
    </dxf>
    <dxf>
      <numFmt numFmtId="182" formatCode="[$$-1409]#,##0.00"/>
    </dxf>
    <dxf>
      <numFmt numFmtId="175" formatCode="&quot;$&quot;#,##0.00"/>
    </dxf>
    <dxf>
      <numFmt numFmtId="175" formatCode="&quot;$&quot;#,##0.00"/>
    </dxf>
    <dxf>
      <numFmt numFmtId="176" formatCode="[$£-809]#,##0.00"/>
    </dxf>
    <dxf>
      <numFmt numFmtId="177" formatCode="[$€-2]\ #,##0.00"/>
    </dxf>
    <dxf>
      <numFmt numFmtId="173" formatCode=";;;"/>
    </dxf>
    <dxf>
      <numFmt numFmtId="173" formatCode=";;;"/>
    </dxf>
    <dxf>
      <font>
        <b val="0"/>
        <i val="0"/>
      </font>
    </dxf>
    <dxf>
      <numFmt numFmtId="173" formatCode=";;;"/>
    </dxf>
    <dxf>
      <numFmt numFmtId="173" formatCode=";;;"/>
    </dxf>
    <dxf>
      <numFmt numFmtId="4" formatCode="#,##0.00"/>
    </dxf>
    <dxf>
      <numFmt numFmtId="173" formatCode=";;;"/>
    </dxf>
    <dxf>
      <font>
        <color rgb="FF00B050"/>
      </font>
    </dxf>
    <dxf>
      <font>
        <color rgb="FFC00000"/>
      </font>
    </dxf>
    <dxf>
      <font>
        <b/>
        <i val="0"/>
      </font>
    </dxf>
    <dxf>
      <font>
        <b val="0"/>
        <i val="0"/>
      </font>
    </dxf>
    <dxf>
      <font>
        <color theme="0"/>
      </font>
      <fill>
        <patternFill>
          <bgColor theme="1"/>
        </patternFill>
      </fill>
    </dxf>
    <dxf>
      <font>
        <b val="0"/>
        <i/>
      </font>
    </dxf>
    <dxf>
      <numFmt numFmtId="173" formatCode=";;;"/>
    </dxf>
    <dxf>
      <numFmt numFmtId="4" formatCode="#,##0.00"/>
    </dxf>
    <dxf>
      <numFmt numFmtId="4" formatCode="#,##0.00"/>
    </dxf>
    <dxf>
      <numFmt numFmtId="4" formatCode="#,##0.00"/>
    </dxf>
    <dxf>
      <numFmt numFmtId="172" formatCode="#,##0.0"/>
    </dxf>
    <dxf>
      <numFmt numFmtId="173" formatCode=";;;"/>
    </dxf>
    <dxf>
      <numFmt numFmtId="172" formatCode="#,##0.0"/>
    </dxf>
    <dxf>
      <numFmt numFmtId="4" formatCode="#,##0.00"/>
    </dxf>
    <dxf>
      <font>
        <color theme="0"/>
      </font>
      <fill>
        <patternFill>
          <bgColor theme="1"/>
        </patternFill>
      </fill>
    </dxf>
    <dxf>
      <numFmt numFmtId="173" formatCode=";;;"/>
    </dxf>
    <dxf>
      <numFmt numFmtId="4" formatCode="#,##0.00"/>
    </dxf>
    <dxf>
      <font>
        <color theme="0"/>
      </font>
      <fill>
        <patternFill>
          <bgColor theme="1"/>
        </patternFill>
      </fill>
    </dxf>
    <dxf>
      <numFmt numFmtId="173" formatCode=";;;"/>
    </dxf>
    <dxf>
      <font>
        <color theme="0"/>
      </font>
      <fill>
        <patternFill>
          <bgColor theme="1"/>
        </patternFill>
      </fill>
    </dxf>
    <dxf>
      <numFmt numFmtId="173" formatCode=";;;"/>
    </dxf>
    <dxf>
      <font>
        <b val="0"/>
        <i val="0"/>
      </font>
      <numFmt numFmtId="0" formatCode="General"/>
    </dxf>
    <dxf>
      <font>
        <b/>
        <i val="0"/>
        <color theme="0"/>
      </font>
      <fill>
        <patternFill>
          <bgColor theme="1"/>
        </patternFill>
      </fill>
    </dxf>
    <dxf>
      <font>
        <b/>
        <i val="0"/>
      </font>
    </dxf>
    <dxf>
      <font>
        <b/>
        <i val="0"/>
        <color theme="0"/>
      </font>
      <fill>
        <patternFill>
          <bgColor theme="1"/>
        </patternFill>
      </fill>
    </dxf>
    <dxf>
      <font>
        <b val="0"/>
        <i/>
      </font>
      <numFmt numFmtId="0" formatCode="General"/>
    </dxf>
    <dxf>
      <font>
        <b/>
        <i val="0"/>
        <color theme="0"/>
      </font>
      <fill>
        <patternFill>
          <bgColor theme="1"/>
        </patternFill>
      </fill>
    </dxf>
    <dxf>
      <font>
        <b/>
        <i val="0"/>
        <color theme="0"/>
      </font>
      <fill>
        <patternFill>
          <bgColor theme="1"/>
        </patternFill>
      </fill>
    </dxf>
    <dxf>
      <font>
        <color rgb="FF00B050"/>
      </font>
    </dxf>
    <dxf>
      <font>
        <color rgb="FFC00000"/>
      </font>
    </dxf>
    <dxf>
      <numFmt numFmtId="173" formatCode=";;;"/>
    </dxf>
    <dxf>
      <font>
        <b/>
        <i val="0"/>
        <color theme="0"/>
      </font>
      <fill>
        <patternFill>
          <bgColor theme="1"/>
        </patternFill>
      </fill>
    </dxf>
    <dxf>
      <numFmt numFmtId="173" formatCode=";;;"/>
    </dxf>
    <dxf>
      <numFmt numFmtId="4" formatCode="#,##0.00"/>
    </dxf>
    <dxf>
      <font>
        <color theme="0"/>
      </font>
      <fill>
        <patternFill>
          <bgColor theme="1"/>
        </patternFill>
      </fill>
    </dxf>
    <dxf>
      <numFmt numFmtId="173" formatCode=";;;"/>
    </dxf>
    <dxf>
      <font>
        <color theme="0"/>
      </font>
      <fill>
        <patternFill>
          <bgColor theme="1"/>
        </patternFill>
      </fill>
    </dxf>
    <dxf>
      <font>
        <b val="0"/>
        <i val="0"/>
      </font>
    </dxf>
    <dxf>
      <numFmt numFmtId="173" formatCode=";;;"/>
    </dxf>
    <dxf>
      <font>
        <b/>
        <i val="0"/>
        <color theme="0"/>
      </font>
      <fill>
        <patternFill>
          <bgColor theme="1"/>
        </patternFill>
      </fill>
    </dxf>
    <dxf>
      <numFmt numFmtId="173" formatCode=";;;"/>
    </dxf>
    <dxf>
      <numFmt numFmtId="173" formatCode=";;;"/>
      <fill>
        <patternFill>
          <bgColor theme="0"/>
        </patternFill>
      </fill>
    </dxf>
    <dxf>
      <numFmt numFmtId="4" formatCode="#,##0.00"/>
    </dxf>
    <dxf>
      <numFmt numFmtId="4" formatCode="#,##0.00"/>
    </dxf>
    <dxf>
      <font>
        <color theme="0"/>
      </font>
      <fill>
        <patternFill>
          <bgColor theme="1"/>
        </patternFill>
      </fill>
    </dxf>
    <dxf>
      <font>
        <b/>
        <i val="0"/>
      </font>
    </dxf>
    <dxf>
      <font>
        <color rgb="FFC00000"/>
      </font>
    </dxf>
    <dxf>
      <font>
        <color rgb="FF00B050"/>
      </font>
    </dxf>
    <dxf>
      <numFmt numFmtId="173" formatCode=";;;"/>
    </dxf>
    <dxf>
      <font>
        <b val="0"/>
        <i val="0"/>
      </font>
      <numFmt numFmtId="0" formatCode="General"/>
    </dxf>
    <dxf>
      <font>
        <color theme="0"/>
      </font>
      <fill>
        <patternFill>
          <bgColor theme="1"/>
        </patternFill>
      </fill>
    </dxf>
    <dxf>
      <font>
        <b val="0"/>
        <i/>
        <color auto="1"/>
      </font>
      <numFmt numFmtId="0" formatCode="General"/>
    </dxf>
    <dxf>
      <font>
        <color theme="0"/>
      </font>
      <fill>
        <patternFill>
          <bgColor theme="1"/>
        </patternFill>
      </fill>
    </dxf>
    <dxf>
      <font>
        <color theme="0"/>
      </font>
      <fill>
        <patternFill>
          <bgColor theme="1"/>
        </patternFill>
      </fill>
    </dxf>
    <dxf>
      <numFmt numFmtId="173" formatCode=";;;"/>
    </dxf>
    <dxf>
      <font>
        <b val="0"/>
        <i val="0"/>
      </font>
    </dxf>
    <dxf>
      <numFmt numFmtId="173" formatCode=";;;"/>
    </dxf>
    <dxf>
      <numFmt numFmtId="173" formatCode=";;;"/>
      <fill>
        <patternFill>
          <bgColor theme="0"/>
        </patternFill>
      </fill>
    </dxf>
    <dxf>
      <font>
        <color theme="0"/>
      </font>
      <fill>
        <patternFill>
          <bgColor theme="1"/>
        </patternFill>
      </fill>
    </dxf>
    <dxf>
      <font>
        <b val="0"/>
        <i val="0"/>
        <strike val="0"/>
        <condense val="0"/>
        <extend val="0"/>
        <outline val="0"/>
        <shadow val="0"/>
        <u val="none"/>
        <vertAlign val="baseline"/>
        <sz val="9"/>
        <color theme="1"/>
        <name val="DM Sans"/>
        <scheme val="none"/>
      </font>
      <numFmt numFmtId="13" formatCode="0%"/>
      <fill>
        <patternFill patternType="solid">
          <fgColor indexed="64"/>
          <bgColor theme="0"/>
        </patternFill>
      </fill>
    </dxf>
    <dxf>
      <alignment vertical="center" textRotation="0" wrapText="1" indent="0" justifyLastLine="0" shrinkToFit="0" readingOrder="0"/>
    </dxf>
    <dxf>
      <font>
        <b val="0"/>
        <i val="0"/>
        <strike val="0"/>
        <condense val="0"/>
        <extend val="0"/>
        <outline val="0"/>
        <shadow val="0"/>
        <u val="none"/>
        <vertAlign val="baseline"/>
        <sz val="9"/>
        <color auto="1"/>
        <name val="DM Sans"/>
        <scheme val="none"/>
      </font>
      <numFmt numFmtId="13" formatCode="0%"/>
      <fill>
        <patternFill patternType="solid">
          <fgColor indexed="64"/>
          <bgColor theme="0"/>
        </patternFill>
      </fill>
    </dxf>
    <dxf>
      <font>
        <b val="0"/>
        <i val="0"/>
        <strike val="0"/>
        <condense val="0"/>
        <extend val="0"/>
        <outline val="0"/>
        <shadow val="0"/>
        <u val="none"/>
        <vertAlign val="baseline"/>
        <sz val="9"/>
        <color auto="1"/>
        <name val="DM Sans"/>
        <scheme val="none"/>
      </font>
      <numFmt numFmtId="169" formatCode="_-&quot;$&quot;* #,##0_-;\-&quot;$&quot;* #,##0_-;_-&quot;$&quot;* &quot;-&quot;??_-;_-@_-"/>
      <fill>
        <patternFill patternType="solid">
          <fgColor indexed="64"/>
          <bgColor theme="0"/>
        </patternFill>
      </fill>
      <alignment horizontal="right" vertical="bottom"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9"/>
        <color theme="1"/>
        <name val="DM Sans"/>
        <scheme val="none"/>
      </font>
      <numFmt numFmtId="165"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9"/>
        <color auto="1"/>
        <name val="DM Sans"/>
        <scheme val="none"/>
      </font>
      <numFmt numFmtId="169" formatCode="_-&quot;$&quot;* #,##0_-;\-&quot;$&quot;* #,##0_-;_-&quot;$&quot;* &quot;-&quot;??_-;_-@_-"/>
      <fill>
        <patternFill patternType="none">
          <fgColor indexed="64"/>
          <bgColor indexed="65"/>
        </patternFill>
      </fill>
      <alignment horizontal="right" vertical="top" textRotation="0" wrapText="0" indent="0" justifyLastLine="0" shrinkToFit="0" readingOrder="0"/>
    </dxf>
    <dxf>
      <alignment horizontal="right" vertical="top"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9"/>
        <color auto="1"/>
        <name val="DM Sans"/>
        <scheme val="none"/>
      </font>
      <numFmt numFmtId="165" formatCode="0.0%"/>
      <fill>
        <patternFill patternType="none">
          <fgColor indexed="64"/>
          <bgColor indexed="65"/>
        </patternFill>
      </fill>
    </dxf>
    <dxf>
      <font>
        <b val="0"/>
        <i val="0"/>
        <strike val="0"/>
        <condense val="0"/>
        <extend val="0"/>
        <outline val="0"/>
        <shadow val="0"/>
        <u val="none"/>
        <vertAlign val="baseline"/>
        <sz val="9"/>
        <color theme="1"/>
        <name val="DM Sans"/>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DM Sans"/>
        <scheme val="none"/>
      </font>
      <fill>
        <patternFill patternType="none">
          <fgColor indexed="64"/>
          <bgColor indexed="65"/>
        </patternFill>
      </fill>
    </dxf>
    <dxf>
      <font>
        <b val="0"/>
        <strike val="0"/>
        <outline val="0"/>
        <shadow val="0"/>
        <u val="none"/>
        <vertAlign val="baseline"/>
        <sz val="9"/>
        <name val="DM Sans"/>
        <scheme val="none"/>
      </font>
    </dxf>
    <dxf>
      <alignment vertical="center" textRotation="0" wrapText="0" indent="0" justifyLastLine="0" shrinkToFit="0" readingOrder="0"/>
    </dxf>
    <dxf>
      <font>
        <b val="0"/>
        <i val="0"/>
        <strike val="0"/>
        <condense val="0"/>
        <extend val="0"/>
        <outline val="0"/>
        <shadow val="0"/>
        <u val="none"/>
        <vertAlign val="baseline"/>
        <sz val="9"/>
        <color auto="1"/>
        <name val="DM Sans"/>
        <scheme val="none"/>
      </font>
      <numFmt numFmtId="13"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DM Sans"/>
        <scheme val="none"/>
      </font>
      <numFmt numFmtId="169" formatCode="_-&quot;$&quot;* #,##0_-;\-&quot;$&quot;* #,##0_-;_-&quot;$&quot;* &quot;-&quot;??_-;_-@_-"/>
      <fill>
        <patternFill patternType="solid">
          <fgColor indexed="64"/>
          <bgColor theme="0"/>
        </patternFill>
      </fill>
      <alignment horizontal="righ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general" vertical="center" textRotation="0" wrapText="1" indent="0" justifyLastLine="0" shrinkToFit="0" readingOrder="0"/>
    </dxf>
    <dxf>
      <font>
        <b/>
        <i val="0"/>
        <strike val="0"/>
        <condense val="0"/>
        <extend val="0"/>
        <outline val="0"/>
        <shadow val="0"/>
        <u val="none"/>
        <vertAlign val="baseline"/>
        <sz val="9"/>
        <color theme="1"/>
        <name val="DM Sans"/>
        <scheme val="none"/>
      </font>
      <numFmt numFmtId="13" formatCode="0%"/>
      <fill>
        <patternFill patternType="solid">
          <fgColor indexed="64"/>
          <bgColor theme="0"/>
        </patternFill>
      </fill>
      <alignment vertical="top" textRotation="0" wrapText="0" indent="0" justifyLastLine="0" shrinkToFit="0" readingOrder="0"/>
    </dxf>
    <dxf>
      <font>
        <b val="0"/>
        <i val="0"/>
        <strike val="0"/>
        <condense val="0"/>
        <extend val="0"/>
        <outline val="0"/>
        <shadow val="0"/>
        <u val="none"/>
        <vertAlign val="baseline"/>
        <sz val="9"/>
        <color theme="1"/>
        <name val="DM Sans"/>
        <scheme val="none"/>
      </font>
      <numFmt numFmtId="170" formatCode="#,##0_ ;\-#,##0\ "/>
      <fill>
        <patternFill patternType="solid">
          <fgColor indexed="64"/>
          <bgColor theme="0"/>
        </patternFill>
      </fill>
      <alignment horizontal="left" vertical="top" textRotation="0" wrapText="0" indent="0" justifyLastLine="0" shrinkToFit="0" readingOrder="0"/>
    </dxf>
    <dxf>
      <fill>
        <patternFill patternType="solid">
          <fgColor indexed="64"/>
          <bgColor theme="0"/>
        </patternFill>
      </fill>
      <alignment vertical="top"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9"/>
        <color theme="1"/>
        <name val="DM Sans"/>
        <scheme val="none"/>
      </font>
      <fill>
        <patternFill patternType="solid">
          <fgColor indexed="64"/>
          <bgColor theme="0"/>
        </patternFill>
      </fill>
    </dxf>
    <dxf>
      <font>
        <b val="0"/>
        <i val="0"/>
        <strike val="0"/>
        <condense val="0"/>
        <extend val="0"/>
        <outline val="0"/>
        <shadow val="0"/>
        <u val="none"/>
        <vertAlign val="baseline"/>
        <sz val="9"/>
        <color theme="1"/>
        <name val="DM Sans"/>
        <scheme val="none"/>
      </font>
      <fill>
        <patternFill patternType="solid">
          <fgColor indexed="64"/>
          <bgColor theme="0"/>
        </patternFill>
      </fill>
    </dxf>
    <dxf>
      <font>
        <b val="0"/>
        <i val="0"/>
        <strike val="0"/>
        <condense val="0"/>
        <extend val="0"/>
        <outline val="0"/>
        <shadow val="0"/>
        <u val="none"/>
        <vertAlign val="baseline"/>
        <sz val="9"/>
        <color theme="1"/>
        <name val="DM Sans"/>
        <scheme val="none"/>
      </font>
      <fill>
        <patternFill patternType="solid">
          <fgColor indexed="64"/>
          <bgColor theme="0"/>
        </patternFill>
      </fill>
    </dxf>
    <dxf>
      <border outline="0">
        <bottom style="thin">
          <color theme="1" tint="0.499984740745262"/>
        </bottom>
      </border>
    </dxf>
    <dxf>
      <font>
        <b val="0"/>
        <i val="0"/>
        <strike val="0"/>
        <condense val="0"/>
        <extend val="0"/>
        <outline val="0"/>
        <shadow val="0"/>
        <u val="none"/>
        <vertAlign val="baseline"/>
        <sz val="9"/>
        <color theme="1"/>
        <name val="DM Sans"/>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DM Sans"/>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DM Sans"/>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DM Sans"/>
        <scheme val="none"/>
      </font>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bottom" textRotation="0" wrapText="1" indent="0" justifyLastLine="0" shrinkToFit="0" readingOrder="0"/>
    </dxf>
    <dxf>
      <font>
        <b val="0"/>
        <i val="0"/>
        <strike val="0"/>
        <condense val="0"/>
        <extend val="0"/>
        <outline val="0"/>
        <shadow val="0"/>
        <u val="none"/>
        <vertAlign val="baseline"/>
        <sz val="9"/>
        <color theme="1"/>
        <name val="DM Sans"/>
        <scheme val="none"/>
      </font>
      <fill>
        <patternFill patternType="solid">
          <fgColor indexed="64"/>
          <bgColor theme="0"/>
        </patternFill>
      </fill>
    </dxf>
    <dxf>
      <font>
        <b val="0"/>
        <i val="0"/>
        <strike val="0"/>
        <condense val="0"/>
        <extend val="0"/>
        <outline val="0"/>
        <shadow val="0"/>
        <u val="none"/>
        <vertAlign val="baseline"/>
        <sz val="9"/>
        <color theme="1"/>
        <name val="DM Sans"/>
        <scheme val="none"/>
      </font>
      <fill>
        <patternFill patternType="solid">
          <fgColor indexed="64"/>
          <bgColor theme="0"/>
        </patternFill>
      </fill>
    </dxf>
    <dxf>
      <font>
        <b val="0"/>
        <i val="0"/>
        <strike val="0"/>
        <condense val="0"/>
        <extend val="0"/>
        <outline val="0"/>
        <shadow val="0"/>
        <u val="none"/>
        <vertAlign val="baseline"/>
        <sz val="9"/>
        <color theme="1"/>
        <name val="DM Sans"/>
        <scheme val="none"/>
      </font>
      <fill>
        <patternFill patternType="solid">
          <fgColor indexed="64"/>
          <bgColor theme="0"/>
        </patternFill>
      </fill>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center" textRotation="0" wrapText="1" indent="0" justifyLastLine="0" shrinkToFit="0" readingOrder="0"/>
    </dxf>
    <dxf>
      <font>
        <b val="0"/>
        <i val="0"/>
        <strike val="0"/>
        <condense val="0"/>
        <extend val="0"/>
        <outline val="0"/>
        <shadow val="0"/>
        <u val="none"/>
        <vertAlign val="baseline"/>
        <sz val="9"/>
        <color auto="1"/>
        <name val="DM Sans"/>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9"/>
        <color auto="1"/>
        <name val="DM Sans"/>
        <scheme val="none"/>
      </font>
      <numFmt numFmtId="166" formatCode="_-* #,##0_-;\-* #,##0_-;_-* &quot;-&quot;??_-;_-@_-"/>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9"/>
        <color theme="1"/>
        <name val="DM Sans"/>
        <scheme val="none"/>
      </font>
    </dxf>
    <dxf>
      <font>
        <b val="0"/>
        <i val="0"/>
        <strike val="0"/>
        <condense val="0"/>
        <extend val="0"/>
        <outline val="0"/>
        <shadow val="0"/>
        <u val="none"/>
        <vertAlign val="baseline"/>
        <sz val="9"/>
        <color theme="1"/>
        <name val="DM Sans"/>
        <scheme val="none"/>
      </font>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center" textRotation="0" wrapText="1" indent="0" justifyLastLine="0" shrinkToFit="0" readingOrder="0"/>
    </dxf>
    <dxf>
      <font>
        <b val="0"/>
        <i val="0"/>
        <strike val="0"/>
        <condense val="0"/>
        <extend val="0"/>
        <outline val="0"/>
        <shadow val="0"/>
        <u val="none"/>
        <vertAlign val="baseline"/>
        <sz val="9"/>
        <color theme="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theme="1"/>
        <name val="DM Sans"/>
        <scheme val="none"/>
      </font>
      <fill>
        <patternFill patternType="none">
          <fgColor indexed="64"/>
          <bgColor indexed="65"/>
        </patternFill>
      </fill>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center" textRotation="0" wrapText="1" indent="0" justifyLastLine="0" shrinkToFit="0" readingOrder="0"/>
    </dxf>
    <dxf>
      <font>
        <b val="0"/>
        <i val="0"/>
        <strike val="0"/>
        <condense val="0"/>
        <extend val="0"/>
        <outline val="0"/>
        <shadow val="0"/>
        <u val="none"/>
        <vertAlign val="baseline"/>
        <sz val="9"/>
        <color theme="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auto="1"/>
        <name val="DM Sans"/>
        <scheme val="none"/>
      </font>
      <numFmt numFmtId="166" formatCode="_-* #,##0_-;\-* #,##0_-;_-* &quot;-&quot;??_-;_-@_-"/>
      <fill>
        <patternFill patternType="none">
          <fgColor indexed="64"/>
          <bgColor indexed="65"/>
        </patternFill>
      </fill>
    </dxf>
    <dxf>
      <font>
        <b val="0"/>
        <i val="0"/>
        <strike val="0"/>
        <condense val="0"/>
        <extend val="0"/>
        <outline val="0"/>
        <shadow val="0"/>
        <u val="none"/>
        <vertAlign val="baseline"/>
        <sz val="9"/>
        <color theme="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auto="1"/>
        <name val="DM Sans"/>
        <scheme val="none"/>
      </font>
      <numFmt numFmtId="166" formatCode="_-* #,##0_-;\-* #,##0_-;_-* &quot;-&quot;??_-;_-@_-"/>
      <fill>
        <patternFill patternType="none">
          <fgColor indexed="64"/>
          <bgColor indexed="65"/>
        </patternFill>
      </fill>
    </dxf>
    <dxf>
      <font>
        <b val="0"/>
        <i val="0"/>
        <strike val="0"/>
        <condense val="0"/>
        <extend val="0"/>
        <outline val="0"/>
        <shadow val="0"/>
        <u val="none"/>
        <vertAlign val="baseline"/>
        <sz val="9"/>
        <color auto="1"/>
        <name val="DM Sans"/>
        <scheme val="none"/>
      </font>
      <numFmt numFmtId="34" formatCode="_-&quot;$&quot;* #,##0.00_-;\-&quot;$&quot;* #,##0.00_-;_-&quot;$&quot;* &quot;-&quot;??_-;_-@_-"/>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9"/>
        <color auto="1"/>
        <name val="DM Sans"/>
        <scheme val="none"/>
      </font>
      <numFmt numFmtId="166" formatCode="_-* #,##0_-;\-* #,##0_-;_-* &quot;-&quot;??_-;_-@_-"/>
      <fill>
        <patternFill patternType="none">
          <fgColor indexed="64"/>
          <bgColor indexed="65"/>
        </patternFill>
      </fill>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9"/>
        <color auto="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auto="1"/>
        <name val="DM Sans"/>
        <scheme val="none"/>
      </font>
      <fill>
        <patternFill patternType="none">
          <fgColor indexed="64"/>
          <bgColor indexed="65"/>
        </patternFill>
      </fill>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center" textRotation="0" wrapText="1" indent="0" justifyLastLine="0" shrinkToFit="0" readingOrder="0"/>
    </dxf>
    <dxf>
      <font>
        <b val="0"/>
        <i val="0"/>
        <strike val="0"/>
        <condense val="0"/>
        <extend val="0"/>
        <outline val="0"/>
        <shadow val="0"/>
        <u val="none"/>
        <vertAlign val="baseline"/>
        <sz val="9"/>
        <color auto="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auto="1"/>
        <name val="DM Sans"/>
        <scheme val="none"/>
      </font>
      <fill>
        <patternFill patternType="none">
          <fgColor indexed="64"/>
          <bgColor indexed="65"/>
        </patternFill>
      </fill>
    </dxf>
    <dxf>
      <font>
        <b/>
        <i val="0"/>
        <strike val="0"/>
        <condense val="0"/>
        <extend val="0"/>
        <outline val="0"/>
        <shadow val="0"/>
        <u val="none"/>
        <vertAlign val="baseline"/>
        <sz val="10"/>
        <color theme="0"/>
        <name val="DM Sans"/>
        <scheme val="none"/>
      </font>
      <fill>
        <patternFill patternType="solid">
          <fgColor indexed="64"/>
          <bgColor rgb="FF1D1765"/>
        </patternFill>
      </fill>
      <alignment horizontal="right" vertical="center" textRotation="0" wrapText="1" indent="0" justifyLastLine="0" shrinkToFit="0" readingOrder="0"/>
    </dxf>
    <dxf>
      <font>
        <b val="0"/>
        <i val="0"/>
        <strike val="0"/>
        <condense val="0"/>
        <extend val="0"/>
        <outline val="0"/>
        <shadow val="0"/>
        <u val="none"/>
        <vertAlign val="baseline"/>
        <sz val="9"/>
        <color auto="1"/>
        <name val="DM Sans"/>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9"/>
        <color auto="1"/>
        <name val="DM Sans"/>
        <scheme val="none"/>
      </font>
      <numFmt numFmtId="166" formatCode="_-* #,##0_-;\-* #,##0_-;_-* &quot;-&quot;??_-;_-@_-"/>
      <fill>
        <patternFill patternType="none">
          <fgColor indexed="64"/>
          <bgColor indexed="65"/>
        </patternFill>
      </fill>
    </dxf>
    <dxf>
      <font>
        <b val="0"/>
        <i val="0"/>
        <strike val="0"/>
        <condense val="0"/>
        <extend val="0"/>
        <outline val="0"/>
        <shadow val="0"/>
        <u val="none"/>
        <vertAlign val="baseline"/>
        <sz val="9"/>
        <color auto="1"/>
        <name val="DM Sans"/>
        <scheme val="none"/>
      </font>
      <numFmt numFmtId="167" formatCode="[$€-2]\ #,##0.00;\-[$€-2]\ #,##0.00"/>
    </dxf>
    <dxf>
      <font>
        <b val="0"/>
        <i val="0"/>
        <strike val="0"/>
        <condense val="0"/>
        <extend val="0"/>
        <outline val="0"/>
        <shadow val="0"/>
        <u val="none"/>
        <vertAlign val="baseline"/>
        <sz val="9"/>
        <color auto="1"/>
        <name val="DM Sans"/>
        <scheme val="none"/>
      </font>
      <numFmt numFmtId="166" formatCode="_-* #,##0_-;\-* #,##0_-;_-*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color auto="1"/>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color auto="1"/>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color auto="1"/>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color auto="1"/>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color auto="1"/>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left style="thin">
          <color indexed="64"/>
        </left>
        <right/>
        <top style="thin">
          <color indexed="64"/>
        </top>
        <bottom/>
        <vertical/>
        <horizontal/>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solid">
          <fgColor theme="4" tint="0.79998168889431442"/>
          <bgColor theme="0" tint="-0.34998626667073579"/>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fill>
        <patternFill patternType="solid">
          <fgColor indexed="64"/>
          <bgColor rgb="FF0070C0"/>
        </patternFill>
      </fill>
      <alignment horizontal="center"/>
    </dxf>
    <dxf>
      <font>
        <color theme="0"/>
      </font>
      <fill>
        <patternFill patternType="solid">
          <fgColor indexed="64"/>
          <bgColor rgb="FF0070C0"/>
        </patternFill>
      </fill>
      <alignment horizontal="center"/>
    </dxf>
    <dxf>
      <font>
        <color theme="0"/>
      </font>
      <fill>
        <patternFill patternType="solid">
          <fgColor indexed="64"/>
          <bgColor rgb="FF0070C0"/>
        </patternFill>
      </fill>
      <alignment horizontal="center"/>
    </dxf>
    <dxf>
      <font>
        <color theme="0"/>
      </font>
      <fill>
        <patternFill patternType="solid">
          <fgColor indexed="64"/>
          <bgColor rgb="FF0070C0"/>
        </patternFill>
      </fill>
      <alignment horizontal="center"/>
    </dxf>
    <dxf>
      <font>
        <color theme="0"/>
      </font>
      <fill>
        <patternFill patternType="solid">
          <fgColor indexed="64"/>
          <bgColor rgb="FF0070C0"/>
        </patternFill>
      </fill>
      <alignment horizontal="center"/>
    </dxf>
    <dxf>
      <fill>
        <patternFill patternType="solid">
          <bgColor rgb="FF0070C0"/>
        </patternFill>
      </fill>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90"/>
    </dxf>
    <dxf>
      <alignment textRotation="90"/>
    </dxf>
    <dxf>
      <alignment textRotation="90"/>
    </dxf>
    <dxf>
      <alignment textRotation="90"/>
    </dxf>
    <dxf>
      <fill>
        <patternFill patternType="solid">
          <bgColor rgb="FF0070C0"/>
        </patternFill>
      </fill>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alignment textRotation="90"/>
    </dxf>
    <dxf>
      <alignment textRotation="90"/>
    </dxf>
    <dxf>
      <alignment textRotation="90"/>
    </dxf>
    <dxf>
      <alignment textRotation="90"/>
    </dxf>
    <dxf>
      <numFmt numFmtId="0" formatCode="General"/>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79998168889431442"/>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4" tint="0.79998168889431442"/>
        </patternFill>
      </fill>
    </dxf>
    <dxf>
      <numFmt numFmtId="0" formatCode="General"/>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numFmt numFmtId="164" formatCode="#,##0.000000"/>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family val="2"/>
        <scheme val="minor"/>
      </font>
      <numFmt numFmtId="4" formatCode="#,##0.00"/>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000000"/>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ont>
        <name val="DM Sans"/>
        <scheme val="none"/>
      </font>
    </dxf>
    <dxf>
      <fill>
        <patternFill patternType="solid">
          <fgColor theme="4" tint="0.79998168889431442"/>
          <bgColor theme="0" tint="-0.34998626667073579"/>
        </patternFill>
      </fill>
      <border diagonalUp="0" diagonalDown="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theme="4" tint="0.79998168889431442"/>
          <bgColor theme="0" tint="-0.34998626667073579"/>
        </patternFill>
      </fill>
      <border diagonalUp="0" diagonalDown="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left style="thin">
          <color indexed="64"/>
        </left>
        <right style="thin">
          <color indexed="64"/>
        </right>
        <top style="thin">
          <color indexed="64"/>
        </top>
        <bottom/>
        <vertical/>
        <horizontal/>
      </border>
    </dxf>
    <dxf>
      <fill>
        <patternFill patternType="solid">
          <fgColor theme="4" tint="0.79998168889431442"/>
          <bgColor theme="0" tint="-0.34998626667073579"/>
        </patternFill>
      </fill>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tint="-0.34998626667073579"/>
        </patternFill>
      </fill>
      <border diagonalUp="0" diagonalDown="0">
        <left/>
        <right style="thin">
          <color indexed="64"/>
        </right>
        <top style="thin">
          <color indexed="64"/>
        </top>
        <bottom/>
        <vertical/>
        <horizontal/>
      </border>
    </dxf>
    <dxf>
      <fill>
        <patternFill patternType="solid">
          <fgColor theme="4" tint="0.79998168889431442"/>
          <bgColor theme="0" tint="-0.34998626667073579"/>
        </patternFill>
      </fill>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ont>
        <strike val="0"/>
        <outline val="0"/>
        <shadow val="0"/>
        <u val="none"/>
        <vertAlign val="baseline"/>
        <sz val="9"/>
        <color theme="1"/>
        <name val="DM Sans"/>
        <scheme val="none"/>
      </font>
      <numFmt numFmtId="20" formatCode="dd/mmm/yy"/>
      <alignment horizontal="general" vertical="top" textRotation="0" wrapText="1" indent="0" justifyLastLine="0" shrinkToFit="0" readingOrder="0"/>
    </dxf>
    <dxf>
      <font>
        <strike val="0"/>
        <outline val="0"/>
        <shadow val="0"/>
        <u val="none"/>
        <vertAlign val="baseline"/>
        <sz val="9"/>
        <color theme="1"/>
        <name val="DM Sans"/>
        <scheme val="none"/>
      </font>
      <alignment horizontal="general" vertical="top" textRotation="0" wrapText="1" indent="0" justifyLastLine="0" shrinkToFit="0" readingOrder="0"/>
    </dxf>
    <dxf>
      <font>
        <strike val="0"/>
        <outline val="0"/>
        <shadow val="0"/>
        <u val="none"/>
        <vertAlign val="baseline"/>
        <sz val="9"/>
        <color theme="1"/>
        <name val="DM Sans"/>
        <scheme val="none"/>
      </font>
      <alignment horizontal="general" vertical="top" textRotation="0" wrapText="1" indent="0" justifyLastLine="0" shrinkToFit="0" readingOrder="0"/>
    </dxf>
    <dxf>
      <font>
        <strike val="0"/>
        <outline val="0"/>
        <shadow val="0"/>
        <u val="none"/>
        <vertAlign val="baseline"/>
        <sz val="9"/>
        <color theme="1"/>
        <name val="DM Sans"/>
        <scheme val="none"/>
      </font>
      <alignment horizontal="general" vertical="top" textRotation="0" wrapText="1" indent="0" justifyLastLine="0" shrinkToFit="0" readingOrder="0"/>
    </dxf>
    <dxf>
      <font>
        <strike val="0"/>
        <outline val="0"/>
        <shadow val="0"/>
        <u val="none"/>
        <vertAlign val="baseline"/>
        <sz val="9"/>
        <color theme="1"/>
        <name val="DM Sans"/>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DM Sans"/>
        <scheme val="none"/>
      </font>
      <alignment horizontal="general" vertical="top" textRotation="0" wrapText="1" indent="0" justifyLastLine="0" shrinkToFit="0" readingOrder="0"/>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i val="0"/>
        <color theme="0"/>
      </font>
      <fill>
        <patternFill patternType="solid">
          <fgColor theme="4" tint="0.79995117038483843"/>
          <bgColor rgb="FF1D1765"/>
        </patternFill>
      </fill>
      <border>
        <bottom/>
      </border>
    </dxf>
    <dxf>
      <border>
        <left style="thin">
          <color auto="1"/>
        </left>
        <right style="thin">
          <color auto="1"/>
        </right>
        <top style="thin">
          <color auto="1"/>
        </top>
        <bottom style="thin">
          <color auto="1"/>
        </bottom>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i val="0"/>
        <color theme="0"/>
      </font>
      <fill>
        <patternFill patternType="solid">
          <fgColor theme="4"/>
          <bgColor rgb="FF1D1765"/>
        </patternFill>
      </fill>
    </dxf>
    <dxf>
      <font>
        <color theme="1"/>
      </font>
      <border>
        <left style="thin">
          <color theme="1"/>
        </left>
        <right style="thin">
          <color theme="1"/>
        </right>
        <top style="thin">
          <color theme="1"/>
        </top>
        <bottom style="thin">
          <color theme="1"/>
        </bottom>
        <vertical style="thin">
          <color auto="1"/>
        </vertical>
        <horizontal/>
      </border>
    </dxf>
  </dxfs>
  <tableStyles count="2" defaultTableStyle="TableStyleMedium2" defaultPivotStyle="PivotStyleLight16">
    <tableStyle name="PricelistTableStyle01" pivot="0" count="9" xr9:uid="{1D5F20C1-8C1D-4B26-8022-B192CA2D4A08}">
      <tableStyleElement type="wholeTable" dxfId="2424"/>
      <tableStyleElement type="headerRow" dxfId="2423"/>
      <tableStyleElement type="totalRow" dxfId="2422"/>
      <tableStyleElement type="firstColumn" dxfId="2421"/>
      <tableStyleElement type="lastColumn" dxfId="2420"/>
      <tableStyleElement type="firstRowStripe" dxfId="2419"/>
      <tableStyleElement type="secondRowStripe" dxfId="2418"/>
      <tableStyleElement type="firstColumnStripe" dxfId="2417"/>
      <tableStyleElement type="secondColumnStripe" dxfId="2416"/>
    </tableStyle>
    <tableStyle name="STLPivotStyle01" table="0" count="12" xr9:uid="{89426A6B-8DF7-4415-A529-3E5B52E554C3}">
      <tableStyleElement type="wholeTable" dxfId="2415"/>
      <tableStyleElement type="headerRow" dxfId="2414"/>
      <tableStyleElement type="totalRow" dxfId="2413"/>
      <tableStyleElement type="firstRowStripe" dxfId="2412"/>
      <tableStyleElement type="firstColumnStripe" dxfId="2411"/>
      <tableStyleElement type="firstSubtotalColumn" dxfId="2410"/>
      <tableStyleElement type="firstSubtotalRow" dxfId="2409"/>
      <tableStyleElement type="secondSubtotalRow" dxfId="2408"/>
      <tableStyleElement type="firstRowSubheading" dxfId="2407"/>
      <tableStyleElement type="secondRowSubheading" dxfId="2406"/>
      <tableStyleElement type="pageFieldLabels" dxfId="2405"/>
      <tableStyleElement type="pageFieldValues" dxfId="2404"/>
    </tableStyle>
  </tableStyles>
  <colors>
    <mruColors>
      <color rgb="FF1D17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setechglobal-my.sharepoint.com/Users/Rudra.Chaudhury/Downloads/MasterPricelist-Sample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setechglobal-my.sharepoint.com/personal/rudra_chaudhury_wisetechglobal_com/Documents/CRM/1.%20HLD/Pricelist/PriceListMasterShee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setechglobal.sharepoint.com/sites/TMWTGProdDevCRM/Shared%20Documents/General/2021%20Pricelist%20Project/Customer%20Pricing%20DIRCOUB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FullPricelist"/>
      <sheetName val="Global Settings"/>
      <sheetName val="Filter"/>
      <sheetName val="RulesAssumptions"/>
      <sheetName val="Client Specific Settings"/>
      <sheetName val="STL CW Cloud Pricing Header"/>
      <sheetName val="STL CW-Cloud Pricelist Master"/>
      <sheetName val="STL Full Pricing header"/>
      <sheetName val="STL Pricelist Master"/>
      <sheetName val="STL TXT"/>
      <sheetName val="LDaaS Header"/>
      <sheetName val="LDaas Pricelist Master"/>
      <sheetName val="LDaaS Footer"/>
      <sheetName val="eServices Header"/>
      <sheetName val="e-Services Pricelist Master"/>
      <sheetName val="e-Services Footer"/>
      <sheetName val="Borderwise Header"/>
      <sheetName val="BorderWise Pricelist Master"/>
      <sheetName val="BorderWise Footer"/>
      <sheetName val="ABM Customs"/>
      <sheetName val="TPT-ServicesTransactions"/>
      <sheetName val="TPT-ContainerAutomation"/>
      <sheetName val="TPT-LCLTracking"/>
      <sheetName val="TPT-AirWaybill"/>
      <sheetName val="TPT-InvoicingCompliance"/>
      <sheetName val="TPT-ChinaCustomsDeclaration"/>
      <sheetName val="TPT-CreditReport"/>
      <sheetName val="TPT-3Gtm"/>
      <sheetName val="TPT-GlobalSailing"/>
      <sheetName val="TPT-AirlineeBookings"/>
      <sheetName val="STL-Discount Header"/>
      <sheetName val="STL-DiscountVolume"/>
      <sheetName val="STL-DiscountIntroductory"/>
      <sheetName val="STL-DiscountCommitment"/>
      <sheetName val="STL-DiscountPrepayment"/>
      <sheetName val="STL-DiscountPrepaymentExtTerms"/>
      <sheetName val="STL-DiscountIndustryPartner"/>
      <sheetName val="STL-DiscountDevPartner"/>
      <sheetName val="STL-DiscountCertified"/>
    </sheetNames>
    <sheetDataSet>
      <sheetData sheetId="0" refreshError="1"/>
      <sheetData sheetId="1">
        <row r="7">
          <cell r="B7" t="str">
            <v>STL Pricelist Version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
          <cell r="E5" t="str">
            <v>Code</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sAssumptions"/>
      <sheetName val="Global Settings"/>
      <sheetName val="Client Specific Settings"/>
      <sheetName val="STL CW Cloud Pricing Header"/>
      <sheetName val="STL CW-Cloud Pricelist Master"/>
      <sheetName val="STL Full Pricing header"/>
      <sheetName val="STL Pricelist Master"/>
      <sheetName val="STL TXT"/>
      <sheetName val="LDaaS Header"/>
      <sheetName val="LDaas Pricelist Master"/>
      <sheetName val="LDaaS Footer"/>
      <sheetName val="eServices Header"/>
      <sheetName val="e-Services Pricelist Master"/>
      <sheetName val="e-Services Footer"/>
      <sheetName val="Borderwise Header"/>
      <sheetName val="BorderWise Pricelist Master"/>
      <sheetName val="BorderWise Footer"/>
      <sheetName val="ABM Customs"/>
      <sheetName val="TPT-ServicesTransactions"/>
      <sheetName val="TPT-ContainerAutomation"/>
      <sheetName val="TPT-LCLTracking"/>
      <sheetName val="TPT-AirWaybill"/>
      <sheetName val="TPT-InvoicingCompliance"/>
      <sheetName val="TPT-ChinaCustomsDeclaration"/>
      <sheetName val="TPT-CreditReport"/>
      <sheetName val="TPT-3Gtm"/>
      <sheetName val="TPT-GlobalSailing"/>
      <sheetName val="TPT-AirlineeBookings"/>
      <sheetName val="STL-Discount Header"/>
      <sheetName val="STL-DiscountVolume"/>
      <sheetName val="STL-DiscountIntroductory"/>
      <sheetName val="STL-DiscountCommitment"/>
      <sheetName val="STL-DiscountPrepayment"/>
      <sheetName val="STL-DiscountPrepaymentExtTerms"/>
      <sheetName val="STL-DiscountIndustryPartner"/>
      <sheetName val="STL-DiscountDevPartner"/>
      <sheetName val="STL-DiscountCertified"/>
      <sheetName val="PriceListMaster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T) Step1_Enter_Data"/>
      <sheetName val="Proforma Invoice Worksheet"/>
      <sheetName val="(PFT)Step2_UpdateInvoiceBody&amp;LH"/>
      <sheetName val="WTG Invoicing Branch Details"/>
      <sheetName val="WTG Bank Details"/>
      <sheetName val="ToDo"/>
      <sheetName val="LDaaS Purchase Order Form"/>
      <sheetName val="I-CustomerQuoteSettings"/>
      <sheetName val="I-Assumptions"/>
      <sheetName val="CustomerPresentation"/>
      <sheetName val="CustomerPresentation (CHS)"/>
      <sheetName val="LDaaS Spares"/>
      <sheetName val="CustomerPresentation (CHT)"/>
      <sheetName val="O-C-I-STL_Pricelist"/>
      <sheetName val="O-C-I-LDaaS Pricelist"/>
      <sheetName val="O-C-I-e-Services"/>
      <sheetName val="O-F-I-BorderWise"/>
      <sheetName val="O-F-ABM Customs"/>
      <sheetName val="O-F-3rd Party Transactions"/>
      <sheetName val="O-C-STL Discount"/>
      <sheetName val="Global Discount"/>
      <sheetName val="Payment Terms"/>
      <sheetName val="Country Tiers"/>
      <sheetName val="Addl. pricelist code 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G7" t="str">
            <v>Exchanges Rates</v>
          </cell>
          <cell r="H7" t="str">
            <v>Golden Tax Machine</v>
          </cell>
          <cell r="I7"/>
          <cell r="J7"/>
          <cell r="K7"/>
        </row>
        <row r="8">
          <cell r="G8" t="str">
            <v>Currency</v>
          </cell>
          <cell r="H8" t="str">
            <v>6pd USD Based
Rate*</v>
          </cell>
          <cell r="I8" t="str">
            <v>USD Based
Rate*</v>
          </cell>
          <cell r="J8" t="str">
            <v>Cross Currency
Uplift (%)</v>
          </cell>
          <cell r="K8" t="str">
            <v>Rounding (dp)</v>
          </cell>
          <cell r="M8" t="str">
            <v>Currency</v>
          </cell>
          <cell r="N8" t="str">
            <v>6pd USD Based
Rate*</v>
          </cell>
          <cell r="O8" t="str">
            <v>USD Based
Rate*</v>
          </cell>
          <cell r="P8" t="str">
            <v>Cross Currency
Uplift (%)</v>
          </cell>
          <cell r="Q8" t="str">
            <v>Rounding (dp)</v>
          </cell>
        </row>
        <row r="9">
          <cell r="A9" t="str">
            <v>AUD</v>
          </cell>
          <cell r="B9">
            <v>1.3278760000000001</v>
          </cell>
          <cell r="C9">
            <v>1.3278759999999998</v>
          </cell>
          <cell r="D9">
            <v>0</v>
          </cell>
          <cell r="E9">
            <v>2</v>
          </cell>
          <cell r="G9" t="str">
            <v>AUD</v>
          </cell>
          <cell r="H9">
            <v>1.3278760000000001</v>
          </cell>
          <cell r="I9">
            <v>1.3278759999999998</v>
          </cell>
          <cell r="J9">
            <v>0</v>
          </cell>
          <cell r="K9">
            <v>2</v>
          </cell>
          <cell r="M9" t="str">
            <v>AUD</v>
          </cell>
          <cell r="N9">
            <v>1.3278760000000001</v>
          </cell>
          <cell r="O9">
            <v>1.3278759999999998</v>
          </cell>
          <cell r="P9">
            <v>0</v>
          </cell>
          <cell r="Q9">
            <v>2</v>
          </cell>
        </row>
        <row r="10">
          <cell r="A10" t="str">
            <v>USD</v>
          </cell>
          <cell r="B10">
            <v>1</v>
          </cell>
          <cell r="C10">
            <v>1</v>
          </cell>
          <cell r="D10">
            <v>0</v>
          </cell>
          <cell r="E10">
            <v>2</v>
          </cell>
          <cell r="G10" t="str">
            <v>USD</v>
          </cell>
          <cell r="H10">
            <v>1</v>
          </cell>
          <cell r="I10">
            <v>1</v>
          </cell>
          <cell r="J10">
            <v>0</v>
          </cell>
          <cell r="K10">
            <v>2</v>
          </cell>
          <cell r="M10" t="str">
            <v>USD</v>
          </cell>
          <cell r="N10">
            <v>1</v>
          </cell>
          <cell r="O10">
            <v>1</v>
          </cell>
          <cell r="P10">
            <v>0</v>
          </cell>
          <cell r="Q10">
            <v>2</v>
          </cell>
        </row>
        <row r="11">
          <cell r="A11" t="str">
            <v>EUR</v>
          </cell>
          <cell r="B11">
            <v>0.84828000000000003</v>
          </cell>
          <cell r="C11">
            <v>0.84828000000000003</v>
          </cell>
          <cell r="D11">
            <v>0</v>
          </cell>
          <cell r="E11">
            <v>2</v>
          </cell>
          <cell r="G11" t="str">
            <v>EUR</v>
          </cell>
          <cell r="H11">
            <v>0.84828000000000003</v>
          </cell>
          <cell r="I11">
            <v>0.84828000000000003</v>
          </cell>
          <cell r="J11">
            <v>0</v>
          </cell>
          <cell r="K11">
            <v>2</v>
          </cell>
          <cell r="M11" t="str">
            <v>EUR</v>
          </cell>
          <cell r="N11">
            <v>0.84828000000000003</v>
          </cell>
          <cell r="O11">
            <v>0.84828000000000003</v>
          </cell>
          <cell r="P11">
            <v>0</v>
          </cell>
          <cell r="Q11">
            <v>2</v>
          </cell>
        </row>
        <row r="12">
          <cell r="A12" t="str">
            <v>GBP</v>
          </cell>
          <cell r="B12">
            <v>0.74038499999999996</v>
          </cell>
          <cell r="C12">
            <v>0.74038460000000006</v>
          </cell>
          <cell r="D12">
            <v>0</v>
          </cell>
          <cell r="E12">
            <v>2</v>
          </cell>
          <cell r="G12" t="str">
            <v>GBP</v>
          </cell>
          <cell r="H12">
            <v>0.74038499999999996</v>
          </cell>
          <cell r="I12">
            <v>0.74038460000000006</v>
          </cell>
          <cell r="J12">
            <v>0</v>
          </cell>
          <cell r="K12">
            <v>2</v>
          </cell>
          <cell r="M12" t="str">
            <v>GBP</v>
          </cell>
          <cell r="N12">
            <v>0.74038499999999996</v>
          </cell>
          <cell r="O12">
            <v>0.74038460000000006</v>
          </cell>
          <cell r="P12">
            <v>0</v>
          </cell>
          <cell r="Q12">
            <v>2</v>
          </cell>
        </row>
        <row r="13">
          <cell r="A13" t="str">
            <v>SGD</v>
          </cell>
          <cell r="B13">
            <v>1.3557699999999999</v>
          </cell>
          <cell r="C13">
            <v>1.3557699999999999</v>
          </cell>
          <cell r="D13">
            <v>0</v>
          </cell>
          <cell r="E13">
            <v>2</v>
          </cell>
          <cell r="G13" t="str">
            <v>SGD</v>
          </cell>
          <cell r="H13">
            <v>1.3557699999999999</v>
          </cell>
          <cell r="I13">
            <v>1.3557699999999999</v>
          </cell>
          <cell r="J13">
            <v>0</v>
          </cell>
          <cell r="K13">
            <v>2</v>
          </cell>
          <cell r="M13" t="str">
            <v>SGD</v>
          </cell>
          <cell r="N13">
            <v>1.3557699999999999</v>
          </cell>
          <cell r="O13">
            <v>1.3557699999999999</v>
          </cell>
          <cell r="P13">
            <v>0</v>
          </cell>
          <cell r="Q13">
            <v>2</v>
          </cell>
        </row>
        <row r="14">
          <cell r="A14" t="str">
            <v>ZAR</v>
          </cell>
          <cell r="B14">
            <v>14.70119</v>
          </cell>
          <cell r="C14">
            <v>14.70119</v>
          </cell>
          <cell r="D14">
            <v>0</v>
          </cell>
          <cell r="E14">
            <v>2</v>
          </cell>
          <cell r="G14" t="str">
            <v>ZAR</v>
          </cell>
          <cell r="H14">
            <v>14.70119</v>
          </cell>
          <cell r="I14">
            <v>14.70119</v>
          </cell>
          <cell r="J14">
            <v>0</v>
          </cell>
          <cell r="K14">
            <v>2</v>
          </cell>
          <cell r="M14" t="str">
            <v>ZAR</v>
          </cell>
          <cell r="N14">
            <v>14.70119</v>
          </cell>
          <cell r="O14">
            <v>14.70119</v>
          </cell>
          <cell r="P14">
            <v>0</v>
          </cell>
          <cell r="Q14">
            <v>2</v>
          </cell>
        </row>
        <row r="15">
          <cell r="A15" t="str">
            <v>NZD</v>
          </cell>
          <cell r="B15">
            <v>1.4313910000000001</v>
          </cell>
          <cell r="C15">
            <v>1.4313910000000001</v>
          </cell>
          <cell r="D15">
            <v>0</v>
          </cell>
          <cell r="E15">
            <v>2</v>
          </cell>
          <cell r="G15" t="str">
            <v>NZD</v>
          </cell>
          <cell r="H15">
            <v>1.4313910000000001</v>
          </cell>
          <cell r="I15">
            <v>1.4313910000000001</v>
          </cell>
          <cell r="J15">
            <v>0</v>
          </cell>
          <cell r="K15">
            <v>2</v>
          </cell>
          <cell r="M15" t="str">
            <v>NZD</v>
          </cell>
          <cell r="N15">
            <v>1.4313910000000001</v>
          </cell>
          <cell r="O15">
            <v>1.4313910000000001</v>
          </cell>
          <cell r="P15">
            <v>0</v>
          </cell>
          <cell r="Q15">
            <v>2</v>
          </cell>
        </row>
        <row r="16">
          <cell r="A16" t="str">
            <v>CAD</v>
          </cell>
          <cell r="B16">
            <v>1.2720499999999999</v>
          </cell>
          <cell r="C16">
            <v>1.2720500000000001</v>
          </cell>
          <cell r="D16">
            <v>0</v>
          </cell>
          <cell r="E16">
            <v>2</v>
          </cell>
          <cell r="G16" t="str">
            <v>CAD</v>
          </cell>
          <cell r="H16">
            <v>1.2720499999999999</v>
          </cell>
          <cell r="I16">
            <v>1.2720500000000001</v>
          </cell>
          <cell r="J16">
            <v>0</v>
          </cell>
          <cell r="K16">
            <v>2</v>
          </cell>
          <cell r="M16" t="str">
            <v>CAD</v>
          </cell>
          <cell r="N16">
            <v>1.2720499999999999</v>
          </cell>
          <cell r="O16">
            <v>1.2720500000000001</v>
          </cell>
          <cell r="P16">
            <v>0</v>
          </cell>
          <cell r="Q16">
            <v>2</v>
          </cell>
        </row>
        <row r="17">
          <cell r="A17" t="str">
            <v>CNY</v>
          </cell>
          <cell r="B17">
            <v>6.6590299999999996</v>
          </cell>
          <cell r="C17">
            <v>6.6590299999999996</v>
          </cell>
          <cell r="D17">
            <v>0</v>
          </cell>
          <cell r="E17">
            <v>2</v>
          </cell>
          <cell r="G17" t="str">
            <v>CNY</v>
          </cell>
          <cell r="H17">
            <v>6.6590299999999996</v>
          </cell>
          <cell r="I17">
            <v>6.6590299999999996</v>
          </cell>
          <cell r="J17">
            <v>0</v>
          </cell>
          <cell r="K17">
            <v>2</v>
          </cell>
          <cell r="M17" t="str">
            <v>CNY</v>
          </cell>
          <cell r="N17">
            <v>6.6590299999999996</v>
          </cell>
          <cell r="O17">
            <v>6.6590299999999996</v>
          </cell>
          <cell r="P17">
            <v>0</v>
          </cell>
          <cell r="Q17">
            <v>2</v>
          </cell>
        </row>
        <row r="18">
          <cell r="A18" t="str">
            <v>TWD</v>
          </cell>
          <cell r="B18">
            <v>28.595400000000001</v>
          </cell>
          <cell r="C18">
            <v>28.595400000000001</v>
          </cell>
          <cell r="D18">
            <v>0</v>
          </cell>
          <cell r="E18">
            <v>0</v>
          </cell>
          <cell r="G18" t="str">
            <v>TWD</v>
          </cell>
          <cell r="H18">
            <v>28.595400000000001</v>
          </cell>
          <cell r="I18">
            <v>28.595400000000001</v>
          </cell>
          <cell r="J18">
            <v>0</v>
          </cell>
          <cell r="K18">
            <v>0</v>
          </cell>
          <cell r="M18" t="str">
            <v>TWD</v>
          </cell>
          <cell r="N18">
            <v>28.595400000000001</v>
          </cell>
          <cell r="O18">
            <v>28.595400000000001</v>
          </cell>
          <cell r="P18">
            <v>0</v>
          </cell>
          <cell r="Q18">
            <v>0</v>
          </cell>
        </row>
        <row r="19">
          <cell r="A19" t="str">
            <v>HKD</v>
          </cell>
          <cell r="B19">
            <v>7.7506199999999996</v>
          </cell>
          <cell r="C19">
            <v>7.7506199999999996</v>
          </cell>
          <cell r="D19">
            <v>0</v>
          </cell>
          <cell r="E19">
            <v>2</v>
          </cell>
          <cell r="G19" t="str">
            <v>HKD</v>
          </cell>
          <cell r="H19">
            <v>7.7506199999999996</v>
          </cell>
          <cell r="I19">
            <v>7.7506199999999996</v>
          </cell>
          <cell r="J19">
            <v>0</v>
          </cell>
          <cell r="K19">
            <v>2</v>
          </cell>
          <cell r="M19" t="str">
            <v>HKD</v>
          </cell>
          <cell r="N19">
            <v>7.7506199999999996</v>
          </cell>
          <cell r="O19">
            <v>7.7506199999999996</v>
          </cell>
          <cell r="P19">
            <v>0</v>
          </cell>
          <cell r="Q19">
            <v>2</v>
          </cell>
        </row>
        <row r="60">
          <cell r="A60" t="str">
            <v>STL Standard</v>
          </cell>
          <cell r="B60" t="str">
            <v>All standard discount quoted applicable</v>
          </cell>
          <cell r="C60" t="str">
            <v>Y</v>
          </cell>
          <cell r="D60">
            <v>0.1</v>
          </cell>
          <cell r="E60">
            <v>0.4</v>
          </cell>
          <cell r="F60"/>
          <cell r="G60">
            <v>0</v>
          </cell>
          <cell r="H60">
            <v>0.05</v>
          </cell>
          <cell r="I60">
            <v>0</v>
          </cell>
          <cell r="J60">
            <v>2.5000000000000001E-2</v>
          </cell>
          <cell r="K60">
            <v>0</v>
          </cell>
          <cell r="L60">
            <v>0</v>
          </cell>
          <cell r="M60">
            <v>0</v>
          </cell>
          <cell r="N60">
            <v>0</v>
          </cell>
          <cell r="O60">
            <v>0</v>
          </cell>
        </row>
        <row r="61">
          <cell r="A61" t="str">
            <v>Core Standard</v>
          </cell>
          <cell r="B61" t="str">
            <v>Domestic + Developing + All standard discount quoted applicable</v>
          </cell>
          <cell r="C61" t="str">
            <v>Y</v>
          </cell>
          <cell r="D61">
            <v>0.1</v>
          </cell>
          <cell r="E61">
            <v>0.4</v>
          </cell>
          <cell r="F61"/>
          <cell r="G61">
            <v>0</v>
          </cell>
          <cell r="H61">
            <v>0.05</v>
          </cell>
          <cell r="I61">
            <v>0</v>
          </cell>
          <cell r="J61">
            <v>2.5000000000000001E-2</v>
          </cell>
          <cell r="K61">
            <v>0</v>
          </cell>
          <cell r="L61">
            <v>0</v>
          </cell>
          <cell r="M61">
            <v>0</v>
          </cell>
          <cell r="N61">
            <v>0</v>
          </cell>
          <cell r="O61">
            <v>0</v>
          </cell>
        </row>
        <row r="62">
          <cell r="A62" t="str">
            <v>Core Non-Volume</v>
          </cell>
          <cell r="B62" t="str">
            <v>Sames as Core Standard, but Core not in Standard Volume Discount</v>
          </cell>
          <cell r="C62" t="str">
            <v>N</v>
          </cell>
          <cell r="D62">
            <v>0.1</v>
          </cell>
          <cell r="E62">
            <v>0.4</v>
          </cell>
          <cell r="F62"/>
          <cell r="G62">
            <v>0</v>
          </cell>
          <cell r="H62">
            <v>0.05</v>
          </cell>
          <cell r="I62">
            <v>0</v>
          </cell>
          <cell r="J62">
            <v>2.5000000000000001E-2</v>
          </cell>
          <cell r="K62">
            <v>0</v>
          </cell>
          <cell r="L62">
            <v>0</v>
          </cell>
          <cell r="M62">
            <v>0</v>
          </cell>
          <cell r="N62">
            <v>0</v>
          </cell>
          <cell r="O62">
            <v>0</v>
          </cell>
        </row>
        <row r="63">
          <cell r="A63" t="str">
            <v>Prepayment Only</v>
          </cell>
          <cell r="B63" t="str">
            <v>No discount, only prepayment applies</v>
          </cell>
          <cell r="C63" t="str">
            <v>N</v>
          </cell>
          <cell r="D63">
            <v>0</v>
          </cell>
          <cell r="E63">
            <v>0</v>
          </cell>
          <cell r="F63"/>
          <cell r="G63">
            <v>0</v>
          </cell>
          <cell r="H63">
            <v>0</v>
          </cell>
          <cell r="I63">
            <v>0</v>
          </cell>
          <cell r="J63">
            <v>2.5000000000000001E-2</v>
          </cell>
          <cell r="K63">
            <v>0</v>
          </cell>
          <cell r="L63">
            <v>0</v>
          </cell>
          <cell r="M63">
            <v>0</v>
          </cell>
          <cell r="N63">
            <v>0</v>
          </cell>
          <cell r="O63">
            <v>0</v>
          </cell>
        </row>
        <row r="64">
          <cell r="A64" t="str">
            <v>0 Discount</v>
          </cell>
          <cell r="B64" t="str">
            <v>No discount at all</v>
          </cell>
          <cell r="C64" t="str">
            <v>N</v>
          </cell>
          <cell r="D64">
            <v>0</v>
          </cell>
          <cell r="E64">
            <v>0</v>
          </cell>
          <cell r="F64"/>
          <cell r="G64">
            <v>0</v>
          </cell>
          <cell r="H64">
            <v>0</v>
          </cell>
          <cell r="I64">
            <v>0</v>
          </cell>
          <cell r="J64">
            <v>0</v>
          </cell>
          <cell r="K64">
            <v>0</v>
          </cell>
          <cell r="L64">
            <v>0</v>
          </cell>
          <cell r="M64">
            <v>0</v>
          </cell>
          <cell r="N64">
            <v>0</v>
          </cell>
          <cell r="O64">
            <v>0</v>
          </cell>
        </row>
        <row r="65">
          <cell r="A65" t="str">
            <v>STL Standard ex Volume</v>
          </cell>
          <cell r="B65" t="str">
            <v>All standard discount quoted applicable excluding volume discount</v>
          </cell>
          <cell r="C65" t="str">
            <v>Y</v>
          </cell>
          <cell r="D65">
            <v>0.1</v>
          </cell>
          <cell r="E65">
            <v>0.4</v>
          </cell>
          <cell r="F65"/>
          <cell r="G65">
            <v>0</v>
          </cell>
          <cell r="H65">
            <v>0.05</v>
          </cell>
          <cell r="I65">
            <v>0</v>
          </cell>
          <cell r="J65">
            <v>2.5000000000000001E-2</v>
          </cell>
          <cell r="K65">
            <v>0</v>
          </cell>
          <cell r="L65">
            <v>0</v>
          </cell>
          <cell r="M65">
            <v>0</v>
          </cell>
          <cell r="N65">
            <v>0</v>
          </cell>
          <cell r="O65">
            <v>0</v>
          </cell>
        </row>
        <row r="66">
          <cell r="A66" t="str">
            <v>Special</v>
          </cell>
          <cell r="B66" t="str">
            <v>Refer to 'Non-Standard' Tab</v>
          </cell>
          <cell r="C66" t="str">
            <v>Please refer to "Non-Standard" Tab</v>
          </cell>
          <cell r="D66"/>
          <cell r="E66"/>
          <cell r="F66"/>
          <cell r="G66"/>
          <cell r="H66"/>
          <cell r="I66"/>
          <cell r="J66"/>
          <cell r="K66"/>
          <cell r="L66"/>
          <cell r="M66"/>
          <cell r="N66"/>
          <cell r="O66"/>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persons/person.xml><?xml version="1.0" encoding="utf-8"?>
<personList xmlns="http://schemas.microsoft.com/office/spreadsheetml/2018/threadedcomments" xmlns:x="http://schemas.openxmlformats.org/spreadsheetml/2006/main">
  <person displayName="Rudra Chaudhury" id="{BB4CA9F8-29A5-4DBD-9CA3-C77B02D398A7}" userId="S::Rudra.Chaudhury@wisetechglobal.com::f138b0ee-9972-4fc0-b4eb-203667bb4aa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well Lane" refreshedDate="44953.706968634258" createdVersion="6" refreshedVersion="7" minRefreshableVersion="3" recordCount="31" xr:uid="{C9E335B8-5E76-4BD0-BBF3-8D3123C4C34D}">
  <cacheSource type="worksheet">
    <worksheetSource name="BORClientPriceCompute"/>
  </cacheSource>
  <cacheFields count="17">
    <cacheField name="Item Level" numFmtId="0">
      <sharedItems containsSemiMixedTypes="0" containsString="0" containsNumber="1" containsInteger="1" minValue="0" maxValue="3" count="3">
        <n v="0"/>
        <n v="2"/>
        <n v="3"/>
      </sharedItems>
    </cacheField>
    <cacheField name="Row" numFmtId="0">
      <sharedItems containsSemiMixedTypes="0" containsString="0" containsNumber="1" containsInteger="1" minValue="9000" maxValue="9045" count="31">
        <n v="9000"/>
        <n v="9001"/>
        <n v="9002"/>
        <n v="9003"/>
        <n v="9004"/>
        <n v="9005"/>
        <n v="9006"/>
        <n v="9010"/>
        <n v="9011"/>
        <n v="9012"/>
        <n v="9013"/>
        <n v="9014"/>
        <n v="9015"/>
        <n v="9020"/>
        <n v="9021"/>
        <n v="9022"/>
        <n v="9023"/>
        <n v="9024"/>
        <n v="9025"/>
        <n v="9030"/>
        <n v="9031"/>
        <n v="9032"/>
        <n v="9033"/>
        <n v="9034"/>
        <n v="9035"/>
        <n v="9040"/>
        <n v="9041"/>
        <n v="9042"/>
        <n v="9043"/>
        <n v="9044"/>
        <n v="9045"/>
      </sharedItems>
    </cacheField>
    <cacheField name="Category" numFmtId="0">
      <sharedItems containsBlank="1"/>
    </cacheField>
    <cacheField name="Code" numFmtId="0">
      <sharedItems containsBlank="1"/>
    </cacheField>
    <cacheField name="Description" numFmtId="0">
      <sharedItems/>
    </cacheField>
    <cacheField name="Base Price" numFmtId="0">
      <sharedItems containsSemiMixedTypes="0" containsString="0" containsNumber="1" minValue="0" maxValue="721"/>
    </cacheField>
    <cacheField name="Charge Basis / Entity counted" numFmtId="0">
      <sharedItems containsBlank="1" count="2">
        <m/>
        <s v="Per Registered User"/>
      </sharedItems>
    </cacheField>
    <cacheField name="Currency" numFmtId="0">
      <sharedItems containsBlank="1" count="5">
        <m/>
        <s v="AUD"/>
        <s v="NZD"/>
        <s v="USD"/>
        <s v="ZAR"/>
      </sharedItems>
    </cacheField>
    <cacheField name="License Units" numFmtId="0">
      <sharedItems containsSemiMixedTypes="0" containsString="0" containsNumber="1" containsInteger="1" minValue="0" maxValue="7210"/>
    </cacheField>
    <cacheField name="Price" numFmtId="0">
      <sharedItems containsMixedTypes="1" containsNumber="1" minValue="20.6" maxValue="721" count="9">
        <s v=""/>
        <n v="20.6"/>
        <n v="30.9"/>
        <s v="Free"/>
        <n v="72.099999999999994"/>
        <n v="206"/>
        <n v="309"/>
        <n v="721"/>
        <n v="175.1"/>
      </sharedItems>
    </cacheField>
    <cacheField name="Discount Unit" numFmtId="0">
      <sharedItems containsMixedTypes="1" containsNumber="1" containsInteger="1" minValue="206" maxValue="7210" count="9">
        <s v=""/>
        <n v="206"/>
        <n v="309"/>
        <s v="-"/>
        <n v="721"/>
        <n v="2060"/>
        <n v="3090"/>
        <n v="7210"/>
        <n v="1751"/>
      </sharedItems>
    </cacheField>
    <cacheField name="Prerequisites" numFmtId="0">
      <sharedItems count="9">
        <s v=""/>
        <s v="N/A"/>
        <s v="Must be purchased with BorderWise Single Window (AU)"/>
        <s v="Must be purchased with BorderWise Single Window (NZ)"/>
        <s v="Must be purchased with BorderWise Single Window (US)"/>
        <s v="Must be purchased with BorderWise Single Window (ZA)"/>
        <s v="Must be purchased with BorderWise Single Window (Global)"/>
        <s v="Must be purchased with BorderWise Single Window" u="1"/>
        <s v="Must be purchased with BorderWise Single Window bal)" u="1"/>
      </sharedItems>
    </cacheField>
    <cacheField name="Desc without indent" numFmtId="0">
      <sharedItems/>
    </cacheField>
    <cacheField name="Role" numFmtId="0">
      <sharedItems count="2">
        <s v="BorderWise"/>
        <s v=""/>
      </sharedItems>
    </cacheField>
    <cacheField name="Module" numFmtId="0">
      <sharedItems count="1">
        <s v=""/>
      </sharedItems>
    </cacheField>
    <cacheField name="Function" numFmtId="0">
      <sharedItems count="7">
        <s v=""/>
        <s v="BorderWise Licence AU"/>
        <s v="BorderWise Licence NZ"/>
        <s v="BorderWise Licence US"/>
        <s v="BorderWise Licence ZA"/>
        <s v="BorderWise Licence Global"/>
        <s v="BorderWise Free Trial Licence"/>
      </sharedItems>
    </cacheField>
    <cacheField name="Feature" numFmtId="0">
      <sharedItems count="25">
        <s v=""/>
        <s v="Single Window (AU) Partner"/>
        <s v="Single Window (AU) CW1"/>
        <s v="Single Window (AU) CW1 + Partner"/>
        <s v="Single Window (AU) Standalone"/>
        <s v="Pro Pack (AU)"/>
        <s v="Single Window (NZ) Partner"/>
        <s v="Single Window (NZ) CW1"/>
        <s v="Single Window (NZ) CW1 + Partner"/>
        <s v="Single Window (NZ) Standalone"/>
        <s v="Pro Pack (NZ)"/>
        <s v="Single Window (US) Partner"/>
        <s v="Single Window (US) CW1"/>
        <s v="Single Window (US) CW1 + Partner"/>
        <s v="Single Window (US) Standalone"/>
        <s v="Pro Pack (US)"/>
        <s v="Single Window (ZA) Partner"/>
        <s v="Single Window (ZA) CW1"/>
        <s v="Single Window (ZA) CW1 + Partner"/>
        <s v="Single Window (ZA) Standalone"/>
        <s v="Pro Pack (ZA)"/>
        <s v="Global Partner and/or CW1"/>
        <s v="Global Standalone"/>
        <s v="Pro Pack (Global)"/>
        <s v="Free Trial Acces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well Lane" refreshedDate="44960.509430439815" createdVersion="6" refreshedVersion="8" minRefreshableVersion="3" recordCount="182" xr:uid="{35F38DF7-56EC-43BB-8E58-F466688F7E0D}">
  <cacheSource type="worksheet">
    <worksheetSource name="STLClientPriceCompute"/>
  </cacheSource>
  <cacheFields count="25">
    <cacheField name="Item Level" numFmtId="0">
      <sharedItems containsSemiMixedTypes="0" containsString="0" containsNumber="1" containsInteger="1" minValue="0" maxValue="8" count="8">
        <n v="0"/>
        <n v="1"/>
        <n v="2"/>
        <n v="3"/>
        <n v="7"/>
        <n v="8"/>
        <n v="5"/>
        <n v="4"/>
      </sharedItems>
    </cacheField>
    <cacheField name="Row" numFmtId="0">
      <sharedItems containsSemiMixedTypes="0" containsString="0" containsNumber="1" containsInteger="1" minValue="1" maxValue="260" count="219">
        <n v="1"/>
        <n v="2"/>
        <n v="3"/>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1"/>
        <n v="182"/>
        <n v="183"/>
        <n v="184"/>
        <n v="185"/>
        <n v="186"/>
        <n v="188"/>
        <n v="189"/>
        <n v="190"/>
        <n v="191"/>
        <n v="192"/>
        <n v="193"/>
        <n v="194"/>
        <n v="195"/>
        <n v="196"/>
        <n v="197"/>
        <n v="198"/>
        <n v="199"/>
        <n v="200"/>
        <n v="201"/>
        <n v="202"/>
        <n v="203"/>
        <n v="204"/>
        <n v="205"/>
        <n v="206"/>
        <n v="207"/>
        <n v="208"/>
        <n v="209"/>
        <n v="210"/>
        <n v="211"/>
        <n v="212"/>
        <n v="213"/>
        <n v="214"/>
        <n v="215"/>
        <n v="251"/>
        <n v="252"/>
        <n v="253"/>
        <n v="254"/>
        <n v="255"/>
        <n v="256"/>
        <n v="257"/>
        <n v="258"/>
        <n v="259"/>
        <n v="260"/>
        <n v="250" u="1"/>
        <n v="223" u="1"/>
        <n v="249" u="1"/>
        <n v="222" u="1"/>
        <n v="248" u="1"/>
        <n v="221" u="1"/>
        <n v="247" u="1"/>
        <n v="220" u="1"/>
        <n v="246" u="1"/>
        <n v="219" u="1"/>
        <n v="245" u="1"/>
        <n v="218" u="1"/>
        <n v="244" u="1"/>
        <n v="217" u="1"/>
        <n v="243" u="1"/>
        <n v="216" u="1"/>
        <n v="242" u="1"/>
        <n v="241" u="1"/>
        <n v="187" u="1"/>
        <n v="240" u="1"/>
        <n v="239" u="1"/>
        <n v="238" u="1"/>
        <n v="237" u="1"/>
        <n v="236" u="1"/>
        <n v="235" u="1"/>
        <n v="234" u="1"/>
        <n v="180" u="1"/>
        <n v="233" u="1"/>
        <n v="232" u="1"/>
        <n v="231" u="1"/>
        <n v="230" u="1"/>
        <n v="229" u="1"/>
        <n v="228" u="1"/>
        <n v="227" u="1"/>
        <n v="226" u="1"/>
        <n v="225" u="1"/>
        <n v="224" u="1"/>
      </sharedItems>
    </cacheField>
    <cacheField name="Category" numFmtId="0">
      <sharedItems containsBlank="1"/>
    </cacheField>
    <cacheField name="Code" numFmtId="0">
      <sharedItems containsBlank="1"/>
    </cacheField>
    <cacheField name="Description" numFmtId="0">
      <sharedItems containsBlank="1" count="168">
        <s v="User Access"/>
        <s v=" Per Active (Registered) User"/>
        <s v=" Per Active (Registered) Robotic Login"/>
        <s v="Logistics and Supply Chain"/>
        <s v=" Forwarder"/>
        <s v="  General Forwarding Engine"/>
        <s v="   Shipment and/or Booking _x000d__x000a_   Include Consol, Spot Quotes, Air/Sea Schedules, Address Cleansing &amp; Geocoding, Denied Party Screening* (*External Services)"/>
        <s v="   Order Manager"/>
        <s v="   Gateway Billing"/>
        <s v=" CFS/Freight Shed Manager"/>
        <s v="  Container Freight Station / Air Freight Shed"/>
        <s v="   Container Packing (Packing Tab in Forwarding/Consol or CFS Load List)"/>
        <s v="   Shipment Management"/>
        <s v="   Container Storage Management"/>
        <s v=" Liner and Agency"/>
        <s v="  General Liner/Ships Agent Engine"/>
        <s v="   Booking/Bill of Lading"/>
        <s v="   Container Manager"/>
        <s v="   Container Detention"/>
        <s v="  Tramp Liner"/>
        <s v="   Tramp Shipping Functions"/>
        <s v="  Principal Accounting"/>
        <s v="   Voyage Accounting"/>
        <s v="   Sundry Charges"/>
        <s v=" Land Transport (Road / Rail)"/>
        <s v="  Land Transport System"/>
        <s v="   LTL/General Freight (PUD + Line Haul)"/>
        <s v="   FTL/Bulk/Liquid/Livestock (Point to Point/Direct Move)"/>
        <s v="   Containerized Moves (Port/Door/CY, CY/Door/Port)"/>
        <s v=" Warehouse Manager"/>
        <s v="  Contract Warehouse Functions(Warehouse including 3PL, 4PL)"/>
        <s v="   Receipt Header"/>
        <s v="   Outward Order Header"/>
        <s v="   Outward Order Line"/>
        <s v="   Outward Order Header (Greater Than 1,000 Orders)"/>
        <s v="   Outward Order Header (Greater Than 5,000 Orders)"/>
        <s v="   Outward Order Header (Greater Than 20,000 Orders)"/>
        <s v="   Bill Of Material / Value Added Services Work Orders"/>
        <s v=" Integrated Warehouse / Inventory Management - Long Term Bond / FTZ"/>
        <s v="   W/H Receipt and W/H Withdrawal"/>
        <s v=" Transit Warehouse"/>
        <s v="   Less than or equal to 50,000"/>
        <s v="   Greater than 50,000"/>
        <s v="   Greater than 100,000"/>
        <s v="   Greater than 250,000"/>
        <s v="Customs &amp; Country Specific Integrations"/>
        <s v=" Customs and Other Government Research Tools"/>
        <s v="  Global Compliance"/>
        <s v="   Compliance Manager (Research &amp; Classification)"/>
        <s v=" Pre Departure, Advanced Filing, Embargo and Denied Parties"/>
        <s v="  Embargo / Denied Parties / Parties of Interest etc"/>
        <s v="   Embargo Management"/>
        <s v="   Importer Security Filing (eg: ISF/10+2 and other similar)"/>
        <s v="   Pre Departure Manifest (eManifest, AMS, ACI, ICS, AFR etc)"/>
        <s v=" Customs &amp; Other Government Communication"/>
        <s v="  Export Formal Customs/Statistics Entry Compliance"/>
        <s v="   Export Formal Clearance / Fiscal Report _x000d__x000a_   Includes Air/Sea Schedules, Address Cleansing &amp; Geocoding, Denied Party Screening* (*External Services)"/>
        <s v="   Export Formal Clearance / Fiscal Report"/>
        <s v="  Import Formal Customs Entry Compliance"/>
        <s v="   Import Clearance Full / Detailed Formal Entry / Fiscal Report _x000d__x000a_   Includes Air/Sea Schedules, Address Cleansing &amp; Geocoding, Denied Party Screening* (*External Services)"/>
        <s v="   Import Clearance Full / Detailed Formal Entry / Fiscal Report"/>
        <s v="   Land Border Clearance (Truck and Rail)"/>
        <s v="   UK Customs (HCI Terminal Clearance)"/>
        <s v="   Informal /  Simplified Entry"/>
        <s v="   Low Value/Write Off/Deminimus Clearance"/>
        <s v="  Core Customs Processing (applies exclusively in non-integrated countries)"/>
        <s v="  Special Entry Types"/>
        <s v="   Miscellaneous/External Broker In-Out Customs Jobs"/>
        <s v="   Drawbacks (integrated with Warehousing and BOM)"/>
        <s v="   Free Trade Zone Entry/Protest/Reconciliation/B2 Entries"/>
        <s v="   Landed Costing"/>
        <s v="   Single Transaction Bond Application (US Only)"/>
        <s v="   Export Biosecurity (Export Docs/RFP/etc) (price does not include Export Formal Clearance AU ECN)"/>
        <s v="   Intransit / InBond / Underbond Movement Request (From Customs Menu)"/>
        <s v="   InBond / Underbond Movement Request (From Forwarding Menu)"/>
        <s v=" Other Parties Customs and Port Messaging (non Broker/Agent messaging)"/>
        <s v="  Ecommerce (Incl. low value customs entries - only if transaction originates from Ecommerce, otherwise separately charged)"/>
        <s v="   First 50,000"/>
        <s v="   Between 50,001 to 100,000"/>
        <s v="   Between 100,001 to 200,000"/>
        <s v="   Between 200,001 to 400,000"/>
        <s v="   Between 400,001 to 1,000,000"/>
        <s v="   Between 1,000,001 to 2,000,000"/>
        <s v="   Between 2,000,001 to 4,000,000"/>
        <s v="   Between 4,000,001 to 6,000,000"/>
        <s v="   Between 6,000,001 to 10,000,000"/>
        <s v="   10,000,001 and above"/>
        <s v="  Ecommerce Plus (Incl. Related Customs Procedures)"/>
        <s v="  Forwarder/CFS/CTO/CY/Land Transport Message Functions"/>
        <s v="   Import/Export Air Cargo Report"/>
        <s v="   Import/Export Sea Cargo Report"/>
        <s v="   Import/Export Air Cargo CFS/CTO Customs Functions"/>
        <s v="   Import/Export Sea Cargo CFS/CTO Customs Functions"/>
        <s v="   Air/Sea/Rail/Road Consol/Manifest/Quarantine Report"/>
        <s v="   Pre Receival (PRA) / Export Receival Advice (ERA)"/>
        <s v="   Slot Booking Request / Port, CFS, CY Slot request"/>
        <s v="   Pre-loading Advance Cargo Information Filing (PLACI)"/>
        <s v="  Liner &amp; Agency Functions"/>
        <s v="   Import/Export Shipping Customs Report"/>
        <s v="   Container Release/Container Arrive PreAdvice/Delivery Order"/>
        <s v="   Port Authority/Stevedore Manifest (Shipping Manifest, Load/Discharge List)"/>
        <s v="   Dangerous Goods Declaration"/>
        <s v="   Container Movement Tracking"/>
        <s v="  Forwarding Port Messaging"/>
        <s v="   Port Messaging Data Record / Original Entry (eg. MRN)"/>
        <s v="   Port Other Messages (eManifest /eCLP /eTerminal Release/Delivery/Stop/Gate Pass/Request/Cert/Cargo Dues etc)"/>
        <s v="   Port Status"/>
        <s v="Bundled Language, Geographic Compliance, Online Air and Sea Schedule Data, Trade and Shipping Data and Reference Data Sets"/>
        <s v="  Pricing is based on Average Registered Users per Country in the billing month."/>
        <s v="   Less than or equal to 5 users"/>
        <s v="   Greater than 5 users"/>
        <s v="   Greater than 25 users"/>
        <s v="   Greater than 100 users"/>
        <s v="Additional Services"/>
        <s v=" Additional Services"/>
        <s v="  Distance Calculations"/>
        <s v="   Distance Calculator (Google)"/>
        <s v="  Messaging and Electronic Submission"/>
        <s v="   Airlines Messaging (FWB/FHL//FSR)"/>
        <s v="   Booking/Shipping Instruction/Shipping Order (China) - submission to Carrier"/>
        <s v="   VGM - submission to Carrier"/>
        <s v="   Status Events not otherwise provided for"/>
        <s v="  Carrier/NVOCC Messaging"/>
        <s v="   Receiving VGM"/>
        <s v="   Receiving Booking/SI"/>
        <s v="  Tracking Functions"/>
        <s v="   Railinc Tracking Event"/>
        <s v="   LCL Tracking &amp; Automation"/>
        <s v="   Ocean Bill Tracking"/>
        <s v="   Airline FSU/FSA/FMA/FNA"/>
        <s v="CRM / Sales Management / HRM"/>
        <s v=" Sales and Marketing System"/>
        <s v="  General Sales and Marketing tools"/>
        <s v="   Customer and Competitor Intelligence"/>
        <s v="   Inquiry Manager"/>
        <s v="   Communications Manager"/>
        <s v="  Sales and Marketing Power Functions"/>
        <s v="   Campaign Manager - Campaign Registration"/>
        <s v="       - Email Creation and Transmission"/>
        <s v="   Opportunity Manager"/>
        <s v="   Event Manager - Event Registration"/>
        <s v="        - Per Attendee"/>
        <s v="   Quotation Manager"/>
        <s v=" Human Resources Manager"/>
        <s v="  Staff Management"/>
        <s v="   Leave Manager"/>
        <s v="   licence and Certification Manager"/>
        <s v="   Staff Activity Tracking"/>
        <s v="  Recruitment"/>
        <s v="   Recruitment Manager"/>
        <s v="     - Job Applicant Processing"/>
        <s v="   Recruitment Portal"/>
        <s v="Process and Workflow"/>
        <s v=" Process and Workflow"/>
        <s v="  Process Management"/>
        <s v="   Project System"/>
        <s v="   WorkItem System"/>
        <s v="   Incident System"/>
        <s v="Fax Gateway"/>
        <s v=" Faxing"/>
        <s v="   Fax Service (Support for Fax Engine is now dropped)"/>
        <s v="System Licence"/>
        <s v="   System Minimum Fee"/>
        <s v="   Non-Production System"/>
        <s v="   Customer Requested Changes to Enterprise or Company Registration or Server Codes"/>
        <s v="    To convert Enterprise or Company Registration or Server code to a customer preferred code on a live system"/>
        <s v="   Accounting Period Configuration"/>
        <m/>
      </sharedItems>
    </cacheField>
    <cacheField name="Available" numFmtId="0">
      <sharedItems containsBlank="1" count="3">
        <m/>
        <s v="Y"/>
        <s v="N"/>
      </sharedItems>
    </cacheField>
    <cacheField name="Report Category" numFmtId="0">
      <sharedItems containsBlank="1" count="5">
        <s v="STL"/>
        <s v="CLD"/>
        <s v="DEV"/>
        <s v="ESV"/>
        <m u="1"/>
      </sharedItems>
    </cacheField>
    <cacheField name="Base Price (USD)" numFmtId="4">
      <sharedItems containsString="0" containsBlank="1" containsNumber="1" minValue="0" maxValue="1147.3633500000001"/>
    </cacheField>
    <cacheField name="Charge Basis" numFmtId="0">
      <sharedItems containsBlank="1"/>
    </cacheField>
    <cacheField name="Exchange Rate Group" numFmtId="0">
      <sharedItems containsBlank="1"/>
    </cacheField>
    <cacheField name="License Units" numFmtId="164">
      <sharedItems containsString="0" containsBlank="1" containsNumber="1" minValue="0" maxValue="9342.8158500000009"/>
    </cacheField>
    <cacheField name="Eligible For Volume Discount" numFmtId="0">
      <sharedItems containsBlank="1"/>
    </cacheField>
    <cacheField name="Base Price in Local Currency" numFmtId="0">
      <sharedItems containsMixedTypes="1" containsNumber="1" minValue="0" maxValue="1523.5562557446001" count="64">
        <n v="0"/>
        <n v="76.308404590999999"/>
        <n v="761.77812787230005"/>
        <n v="3.7042914850000002"/>
        <n v="3.20495341182"/>
        <n v="0.66393800000000003"/>
        <n v="4.8074294194"/>
        <n v="0.80123870212000003"/>
        <n v="2.4037147097"/>
        <n v="160.2476496411"/>
        <n v="1.60247600758"/>
        <n v="6.40990542698"/>
        <n v="0.24037216930000002"/>
        <n v="1.2018580531800001"/>
        <n v="0.16024718176"/>
        <n v="8.0123590879999998E-2"/>
        <n v="0.32049576018000003"/>
        <n v="3.2049157019999996E-2"/>
        <n v="9.6148588388"/>
        <n v="0.25894076399999999"/>
        <n v="0.21578396999999999"/>
        <n v="0.12947038199999999"/>
        <n v="0.100699186"/>
        <n v="5.3252899974999997"/>
        <n v="200.30956240054002"/>
        <n v="0.64099012369999997"/>
        <n v="2.6626443004199998"/>
        <n v="1.0474950000000001"/>
        <n v="1.52616809182"/>
        <n v="0.13389999999999999"/>
        <n v="0.100425"/>
        <n v="7.5318750000000004E-2"/>
        <n v="5.2723124999999996E-2"/>
        <n v="4.2178500000000001E-2"/>
        <n v="3.3742799999999996E-2"/>
        <n v="2.6994239999999999E-2"/>
        <n v="2.1595391999999998E-2"/>
        <n v="1.7275777999999999E-2"/>
        <n v="1.3821157999999998E-2"/>
        <n v="0.4017"/>
        <n v="0.30127500000000002"/>
        <n v="0.22595625"/>
        <n v="0.158169375"/>
        <n v="0.1265355"/>
        <n v="0.1012284"/>
        <n v="8.0982719999999994E-2"/>
        <n v="6.4786176000000001E-2"/>
        <n v="5.1828672999999999E-2"/>
        <n v="4.1463474E-2"/>
        <n v="0.56086653281999999"/>
        <n v="1.4385597999999999"/>
        <n v="0.40061935106000002"/>
        <n v="2.1312933833800001"/>
        <n v="1.0656473900200001"/>
        <n v="0.52881737579999999"/>
        <n v="259.4485756094"/>
        <n v="648.99186817199995"/>
        <n v="1304.8737185061"/>
        <n v="7.6307915759999997E-2"/>
        <n v="0.41899799999999998"/>
        <n v="244.48323800999998"/>
        <n v="1523.5562557446001"/>
        <n v="718.048947"/>
        <s v=""/>
      </sharedItems>
    </cacheField>
    <cacheField name="List Price (Volume Adjusted Price in Local Currency)" numFmtId="0">
      <sharedItems containsMixedTypes="1" containsNumber="1" minValue="0" maxValue="1602.2929189400002" count="140">
        <n v="0"/>
        <n v="76.308404590999999"/>
        <n v="761.77812787230005"/>
        <n v="3.7042914850000002"/>
        <n v="3.20495341182"/>
        <n v="0.66393800000000003"/>
        <n v="4.8074294194"/>
        <n v="0.80123870212000003"/>
        <n v="2.4037147097"/>
        <n v="160.2476496411"/>
        <n v="1.60247600758"/>
        <n v="6.40990542698"/>
        <n v="0.24037216930000002"/>
        <n v="1.2018580531800001"/>
        <n v="0.16024718176"/>
        <n v="8.0123590879999998E-2"/>
        <n v="0.32049576018000003"/>
        <n v="3.2049157019999996E-2"/>
        <n v="9.6148588388"/>
        <n v="0.25894076399999999"/>
        <n v="0.21578396999999999"/>
        <n v="0.12947038199999999"/>
        <n v="0.100699186"/>
        <n v="5.3252899974999997"/>
        <n v="200.30956240054002"/>
        <n v="0.64099012369999997"/>
        <n v="2.6626443004199998"/>
        <n v="1.0474950000000001"/>
        <n v="1.52616809182"/>
        <n v="0.13389999999999999"/>
        <n v="0.100425"/>
        <n v="7.5318750000000004E-2"/>
        <n v="5.2723124999999996E-2"/>
        <n v="4.2178500000000001E-2"/>
        <n v="3.3742799999999996E-2"/>
        <n v="2.6994239999999999E-2"/>
        <n v="2.1595391999999998E-2"/>
        <n v="1.7275777999999999E-2"/>
        <n v="1.3821157999999998E-2"/>
        <n v="0.4017"/>
        <n v="0.30127500000000002"/>
        <n v="0.22595625"/>
        <n v="0.158169375"/>
        <n v="0.1265355"/>
        <n v="0.1012284"/>
        <n v="8.0982719999999994E-2"/>
        <n v="6.4786176000000001E-2"/>
        <n v="5.1828672999999999E-2"/>
        <n v="4.1463474E-2"/>
        <n v="0.56086653281999999"/>
        <n v="1.4385597999999999"/>
        <n v="0.40061935106000002"/>
        <n v="2.1312933833800001"/>
        <n v="1.0656473900200001"/>
        <n v="0.52881737579999999"/>
        <n v="259.4485756094"/>
        <n v="648.99186817199995"/>
        <n v="1304.8737185061"/>
        <n v="7.6307915759999997E-2"/>
        <n v="0.41899799999999998"/>
        <n v="244.48323800999998"/>
        <n v="1523.5562557446001"/>
        <n v="718.048947"/>
        <s v=""/>
        <n v="7.8553789999999998E-2" u="1"/>
        <n v="33.25" u="1"/>
        <n v="3.5191800000000002E-2" u="1"/>
        <n v="648.91752030000009" u="1"/>
        <n v="0.13196925000000001" u="1"/>
        <n v="244.45523025000003" u="1"/>
        <n v="5.4987519999999998E-2" u="1"/>
        <n v="200.28661520000003" u="1"/>
        <n v="8.4460320000000005E-2" u="1"/>
        <n v="0.40057338999999997" u="1"/>
        <n v="0.12945555" u="1"/>
        <n v="259.41885410000003" u="1"/>
        <n v="6.4091715800000006" u="1"/>
        <n v="5.3246789400000001" u="1"/>
        <n v="7.4077342500000007" u="1"/>
        <n v="977.55000000000007" u="1"/>
        <n v="2.2522220000000003E-2" u="1"/>
        <n v="1304.72423312" u="1"/>
        <n v="1.4414540000000002E-2" u="1"/>
        <n v="9.6137573700000001" u="1"/>
        <n v="719.19749999999999" u="1"/>
        <n v="2.1310496900000002" u="1"/>
        <n v="0.16022908999999999" u="1"/>
        <n v="0.80114677999999995" u="1"/>
        <n v="1.2017201700000002" u="1"/>
        <n v="0.25891110000000001" u="1"/>
        <n v="26.030760000000001" u="1"/>
        <n v="801.14645947000008" u="1"/>
        <n v="0.41895000000000004" u="1"/>
        <n v="0.13965" u="1"/>
        <n v="80.11464608" u="1"/>
        <n v="0.56080247999999999" u="1"/>
        <n v="2.40343901" u="1"/>
        <n v="381.49831454000002" u="1"/>
        <n v="0.52875612999999999" u="1"/>
        <n v="0.16496123000000001" u="1"/>
        <n v="6.7567990000000008E-2" u="1"/>
        <n v="0.10068765" u="1"/>
        <n v="4.80687935" u="1"/>
        <n v="0.10557540000000001" u="1"/>
        <n v="961.37575163000008" u="1"/>
        <n v="0.32045817999999998" u="1"/>
        <n v="8.0115210000000006E-2" u="1"/>
        <n v="1.6022935599999999" u="1"/>
        <n v="2.8153440000000002E-2" u="1"/>
        <n v="1602.2929189400002" u="1"/>
        <n v="160.22929216" u="1"/>
        <n v="0.31421250000000001" u="1"/>
        <n v="879.79500000000007" u="1"/>
        <n v="1.4383949999999999" u="1"/>
        <n v="4.3243620000000003E-2" u="1"/>
        <n v="1.602251E-2" u="1"/>
        <n v="0.21575925000000001" u="1"/>
        <n v="4.3989750000000001E-2" u="1"/>
        <n v="5.4055190000000003E-2" u="1"/>
        <n v="1525.9932555000003" u="1"/>
        <n v="8.0114651400000003" u="1"/>
        <n v="1.0473749999999999" u="1"/>
        <n v="320.45858432" u="1"/>
        <n v="0.23566004000000002" u="1"/>
        <n v="958.11072000000001" u="1"/>
        <n v="3.7038677900000003" u="1"/>
        <n v="11.8523748" u="1"/>
        <n v="16.022928950000001" u="1"/>
        <n v="3.2046350000000001E-2" u="1"/>
        <n v="76.299663440000003" u="1"/>
        <n v="0.6409176900000001" u="1"/>
        <n v="7.629944000000001E-2" u="1"/>
        <n v="3.2045857900000003" u="1"/>
        <n v="2.66233947" u="1"/>
        <n v="0.24034430000000004" u="1"/>
        <n v="1.0655241800000002" u="1"/>
        <n v="26.6" u="1"/>
        <n v="1.8018840000000001E-2" u="1"/>
        <n v="0.10473750000000001" u="1"/>
        <n v="1.5259927899999999" u="1"/>
      </sharedItems>
    </cacheField>
    <cacheField name="Volume adjustment Factor" numFmtId="0">
      <sharedItems containsSemiMixedTypes="0" containsString="0" containsNumber="1" containsInteger="1" minValue="1" maxValue="1"/>
    </cacheField>
    <cacheField name="Category search for HV Base Discount" numFmtId="0">
      <sharedItems containsSemiMixedTypes="0" containsString="0" containsNumber="1" containsInteger="1" minValue="1" maxValue="1"/>
    </cacheField>
    <cacheField name="Uplift Factor" numFmtId="0">
      <sharedItems containsSemiMixedTypes="0" containsString="0" containsNumber="1" containsInteger="1" minValue="1" maxValue="1"/>
    </cacheField>
    <cacheField name="Discount Unit" numFmtId="0">
      <sharedItems containsMixedTypes="1" containsNumber="1" minValue="0" maxValue="9809.9566400000003" count="112">
        <n v="0"/>
        <n v="546.36350000000004"/>
        <n v="5736.81675"/>
        <n v="26.522500000000001"/>
        <n v="22.94727"/>
        <n v="5"/>
        <n v="34.420900000000003"/>
        <n v="5.7368199999999998"/>
        <n v="17.210450000000002"/>
        <n v="1147.3633500000001"/>
        <n v="11.47363"/>
        <n v="45.894530000000003"/>
        <n v="1.72105"/>
        <n v="8.6052300000000006"/>
        <n v="1.1473599999999999"/>
        <n v="0.57367999999999997"/>
        <n v="2.2947299999999999"/>
        <n v="0.22947000000000001"/>
        <n v="68.841800000000006"/>
        <n v="1.8540000000000001"/>
        <n v="1.5449999999999999"/>
        <n v="0.92700000000000005"/>
        <n v="0.72099999999999997"/>
        <n v="38.128749999999997"/>
        <n v="4.5894500000000003"/>
        <n v="19.06437"/>
        <n v="7.5"/>
        <n v="10.92727"/>
        <n v="1"/>
        <n v="0.75"/>
        <n v="0.5625"/>
        <n v="0.39374999999999999"/>
        <n v="0.315"/>
        <n v="0.252"/>
        <n v="0.2016"/>
        <n v="0.16128000000000001"/>
        <n v="0.12902"/>
        <n v="0.10322000000000001"/>
        <n v="3"/>
        <n v="2.25"/>
        <n v="1.6875"/>
        <n v="1.1812499999999999"/>
        <n v="0.94499999999999995"/>
        <n v="0.75600000000000001"/>
        <n v="0.6048"/>
        <n v="0.48383999999999999"/>
        <n v="0.38707000000000003"/>
        <n v="0.30965999999999999"/>
        <n v="4.0157699999999998"/>
        <n v="10.3"/>
        <n v="2.8684099999999999"/>
        <n v="15.259930000000001"/>
        <n v="7.6299700000000001"/>
        <n v="3.7863000000000002"/>
        <n v="1857.6359"/>
        <n v="4646.7420000000002"/>
        <n v="9342.8158500000009"/>
        <n v="0.54635999999999996"/>
        <s v=""/>
        <n v="1950.5177000000001" u="1"/>
        <n v="1.8070999999999999" u="1"/>
        <n v="0.60236999999999996" u="1"/>
        <n v="4.2165600000000003" u="1"/>
        <n v="1.62225" u="1"/>
        <n v="1.9467000000000001" u="1"/>
        <n v="0.59062999999999999" u="1"/>
        <n v="36.141950000000001" u="1"/>
        <n v="0.75705" u="1"/>
        <n v="27.84863" u="1"/>
        <n v="1.2047300000000001" u="1"/>
        <n v="1.7718799999999999" u="1"/>
        <n v="0.16933999999999999" u="1"/>
        <n v="10.815" u="1"/>
        <n v="1.05" u="1"/>
        <n v="0.21168000000000001" u="1"/>
        <n v="3.0118299999999998" u="1"/>
        <n v="0.32513999999999998" u="1"/>
        <n v="0.40643000000000001" u="1"/>
        <n v="2.4094600000000002" u="1"/>
        <n v="0.2646" u="1"/>
        <n v="4.8189299999999999" u="1"/>
        <n v="1204.73152" u="1"/>
        <n v="3.15" u="1"/>
        <n v="0.41343999999999997" u="1"/>
        <n v="0.33074999999999999" u="1"/>
        <n v="20.017589999999998" u="1"/>
        <n v="0.63504000000000005" u="1"/>
        <n v="0.13547999999999999" u="1"/>
        <n v="24.094629999999999" u="1"/>
        <n v="6.0236599999999996" u="1"/>
        <n v="8.0114599999999996" u="1"/>
        <n v="4879.0790999999999" u="1"/>
        <n v="40.035179999999997" u="1"/>
        <n v="573.68168000000003" u="1"/>
        <n v="48.189259999999997" u="1"/>
        <n v="12.047319999999999" u="1"/>
        <n v="0.79379999999999995" u="1"/>
        <n v="16.022929999999999" u="1"/>
        <n v="9.0354899999999994" u="1"/>
        <n v="3.9756100000000001" u="1"/>
        <n v="9809.9566400000003" u="1"/>
        <n v="72.28389" u="1"/>
        <n v="0.10838" u="1"/>
        <n v="0.50802999999999998" u="1"/>
        <n v="0.24095" u="1"/>
        <n v="18.070969999999999" u="1"/>
        <n v="0.97335000000000005" u="1"/>
        <n v="7.875" u="1"/>
        <n v="1.24031" u="1"/>
        <n v="0.78749999999999998" u="1"/>
        <n v="0.99224999999999997" u="1"/>
        <n v="2.3624999999999998" u="1"/>
      </sharedItems>
    </cacheField>
    <cacheField name="Available Symbol" numFmtId="0">
      <sharedItems/>
    </cacheField>
    <cacheField name="Desc without indent" numFmtId="0">
      <sharedItems/>
    </cacheField>
    <cacheField name="Role" numFmtId="0">
      <sharedItems count="10">
        <s v="User Access"/>
        <s v=""/>
        <s v="Logistics and Supply Chain"/>
        <s v="Customs &amp; Country Specific Integrations"/>
        <s v="Bundled Language, Geographic Compliance, Online Air and Sea Schedule Data, Trade and Shipping Data and Reference Data Sets"/>
        <s v="Additional Services"/>
        <s v="CRM / Sales Management / HRM"/>
        <s v="Process and Workflow"/>
        <s v="Fax Gateway"/>
        <s v="System Licence"/>
      </sharedItems>
    </cacheField>
    <cacheField name="Module" numFmtId="0">
      <sharedItems count="19">
        <s v=""/>
        <s v="Per Active (Registered) User"/>
        <s v="Per Active (Registered) Robotic Login"/>
        <s v="Forwarder"/>
        <s v="CFS/Freight Shed Manager"/>
        <s v="Liner and Agency"/>
        <s v="Land Transport (Road / Rail)"/>
        <s v="Warehouse Manager"/>
        <s v="Integrated Warehouse / Inventory Management - Long Term Bond / FTZ"/>
        <s v="Transit Warehouse"/>
        <s v="Customs and Other Government Research Tools"/>
        <s v="Pre Departure, Advanced Filing, Embargo and Denied Parties"/>
        <s v="Customs &amp; Other Government Communication"/>
        <s v="Other Parties Customs and Port Messaging (non Broker/Agent messaging)"/>
        <s v="Additional Services"/>
        <s v="Sales and Marketing System"/>
        <s v="Human Resources Manager"/>
        <s v="Process and Workflow"/>
        <s v="Faxing"/>
      </sharedItems>
    </cacheField>
    <cacheField name="Function" numFmtId="0">
      <sharedItems count="30">
        <s v=""/>
        <s v="General Forwarding Engine"/>
        <s v="Container Freight Station / Air Freight Shed"/>
        <s v="General Liner/Ships Agent Engine"/>
        <s v="Tramp Liner"/>
        <s v="Principal Accounting"/>
        <s v="Land Transport System"/>
        <s v="Contract Warehouse Functions(Warehouse including 3PL, 4PL)"/>
        <s v="Global Compliance"/>
        <s v="Embargo / Denied Parties / Parties of Interest etc"/>
        <s v="Export Formal Customs/Statistics Entry Compliance"/>
        <s v="Import Formal Customs Entry Compliance"/>
        <s v="Core Customs Processing (applies exclusively in non-integrated countries)"/>
        <s v="Special Entry Types"/>
        <s v="Ecommerce (Incl. low value customs entries - only if transaction originates from Ecommerce, otherwise separately charged)"/>
        <s v="Ecommerce Plus (Incl. Related Customs Procedures)"/>
        <s v="Forwarder/CFS/CTO/CY/Land Transport Message Functions"/>
        <s v="Liner &amp; Agency Functions"/>
        <s v="Forwarding Port Messaging"/>
        <s v="Pricing is based on Average Registered Users per Country in the billing month."/>
        <s v="Distance Calculations"/>
        <s v="Messaging and Electronic Submission"/>
        <s v="Carrier/NVOCC Messaging"/>
        <s v="Tracking Functions"/>
        <s v="General Sales and Marketing tools"/>
        <s v="Sales and Marketing Power Functions"/>
        <s v="Staff Management"/>
        <s v="Recruitment"/>
        <s v="Process Management"/>
        <s v="Ecommerce Plus (Incl. Related Customs Procedures, not Incl. Formal Customs Declarations)" u="1"/>
      </sharedItems>
    </cacheField>
    <cacheField name="Feature" numFmtId="0">
      <sharedItems count="119">
        <s v=""/>
        <s v="Shipment and/or Booking _x000d__x000a_ Include Consol, Spot Quotes, Air/Sea Schedules, Address Cleansing &amp; Geocoding, Denied Party Screening* (*External Services)"/>
        <s v="Order Manager"/>
        <s v="Gateway Billing"/>
        <s v="Container Packing (Packing Tab in Forwarding/Consol or CFS Load List)"/>
        <s v="Shipment Management"/>
        <s v="Container Storage Management"/>
        <s v="Booking/Bill of Lading"/>
        <s v="Container Manager"/>
        <s v="Container Detention"/>
        <s v="Tramp Shipping Functions"/>
        <s v="Voyage Accounting"/>
        <s v="Sundry Charges"/>
        <s v="LTL/General Freight (PUD + Line Haul)"/>
        <s v="FTL/Bulk/Liquid/Livestock (Point to Point/Direct Move)"/>
        <s v="Containerized Moves (Port/Door/CY, CY/Door/Port)"/>
        <s v="Receipt Header"/>
        <s v="Outward Order Header"/>
        <s v="Outward Order Line"/>
        <s v="Outward Order Header (Greater Than 1,000 Orders)"/>
        <s v="Outward Order Header (Greater Than 5,000 Orders)"/>
        <s v="Outward Order Header (Greater Than 20,000 Orders)"/>
        <s v="Bill Of Material / Value Added Services Work Orders"/>
        <s v="W/H Receipt and W/H Withdrawal"/>
        <s v="Less than or equal to 50,000"/>
        <s v="Greater than 50,000"/>
        <s v="Greater than 100,000"/>
        <s v="Greater than 250,000"/>
        <s v="Compliance Manager (Research &amp; Classification)"/>
        <s v="Embargo Management"/>
        <s v="Importer Security Filing (eg: ISF/10+2 and other similar)"/>
        <s v="Pre Departure Manifest (eManifest, AMS, ACI, ICS, AFR etc)"/>
        <s v="Export Formal Clearance / Fiscal Report _x000d__x000a_ Includes Air/Sea Schedules, Address Cleansing &amp; Geocoding, Denied Party Screening* (*External Services)"/>
        <s v="Export Formal Clearance / Fiscal Report"/>
        <s v="Import Clearance Full / Detailed Formal Entry / Fiscal Report _x000d__x000a_ Includes Air/Sea Schedules, Address Cleansing &amp; Geocoding, Denied Party Screening* (*External Services)"/>
        <s v="Import Clearance Full / Detailed Formal Entry / Fiscal Report"/>
        <s v="Land Border Clearance (Truck and Rail)"/>
        <s v="UK Customs (HCI Terminal Clearance)"/>
        <s v="Informal / Simplified Entry"/>
        <s v="Low Value/Write Off/Deminimus Clearance"/>
        <s v="Miscellaneous/External Broker In-Out Customs Jobs"/>
        <s v="Drawbacks (integrated with Warehousing and BOM)"/>
        <s v="Free Trade Zone Entry/Protest/Reconciliation/B2 Entries"/>
        <s v="Landed Costing"/>
        <s v="Single Transaction Bond Application (US Only)"/>
        <s v="Export Biosecurity (Export Docs/RFP/etc) (price does not include Export Formal Clearance AU ECN)"/>
        <s v="Intransit / InBond / Underbond Movement Request (From Customs Menu)"/>
        <s v="InBond / Underbond Movement Request (From Forwarding Menu)"/>
        <s v="First 50,000"/>
        <s v="Between 50,001 to 100,000"/>
        <s v="Between 100,001 to 200,000"/>
        <s v="Between 200,001 to 400,000"/>
        <s v="Between 400,001 to 1,000,000"/>
        <s v="Between 1,000,001 to 2,000,000"/>
        <s v="Between 2,000,001 to 4,000,000"/>
        <s v="Between 4,000,001 to 6,000,000"/>
        <s v="Between 6,000,001 to 10,000,000"/>
        <s v="10,000,001 and above"/>
        <s v="Import/Export Air Cargo Report"/>
        <s v="Import/Export Sea Cargo Report"/>
        <s v="Import/Export Air Cargo CFS/CTO Customs Functions"/>
        <s v="Import/Export Sea Cargo CFS/CTO Customs Functions"/>
        <s v="Air/Sea/Rail/Road Consol/Manifest/Quarantine Report"/>
        <s v="Pre Receival (PRA) / Export Receival Advice (ERA)"/>
        <s v="Slot Booking Request / Port, CFS, CY Slot request"/>
        <s v="Pre-loading Advance Cargo Information Filing (PLACI)"/>
        <s v="Import/Export Shipping Customs Report"/>
        <s v="Container Release/Container Arrive PreAdvice/Delivery Order"/>
        <s v="Port Authority/Stevedore Manifest (Shipping Manifest, Load/Discharge List)"/>
        <s v="Dangerous Goods Declaration"/>
        <s v="Container Movement Tracking"/>
        <s v="Port Messaging Data Record / Original Entry (eg. MRN)"/>
        <s v="Port Other Messages (eManifest /eCLP /eTerminal Release/Delivery/Stop/Gate Pass/Request/Cert/Cargo Dues etc)"/>
        <s v="Port Status"/>
        <s v="Less than or equal to 5 users"/>
        <s v="Greater than 5 users"/>
        <s v="Greater than 25 users"/>
        <s v="Greater than 100 users"/>
        <s v="Distance Calculator (Google)"/>
        <s v="Airlines Messaging (FWB/FHL//FSR)"/>
        <s v="Booking/Shipping Instruction/Shipping Order (China) - submission to Carrier"/>
        <s v="VGM - submission to Carrier"/>
        <s v="Status Events not otherwise provided for"/>
        <s v="Receiving VGM"/>
        <s v="Receiving Booking/SI"/>
        <s v="Railinc Tracking Event"/>
        <s v="LCL Tracking &amp; Automation"/>
        <s v="Ocean Bill Tracking"/>
        <s v="Airline FSU/FSA/FMA/FNA"/>
        <s v="Customer and Competitor Intelligence"/>
        <s v="Inquiry Manager"/>
        <s v="Communications Manager"/>
        <s v="Campaign Manager - Campaign Registration"/>
        <s v="    - Email Creation and Transmission"/>
        <s v="Opportunity Manager"/>
        <s v="Event Manager - Event Registration"/>
        <s v="     - Per Attendee"/>
        <s v="Quotation Manager"/>
        <s v="Leave Manager"/>
        <s v="licence and Certification Manager"/>
        <s v="Staff Activity Tracking"/>
        <s v="Recruitment Manager"/>
        <s v="  - Job Applicant Processing"/>
        <s v="Recruitment Portal"/>
        <s v="Project System"/>
        <s v="WorkItem System"/>
        <s v="Incident System"/>
        <s v="Fax Service (Support for Fax Engine is now dropped)"/>
        <s v="System Minimum Fee"/>
        <s v="Non-Production System"/>
        <s v="Customer Requested Changes to Enterprise or Company Registration or Server Codes"/>
        <s v=" To convert Enterprise or Company Registration or Server code to a customer preferred code on a live system"/>
        <s v="Accounting Period Configuration"/>
        <s v="Export Quarantine (Export Docs/RFP/etc) (price does not include Export Formal Clearance AU ECN)" u="1"/>
        <s v="Shipment and/or Booking _x000d__x000a_ Include Consol, Spot Quotes, Air/Sea Schedules, Address Cleansing &amp; Geocoding, Denied Party Screening" u="1"/>
        <s v="Export Formal Clearance / Fiscal Report _x000d__x000a_ Includes Air/Sea Schedules, Address Cleansing &amp; Geocoding, Denied Party Screening" u="1"/>
        <s v="Low Value/Write Off/De minimus Clearance" u="1"/>
        <s v="Booking/Shipping Instruction/Shipping Order (China) - submission to Ocean Carrier" u="1"/>
        <s v="Import Clearance Full / Detailed Formal Entry / Fiscal Report _x000d__x000a_ Includes Air/Sea Schedules, Address Cleansing &amp; Geocoding, Denied Party Screening" u="1"/>
      </sharedItems>
    </cacheField>
    <cacheField name="Charge Basis / Entity counted" numFmtId="0">
      <sharedItems containsBlank="1" containsMixedTypes="1" containsNumber="1" containsInteger="1" minValue="0" maxValue="0" count="86">
        <n v="0"/>
        <s v="Per Active Staff Record"/>
        <s v="Per Active Robotic Login Record"/>
        <s v="Per Job Header"/>
        <s v="Per Order"/>
        <s v="Per Gateway Shipment"/>
        <s v="Per Load List (if no container) Per Container"/>
        <s v="Per Consignment"/>
        <s v="Per Container"/>
        <s v="Included"/>
        <s v="Per Vessel Voyage"/>
        <s v="Per Move"/>
        <s v="Per Receipt Header"/>
        <s v="Per Outward Order Header"/>
        <s v="Per Outward Order Line"/>
        <s v="Per Bill Of Material Work Order"/>
        <s v="Per W/H Inwards and Per W/H Withdrawal"/>
        <s v="Per Package Per Warehouses Transitioned Through (Refer to Transit Warehouse Discount)"/>
        <s v="Included (ediTariff)"/>
        <s v="Per Screened Movement/Shipment"/>
        <s v="Per Original Transmission"/>
        <s v="Per Registration (Including First Entry) and Per Additional Entry"/>
        <s v="Per Registration"/>
        <s v="Per Month Per licence"/>
        <s v="Per Registration/First Message"/>
        <s v="Per Landed Cost"/>
        <s v="Per Successful Application"/>
        <s v="Per Movement Registration"/>
        <s v="Per Item (Ecommerce) / Per Entry Number (customs entries)"/>
        <s v="Per Item"/>
        <s v="Per Inbond"/>
        <s v="Per HAWB or MAWB"/>
        <s v="Per HBL or OBL"/>
        <s v="Per HBL or OBL or Container"/>
        <s v="Per Report Message"/>
        <s v="Per PRA/ERA Message"/>
        <s v="Per Slot Request"/>
        <s v="Per Direct MAWB or HAWB"/>
        <s v="Per OBL"/>
        <s v="Per Bill of Lading"/>
        <s v="Per Bill of Lading with DG"/>
        <s v="Per Movement"/>
        <s v="Per Message"/>
        <s v="C - Country"/>
        <s v="Per Query"/>
        <s v="Per outward FWB/FHL/FSR"/>
        <s v="Per Booking/Shipping Instruction Message Sent"/>
        <s v="Per Status Event Received"/>
        <s v="Per Shipment"/>
        <s v="Per Event Received"/>
        <s v="Per LCL Booking (Currently on introductory pricing)"/>
        <s v="Included in Booking/SI"/>
        <s v="Included in FWB/FSR transaction"/>
        <s v="Per Campaign (Free if CargoWise Certification Program requirements are met - refer to MyAccount)"/>
        <s v="Per Email (Free if CargoWise Certification Program requirements are met - refer to MyAccount)"/>
        <s v="Per Opportunity (Free if CargoWise Certification Program requirements are met - refer to MyAccount)"/>
        <s v="Per Event (Free if CargoWise Certification Program requirements are met - refer to MyAccount)"/>
        <s v="Per Attendee (Free if CargoWise Certification Program requirements are met - refer to MyAccount)"/>
        <s v="Per Quotation (Free if CargoWise Certification Program requirements are met - refer to MyAccount)"/>
        <s v="Included in Seat Lic of STL"/>
        <s v="Per Job Vacancy"/>
        <s v="Per Applicant"/>
        <s v="Per Project Item"/>
        <s v="Per Work Item"/>
        <s v="Per Incident"/>
        <s v="Per Fax Page"/>
        <s v="Per Database"/>
        <s v="Per Change Request"/>
        <m u="1"/>
        <s v="Per Main DB" u="1"/>
        <s v="1 GB included / Per Meg Charge applies" u="1"/>
        <s v="Per Package" u="1"/>
        <s v="Per Printer Server Installed" u="1"/>
        <s v="Per Snapshot" u="1"/>
        <s v="Per MB (1GB included)" u="1"/>
        <s v="Per Gateway Job Header (Currently on introductory pricing)" u="1"/>
        <s v="Per Hosted Production Instance" u="1"/>
        <s v="Per Backup Mounted" u="1"/>
        <s v="Per Service / Per Meg Charge applies" u="1"/>
        <s v="Per CPU Core (Included SQL License)" u="1"/>
        <s v="Per Printer Queue Registered" u="1"/>
        <s v="Per 10 GB (free under 1GB)" u="1"/>
        <s v="Per Additional Tape Run" u="1"/>
        <s v="Per Private Line Termination" u="1"/>
        <s v="Per Original lowest level bill of lading (e.g. HBL) Transmission" u="1"/>
        <s v="Per Log Mounted"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m/>
    <m/>
    <s v="BorderWise"/>
    <n v="0"/>
    <x v="0"/>
    <x v="0"/>
    <n v="0"/>
    <x v="0"/>
    <x v="0"/>
    <x v="0"/>
    <s v="BorderWise"/>
    <x v="0"/>
    <x v="0"/>
    <x v="0"/>
    <x v="0"/>
  </r>
  <r>
    <x v="1"/>
    <x v="1"/>
    <m/>
    <m/>
    <s v="  BorderWise Licence AU"/>
    <n v="0"/>
    <x v="0"/>
    <x v="0"/>
    <n v="0"/>
    <x v="0"/>
    <x v="0"/>
    <x v="0"/>
    <s v="BorderWise Licence AU"/>
    <x v="1"/>
    <x v="0"/>
    <x v="1"/>
    <x v="0"/>
  </r>
  <r>
    <x v="2"/>
    <x v="2"/>
    <s v="BOR"/>
    <s v="AUP"/>
    <s v="   Single Window (AU) Partner"/>
    <n v="20.6"/>
    <x v="1"/>
    <x v="1"/>
    <n v="206"/>
    <x v="1"/>
    <x v="1"/>
    <x v="1"/>
    <s v="Single Window (AU) Partner"/>
    <x v="1"/>
    <x v="0"/>
    <x v="0"/>
    <x v="1"/>
  </r>
  <r>
    <x v="2"/>
    <x v="3"/>
    <s v="BOR"/>
    <s v="AUW"/>
    <s v="   Single Window (AU) CW1"/>
    <n v="30.9"/>
    <x v="1"/>
    <x v="1"/>
    <n v="309"/>
    <x v="2"/>
    <x v="2"/>
    <x v="1"/>
    <s v="Single Window (AU) CW1"/>
    <x v="1"/>
    <x v="0"/>
    <x v="0"/>
    <x v="2"/>
  </r>
  <r>
    <x v="2"/>
    <x v="4"/>
    <s v="BOR"/>
    <s v="AUX"/>
    <s v="   Single Window (AU) CW1 + Partner"/>
    <n v="0"/>
    <x v="1"/>
    <x v="1"/>
    <n v="0"/>
    <x v="3"/>
    <x v="3"/>
    <x v="1"/>
    <s v="Single Window (AU) CW1 + Partner"/>
    <x v="1"/>
    <x v="0"/>
    <x v="0"/>
    <x v="3"/>
  </r>
  <r>
    <x v="2"/>
    <x v="5"/>
    <s v="BOR"/>
    <s v="AUS"/>
    <s v="   Single Window (AU) Standalone"/>
    <n v="72.099999999999994"/>
    <x v="1"/>
    <x v="1"/>
    <n v="721"/>
    <x v="4"/>
    <x v="4"/>
    <x v="1"/>
    <s v="Single Window (AU) Standalone"/>
    <x v="1"/>
    <x v="0"/>
    <x v="0"/>
    <x v="4"/>
  </r>
  <r>
    <x v="2"/>
    <x v="6"/>
    <s v="BOR"/>
    <s v="AU3"/>
    <s v="   Pro Pack (AU)"/>
    <n v="30.9"/>
    <x v="1"/>
    <x v="1"/>
    <n v="309"/>
    <x v="2"/>
    <x v="2"/>
    <x v="2"/>
    <s v="Pro Pack (AU)"/>
    <x v="1"/>
    <x v="0"/>
    <x v="0"/>
    <x v="5"/>
  </r>
  <r>
    <x v="1"/>
    <x v="7"/>
    <m/>
    <m/>
    <s v="  BorderWise Licence NZ"/>
    <n v="0"/>
    <x v="0"/>
    <x v="0"/>
    <n v="0"/>
    <x v="0"/>
    <x v="0"/>
    <x v="0"/>
    <s v="BorderWise Licence NZ"/>
    <x v="1"/>
    <x v="0"/>
    <x v="2"/>
    <x v="0"/>
  </r>
  <r>
    <x v="2"/>
    <x v="8"/>
    <s v="BOR"/>
    <s v="NZP"/>
    <s v="   Single Window (NZ) Partner"/>
    <n v="20.6"/>
    <x v="1"/>
    <x v="2"/>
    <n v="206"/>
    <x v="1"/>
    <x v="1"/>
    <x v="1"/>
    <s v="Single Window (NZ) Partner"/>
    <x v="1"/>
    <x v="0"/>
    <x v="0"/>
    <x v="6"/>
  </r>
  <r>
    <x v="2"/>
    <x v="9"/>
    <s v="BOR"/>
    <s v="NZW"/>
    <s v="   Single Window (NZ) CW1"/>
    <n v="30.9"/>
    <x v="1"/>
    <x v="2"/>
    <n v="309"/>
    <x v="2"/>
    <x v="2"/>
    <x v="1"/>
    <s v="Single Window (NZ) CW1"/>
    <x v="1"/>
    <x v="0"/>
    <x v="0"/>
    <x v="7"/>
  </r>
  <r>
    <x v="2"/>
    <x v="10"/>
    <s v="BOR"/>
    <s v="NZX"/>
    <s v="   Single Window (NZ) CW1 + Partner"/>
    <n v="0"/>
    <x v="1"/>
    <x v="2"/>
    <n v="0"/>
    <x v="3"/>
    <x v="3"/>
    <x v="1"/>
    <s v="Single Window (NZ) CW1 + Partner"/>
    <x v="1"/>
    <x v="0"/>
    <x v="0"/>
    <x v="8"/>
  </r>
  <r>
    <x v="2"/>
    <x v="11"/>
    <s v="BOR"/>
    <s v="NZS"/>
    <s v="   Single Window (NZ) Standalone"/>
    <n v="72.099999999999994"/>
    <x v="1"/>
    <x v="2"/>
    <n v="721"/>
    <x v="4"/>
    <x v="4"/>
    <x v="1"/>
    <s v="Single Window (NZ) Standalone"/>
    <x v="1"/>
    <x v="0"/>
    <x v="0"/>
    <x v="9"/>
  </r>
  <r>
    <x v="2"/>
    <x v="12"/>
    <s v="BOR"/>
    <s v="NZ3"/>
    <s v="   Pro Pack (NZ)"/>
    <n v="30.9"/>
    <x v="1"/>
    <x v="2"/>
    <n v="309"/>
    <x v="2"/>
    <x v="2"/>
    <x v="3"/>
    <s v="Pro Pack (NZ)"/>
    <x v="1"/>
    <x v="0"/>
    <x v="0"/>
    <x v="10"/>
  </r>
  <r>
    <x v="1"/>
    <x v="13"/>
    <m/>
    <m/>
    <s v="  BorderWise Licence US"/>
    <n v="0"/>
    <x v="0"/>
    <x v="0"/>
    <n v="0"/>
    <x v="0"/>
    <x v="0"/>
    <x v="0"/>
    <s v="BorderWise Licence US"/>
    <x v="1"/>
    <x v="0"/>
    <x v="3"/>
    <x v="0"/>
  </r>
  <r>
    <x v="2"/>
    <x v="14"/>
    <s v="BOR"/>
    <s v="USP"/>
    <s v="   Single Window (US) Partner"/>
    <n v="20.6"/>
    <x v="1"/>
    <x v="3"/>
    <n v="206"/>
    <x v="1"/>
    <x v="1"/>
    <x v="1"/>
    <s v="Single Window (US) Partner"/>
    <x v="1"/>
    <x v="0"/>
    <x v="0"/>
    <x v="11"/>
  </r>
  <r>
    <x v="2"/>
    <x v="15"/>
    <s v="BOR"/>
    <s v="USW"/>
    <s v="   Single Window (US) CW1"/>
    <n v="30.9"/>
    <x v="1"/>
    <x v="3"/>
    <n v="309"/>
    <x v="2"/>
    <x v="2"/>
    <x v="1"/>
    <s v="Single Window (US) CW1"/>
    <x v="1"/>
    <x v="0"/>
    <x v="0"/>
    <x v="12"/>
  </r>
  <r>
    <x v="2"/>
    <x v="16"/>
    <s v="BOR"/>
    <s v="USX"/>
    <s v="   Single Window (US) CW1 + Partner"/>
    <n v="0"/>
    <x v="1"/>
    <x v="3"/>
    <n v="0"/>
    <x v="3"/>
    <x v="3"/>
    <x v="1"/>
    <s v="Single Window (US) CW1 + Partner"/>
    <x v="1"/>
    <x v="0"/>
    <x v="0"/>
    <x v="13"/>
  </r>
  <r>
    <x v="2"/>
    <x v="17"/>
    <s v="BOR"/>
    <s v="USS"/>
    <s v="   Single Window (US) Standalone"/>
    <n v="72.099999999999994"/>
    <x v="1"/>
    <x v="3"/>
    <n v="721"/>
    <x v="4"/>
    <x v="4"/>
    <x v="1"/>
    <s v="Single Window (US) Standalone"/>
    <x v="1"/>
    <x v="0"/>
    <x v="0"/>
    <x v="14"/>
  </r>
  <r>
    <x v="2"/>
    <x v="18"/>
    <s v="BOR"/>
    <s v="US3"/>
    <s v="   Pro Pack (US)"/>
    <n v="30.9"/>
    <x v="1"/>
    <x v="3"/>
    <n v="309"/>
    <x v="2"/>
    <x v="2"/>
    <x v="4"/>
    <s v="Pro Pack (US)"/>
    <x v="1"/>
    <x v="0"/>
    <x v="0"/>
    <x v="15"/>
  </r>
  <r>
    <x v="1"/>
    <x v="19"/>
    <m/>
    <m/>
    <s v="  BorderWise Licence ZA"/>
    <n v="0"/>
    <x v="0"/>
    <x v="0"/>
    <n v="0"/>
    <x v="0"/>
    <x v="0"/>
    <x v="0"/>
    <s v="BorderWise Licence ZA"/>
    <x v="1"/>
    <x v="0"/>
    <x v="4"/>
    <x v="0"/>
  </r>
  <r>
    <x v="2"/>
    <x v="20"/>
    <s v="BOR"/>
    <s v="ZAP"/>
    <s v="   Single Window (ZA) Partner"/>
    <n v="206"/>
    <x v="1"/>
    <x v="4"/>
    <n v="2060"/>
    <x v="5"/>
    <x v="5"/>
    <x v="1"/>
    <s v="Single Window (ZA) Partner"/>
    <x v="1"/>
    <x v="0"/>
    <x v="0"/>
    <x v="16"/>
  </r>
  <r>
    <x v="2"/>
    <x v="21"/>
    <s v="BOR"/>
    <s v="ZAW"/>
    <s v="   Single Window (ZA) CW1"/>
    <n v="309"/>
    <x v="1"/>
    <x v="4"/>
    <n v="3090"/>
    <x v="6"/>
    <x v="6"/>
    <x v="1"/>
    <s v="Single Window (ZA) CW1"/>
    <x v="1"/>
    <x v="0"/>
    <x v="0"/>
    <x v="17"/>
  </r>
  <r>
    <x v="2"/>
    <x v="22"/>
    <s v="BOR"/>
    <s v="ZAX"/>
    <s v="   Single Window (ZA) CW1 + Partner"/>
    <n v="0"/>
    <x v="1"/>
    <x v="4"/>
    <n v="0"/>
    <x v="3"/>
    <x v="3"/>
    <x v="1"/>
    <s v="Single Window (ZA) CW1 + Partner"/>
    <x v="1"/>
    <x v="0"/>
    <x v="0"/>
    <x v="18"/>
  </r>
  <r>
    <x v="2"/>
    <x v="23"/>
    <s v="BOR"/>
    <s v="ZAS"/>
    <s v="   Single Window (ZA) Standalone"/>
    <n v="721"/>
    <x v="1"/>
    <x v="4"/>
    <n v="7210"/>
    <x v="7"/>
    <x v="7"/>
    <x v="1"/>
    <s v="Single Window (ZA) Standalone"/>
    <x v="1"/>
    <x v="0"/>
    <x v="0"/>
    <x v="19"/>
  </r>
  <r>
    <x v="2"/>
    <x v="24"/>
    <s v="BOR"/>
    <s v="ZA3"/>
    <s v="   Pro Pack (ZA)"/>
    <n v="309"/>
    <x v="1"/>
    <x v="4"/>
    <n v="3090"/>
    <x v="6"/>
    <x v="6"/>
    <x v="5"/>
    <s v="Pro Pack (ZA)"/>
    <x v="1"/>
    <x v="0"/>
    <x v="0"/>
    <x v="20"/>
  </r>
  <r>
    <x v="1"/>
    <x v="25"/>
    <m/>
    <m/>
    <s v="  BorderWise Licence Global"/>
    <n v="0"/>
    <x v="0"/>
    <x v="0"/>
    <n v="0"/>
    <x v="0"/>
    <x v="0"/>
    <x v="0"/>
    <s v="BorderWise Licence Global"/>
    <x v="1"/>
    <x v="0"/>
    <x v="5"/>
    <x v="0"/>
  </r>
  <r>
    <x v="2"/>
    <x v="26"/>
    <s v="BOR"/>
    <s v="BWX"/>
    <s v="   Global Partner and/or CW1"/>
    <n v="72.099999999999994"/>
    <x v="1"/>
    <x v="3"/>
    <n v="721"/>
    <x v="4"/>
    <x v="4"/>
    <x v="1"/>
    <s v="Global Partner and/or CW1"/>
    <x v="1"/>
    <x v="0"/>
    <x v="0"/>
    <x v="21"/>
  </r>
  <r>
    <x v="2"/>
    <x v="27"/>
    <s v="BOR"/>
    <s v="BWS"/>
    <s v="   Global Standalone"/>
    <n v="175.1"/>
    <x v="1"/>
    <x v="3"/>
    <n v="1751"/>
    <x v="8"/>
    <x v="8"/>
    <x v="1"/>
    <s v="Global Standalone"/>
    <x v="1"/>
    <x v="0"/>
    <x v="0"/>
    <x v="22"/>
  </r>
  <r>
    <x v="2"/>
    <x v="28"/>
    <s v="BOR"/>
    <s v="BW3"/>
    <s v="   Pro Pack (Global)"/>
    <n v="30.9"/>
    <x v="1"/>
    <x v="3"/>
    <n v="309"/>
    <x v="2"/>
    <x v="2"/>
    <x v="6"/>
    <s v="Pro Pack (Global)"/>
    <x v="1"/>
    <x v="0"/>
    <x v="0"/>
    <x v="23"/>
  </r>
  <r>
    <x v="1"/>
    <x v="29"/>
    <m/>
    <m/>
    <s v="  BorderWise Free Trial Licence"/>
    <n v="0"/>
    <x v="1"/>
    <x v="0"/>
    <n v="0"/>
    <x v="0"/>
    <x v="0"/>
    <x v="0"/>
    <s v="BorderWise Free Trial Licence"/>
    <x v="1"/>
    <x v="0"/>
    <x v="6"/>
    <x v="0"/>
  </r>
  <r>
    <x v="2"/>
    <x v="30"/>
    <s v="BOR"/>
    <s v="BF1"/>
    <s v="   Free Trial Access"/>
    <n v="0"/>
    <x v="1"/>
    <x v="0"/>
    <n v="0"/>
    <x v="3"/>
    <x v="3"/>
    <x v="1"/>
    <s v="Free Trial Access"/>
    <x v="1"/>
    <x v="0"/>
    <x v="0"/>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x v="0"/>
    <x v="0"/>
    <m/>
    <m/>
    <x v="0"/>
    <x v="0"/>
    <x v="0"/>
    <n v="0"/>
    <m/>
    <s v="STL"/>
    <n v="0"/>
    <s v="Y"/>
    <x v="0"/>
    <x v="0"/>
    <n v="1"/>
    <n v="1"/>
    <n v="1"/>
    <x v="0"/>
    <s v=""/>
    <s v="User Access"/>
    <x v="0"/>
    <x v="0"/>
    <x v="0"/>
    <x v="0"/>
    <x v="0"/>
  </r>
  <r>
    <x v="1"/>
    <x v="1"/>
    <s v="STL"/>
    <s v="USR"/>
    <x v="1"/>
    <x v="1"/>
    <x v="0"/>
    <n v="54.63635"/>
    <s v="Per Active Staff Record"/>
    <s v="STL"/>
    <n v="546.36350000000004"/>
    <s v="Y"/>
    <x v="1"/>
    <x v="1"/>
    <n v="1"/>
    <n v="1"/>
    <n v="1"/>
    <x v="1"/>
    <s v="P"/>
    <s v="Per Active (Registered) User"/>
    <x v="1"/>
    <x v="1"/>
    <x v="0"/>
    <x v="0"/>
    <x v="1"/>
  </r>
  <r>
    <x v="1"/>
    <x v="2"/>
    <s v="STL"/>
    <s v="RBU"/>
    <x v="2"/>
    <x v="0"/>
    <x v="0"/>
    <n v="573.68167500000004"/>
    <s v="Per Active Robotic Login Record"/>
    <s v="21.07"/>
    <n v="5736.81675"/>
    <s v="Y"/>
    <x v="2"/>
    <x v="2"/>
    <n v="1"/>
    <n v="1"/>
    <n v="1"/>
    <x v="2"/>
    <s v=""/>
    <s v="Per Active (Registered) Robotic Login"/>
    <x v="1"/>
    <x v="2"/>
    <x v="0"/>
    <x v="0"/>
    <x v="2"/>
  </r>
  <r>
    <x v="0"/>
    <x v="3"/>
    <m/>
    <m/>
    <x v="3"/>
    <x v="0"/>
    <x v="0"/>
    <n v="0"/>
    <m/>
    <s v="STL"/>
    <n v="0"/>
    <s v="Y"/>
    <x v="0"/>
    <x v="0"/>
    <n v="1"/>
    <n v="1"/>
    <n v="1"/>
    <x v="0"/>
    <s v=""/>
    <s v="Logistics and Supply Chain"/>
    <x v="2"/>
    <x v="0"/>
    <x v="0"/>
    <x v="0"/>
    <x v="0"/>
  </r>
  <r>
    <x v="1"/>
    <x v="4"/>
    <m/>
    <m/>
    <x v="4"/>
    <x v="1"/>
    <x v="0"/>
    <n v="0"/>
    <m/>
    <s v="STL"/>
    <n v="0"/>
    <s v="Y"/>
    <x v="0"/>
    <x v="0"/>
    <n v="1"/>
    <n v="1"/>
    <n v="1"/>
    <x v="0"/>
    <s v="P"/>
    <s v="Forwarder"/>
    <x v="1"/>
    <x v="3"/>
    <x v="0"/>
    <x v="0"/>
    <x v="0"/>
  </r>
  <r>
    <x v="2"/>
    <x v="5"/>
    <m/>
    <m/>
    <x v="5"/>
    <x v="1"/>
    <x v="0"/>
    <n v="0"/>
    <m/>
    <s v="STL"/>
    <n v="0"/>
    <s v="Y"/>
    <x v="0"/>
    <x v="0"/>
    <n v="1"/>
    <n v="1"/>
    <n v="1"/>
    <x v="0"/>
    <s v="P"/>
    <s v="General Forwarding Engine"/>
    <x v="1"/>
    <x v="0"/>
    <x v="1"/>
    <x v="0"/>
    <x v="0"/>
  </r>
  <r>
    <x v="3"/>
    <x v="6"/>
    <s v="STL"/>
    <s v="SHP"/>
    <x v="6"/>
    <x v="2"/>
    <x v="0"/>
    <n v="2.65225"/>
    <s v="Per Job Header"/>
    <s v="STL"/>
    <n v="26.522500000000001"/>
    <s v="Y"/>
    <x v="3"/>
    <x v="3"/>
    <n v="1"/>
    <n v="1"/>
    <n v="1"/>
    <x v="3"/>
    <s v="O"/>
    <s v="Shipment and/or Booking _x000d__x000a_ Include Consol, Spot Quotes, Air/Sea Schedules, Address Cleansing &amp; Geocoding, Denied Party Screening* (*External Services)"/>
    <x v="1"/>
    <x v="0"/>
    <x v="0"/>
    <x v="1"/>
    <x v="3"/>
  </r>
  <r>
    <x v="3"/>
    <x v="7"/>
    <s v="STL"/>
    <s v="ORM"/>
    <x v="7"/>
    <x v="2"/>
    <x v="0"/>
    <n v="2.294727"/>
    <s v="Per Order"/>
    <s v="STL"/>
    <n v="22.94727"/>
    <s v="Y"/>
    <x v="4"/>
    <x v="4"/>
    <n v="1"/>
    <n v="1"/>
    <n v="1"/>
    <x v="4"/>
    <s v="O"/>
    <s v="Order Manager"/>
    <x v="1"/>
    <x v="0"/>
    <x v="0"/>
    <x v="2"/>
    <x v="4"/>
  </r>
  <r>
    <x v="3"/>
    <x v="8"/>
    <s v="STL"/>
    <s v="GSH"/>
    <x v="8"/>
    <x v="0"/>
    <x v="0"/>
    <n v="0.5"/>
    <s v="Per Gateway Shipment"/>
    <s v="22.01"/>
    <n v="5"/>
    <s v="Y"/>
    <x v="5"/>
    <x v="5"/>
    <n v="1"/>
    <n v="1"/>
    <n v="1"/>
    <x v="5"/>
    <s v=""/>
    <s v="Gateway Billing"/>
    <x v="1"/>
    <x v="0"/>
    <x v="0"/>
    <x v="3"/>
    <x v="5"/>
  </r>
  <r>
    <x v="1"/>
    <x v="9"/>
    <m/>
    <m/>
    <x v="9"/>
    <x v="0"/>
    <x v="0"/>
    <n v="0"/>
    <m/>
    <s v="STL"/>
    <n v="0"/>
    <s v="Y"/>
    <x v="0"/>
    <x v="0"/>
    <n v="1"/>
    <n v="1"/>
    <n v="1"/>
    <x v="0"/>
    <s v=""/>
    <s v="CFS/Freight Shed Manager"/>
    <x v="1"/>
    <x v="4"/>
    <x v="0"/>
    <x v="0"/>
    <x v="0"/>
  </r>
  <r>
    <x v="2"/>
    <x v="10"/>
    <m/>
    <m/>
    <x v="10"/>
    <x v="0"/>
    <x v="0"/>
    <n v="0"/>
    <m/>
    <s v="STL"/>
    <n v="0"/>
    <s v="Y"/>
    <x v="0"/>
    <x v="0"/>
    <n v="1"/>
    <n v="1"/>
    <n v="1"/>
    <x v="0"/>
    <s v=""/>
    <s v="Container Freight Station / Air Freight Shed"/>
    <x v="1"/>
    <x v="0"/>
    <x v="2"/>
    <x v="0"/>
    <x v="0"/>
  </r>
  <r>
    <x v="3"/>
    <x v="11"/>
    <s v="STL"/>
    <s v="CFC"/>
    <x v="11"/>
    <x v="0"/>
    <x v="0"/>
    <n v="3.4420899999999999"/>
    <s v="Per Load List (if no container) Per Container"/>
    <s v="STL"/>
    <n v="34.420900000000003"/>
    <s v="Y"/>
    <x v="6"/>
    <x v="6"/>
    <n v="1"/>
    <n v="1"/>
    <n v="1"/>
    <x v="6"/>
    <s v=""/>
    <s v="Container Packing (Packing Tab in Forwarding/Consol or CFS Load List)"/>
    <x v="1"/>
    <x v="0"/>
    <x v="0"/>
    <x v="4"/>
    <x v="6"/>
  </r>
  <r>
    <x v="3"/>
    <x v="12"/>
    <s v="STL"/>
    <s v="CFP"/>
    <x v="12"/>
    <x v="0"/>
    <x v="0"/>
    <n v="0.57368200000000003"/>
    <s v="Per Consignment"/>
    <s v="STL"/>
    <n v="5.7368199999999998"/>
    <s v="Y"/>
    <x v="7"/>
    <x v="7"/>
    <n v="1"/>
    <n v="1"/>
    <n v="1"/>
    <x v="7"/>
    <s v=""/>
    <s v="Shipment Management"/>
    <x v="1"/>
    <x v="0"/>
    <x v="0"/>
    <x v="5"/>
    <x v="7"/>
  </r>
  <r>
    <x v="3"/>
    <x v="13"/>
    <s v="STL"/>
    <s v="CFM"/>
    <x v="13"/>
    <x v="0"/>
    <x v="0"/>
    <n v="1.7210449999999999"/>
    <s v="Per Job Header"/>
    <s v="STL"/>
    <n v="17.210450000000002"/>
    <s v="Y"/>
    <x v="8"/>
    <x v="8"/>
    <n v="1"/>
    <n v="1"/>
    <n v="1"/>
    <x v="8"/>
    <s v=""/>
    <s v="Container Storage Management"/>
    <x v="1"/>
    <x v="0"/>
    <x v="0"/>
    <x v="6"/>
    <x v="3"/>
  </r>
  <r>
    <x v="1"/>
    <x v="14"/>
    <m/>
    <m/>
    <x v="14"/>
    <x v="0"/>
    <x v="0"/>
    <n v="0"/>
    <m/>
    <s v="STL"/>
    <n v="0"/>
    <s v="Y"/>
    <x v="0"/>
    <x v="0"/>
    <n v="1"/>
    <n v="1"/>
    <n v="1"/>
    <x v="0"/>
    <s v=""/>
    <s v="Liner and Agency"/>
    <x v="1"/>
    <x v="5"/>
    <x v="0"/>
    <x v="0"/>
    <x v="0"/>
  </r>
  <r>
    <x v="2"/>
    <x v="15"/>
    <m/>
    <m/>
    <x v="15"/>
    <x v="0"/>
    <x v="0"/>
    <n v="0"/>
    <m/>
    <s v="STL"/>
    <n v="0"/>
    <s v="Y"/>
    <x v="0"/>
    <x v="0"/>
    <n v="1"/>
    <n v="1"/>
    <n v="1"/>
    <x v="0"/>
    <s v=""/>
    <s v="General Liner/Ships Agent Engine"/>
    <x v="1"/>
    <x v="0"/>
    <x v="3"/>
    <x v="0"/>
    <x v="0"/>
  </r>
  <r>
    <x v="3"/>
    <x v="16"/>
    <s v="STL"/>
    <s v="BOL"/>
    <x v="16"/>
    <x v="0"/>
    <x v="0"/>
    <n v="3.4420899999999999"/>
    <s v="Per Job Header"/>
    <s v="STL"/>
    <n v="34.420900000000003"/>
    <s v="Y"/>
    <x v="6"/>
    <x v="6"/>
    <n v="1"/>
    <n v="1"/>
    <n v="1"/>
    <x v="6"/>
    <s v=""/>
    <s v="Booking/Bill of Lading"/>
    <x v="1"/>
    <x v="0"/>
    <x v="0"/>
    <x v="7"/>
    <x v="3"/>
  </r>
  <r>
    <x v="3"/>
    <x v="17"/>
    <m/>
    <m/>
    <x v="17"/>
    <x v="0"/>
    <x v="0"/>
    <n v="0"/>
    <s v="Per Container"/>
    <s v="STL"/>
    <n v="0"/>
    <s v="Y"/>
    <x v="0"/>
    <x v="0"/>
    <n v="1"/>
    <n v="1"/>
    <n v="1"/>
    <x v="0"/>
    <s v=""/>
    <s v="Container Manager"/>
    <x v="1"/>
    <x v="0"/>
    <x v="0"/>
    <x v="8"/>
    <x v="8"/>
  </r>
  <r>
    <x v="3"/>
    <x v="18"/>
    <s v="STL"/>
    <s v="CDT"/>
    <x v="18"/>
    <x v="0"/>
    <x v="0"/>
    <n v="0"/>
    <s v="Included"/>
    <s v="STL"/>
    <n v="0"/>
    <s v="Y"/>
    <x v="0"/>
    <x v="0"/>
    <n v="1"/>
    <n v="1"/>
    <n v="1"/>
    <x v="0"/>
    <s v=""/>
    <s v="Container Detention"/>
    <x v="1"/>
    <x v="0"/>
    <x v="0"/>
    <x v="9"/>
    <x v="9"/>
  </r>
  <r>
    <x v="2"/>
    <x v="19"/>
    <m/>
    <m/>
    <x v="19"/>
    <x v="0"/>
    <x v="0"/>
    <n v="0"/>
    <m/>
    <s v="STL"/>
    <n v="0"/>
    <s v="Y"/>
    <x v="0"/>
    <x v="0"/>
    <n v="1"/>
    <n v="1"/>
    <n v="1"/>
    <x v="0"/>
    <s v=""/>
    <s v="Tramp Liner"/>
    <x v="1"/>
    <x v="0"/>
    <x v="4"/>
    <x v="0"/>
    <x v="0"/>
  </r>
  <r>
    <x v="3"/>
    <x v="20"/>
    <m/>
    <m/>
    <x v="20"/>
    <x v="0"/>
    <x v="0"/>
    <n v="114.736335"/>
    <s v="Per Vessel Voyage"/>
    <s v="STL"/>
    <n v="1147.3633500000001"/>
    <s v="Y"/>
    <x v="9"/>
    <x v="9"/>
    <n v="1"/>
    <n v="1"/>
    <n v="1"/>
    <x v="9"/>
    <s v=""/>
    <s v="Tramp Shipping Functions"/>
    <x v="1"/>
    <x v="0"/>
    <x v="0"/>
    <x v="10"/>
    <x v="10"/>
  </r>
  <r>
    <x v="2"/>
    <x v="21"/>
    <m/>
    <m/>
    <x v="21"/>
    <x v="0"/>
    <x v="0"/>
    <n v="0"/>
    <m/>
    <s v="STL"/>
    <n v="0"/>
    <s v="Y"/>
    <x v="0"/>
    <x v="0"/>
    <n v="1"/>
    <n v="1"/>
    <n v="1"/>
    <x v="0"/>
    <s v=""/>
    <s v="Principal Accounting"/>
    <x v="1"/>
    <x v="0"/>
    <x v="5"/>
    <x v="0"/>
    <x v="0"/>
  </r>
  <r>
    <x v="3"/>
    <x v="22"/>
    <m/>
    <m/>
    <x v="22"/>
    <x v="0"/>
    <x v="0"/>
    <n v="0"/>
    <s v="Included"/>
    <s v="STL"/>
    <n v="0"/>
    <s v="Y"/>
    <x v="0"/>
    <x v="0"/>
    <n v="1"/>
    <n v="1"/>
    <n v="1"/>
    <x v="0"/>
    <s v=""/>
    <s v="Voyage Accounting"/>
    <x v="1"/>
    <x v="0"/>
    <x v="0"/>
    <x v="11"/>
    <x v="9"/>
  </r>
  <r>
    <x v="3"/>
    <x v="23"/>
    <m/>
    <m/>
    <x v="23"/>
    <x v="0"/>
    <x v="0"/>
    <n v="0"/>
    <s v="Included"/>
    <s v="STL"/>
    <n v="0"/>
    <s v="Y"/>
    <x v="0"/>
    <x v="0"/>
    <n v="1"/>
    <n v="1"/>
    <n v="1"/>
    <x v="0"/>
    <s v=""/>
    <s v="Sundry Charges"/>
    <x v="1"/>
    <x v="0"/>
    <x v="0"/>
    <x v="12"/>
    <x v="9"/>
  </r>
  <r>
    <x v="1"/>
    <x v="24"/>
    <m/>
    <m/>
    <x v="24"/>
    <x v="0"/>
    <x v="0"/>
    <n v="0"/>
    <m/>
    <s v="STL"/>
    <n v="0"/>
    <s v="Y"/>
    <x v="0"/>
    <x v="0"/>
    <n v="1"/>
    <n v="1"/>
    <n v="1"/>
    <x v="0"/>
    <s v=""/>
    <s v="Land Transport (Road / Rail)"/>
    <x v="1"/>
    <x v="6"/>
    <x v="0"/>
    <x v="0"/>
    <x v="0"/>
  </r>
  <r>
    <x v="2"/>
    <x v="25"/>
    <m/>
    <m/>
    <x v="25"/>
    <x v="0"/>
    <x v="0"/>
    <n v="0"/>
    <m/>
    <s v="STL"/>
    <n v="0"/>
    <s v="Y"/>
    <x v="0"/>
    <x v="0"/>
    <n v="1"/>
    <n v="1"/>
    <n v="1"/>
    <x v="0"/>
    <s v=""/>
    <s v="Land Transport System"/>
    <x v="1"/>
    <x v="0"/>
    <x v="6"/>
    <x v="0"/>
    <x v="0"/>
  </r>
  <r>
    <x v="3"/>
    <x v="26"/>
    <s v="STL"/>
    <s v="LTM"/>
    <x v="26"/>
    <x v="0"/>
    <x v="0"/>
    <n v="1.1473629999999999"/>
    <s v="Per Consignment"/>
    <s v="STL"/>
    <n v="11.47363"/>
    <s v="Y"/>
    <x v="10"/>
    <x v="10"/>
    <n v="1"/>
    <n v="1"/>
    <n v="1"/>
    <x v="10"/>
    <s v=""/>
    <s v="LTL/General Freight (PUD + Line Haul)"/>
    <x v="1"/>
    <x v="0"/>
    <x v="0"/>
    <x v="13"/>
    <x v="7"/>
  </r>
  <r>
    <x v="3"/>
    <x v="27"/>
    <m/>
    <m/>
    <x v="27"/>
    <x v="0"/>
    <x v="0"/>
    <n v="4.5894529999999998"/>
    <s v="Per Move"/>
    <s v="STL"/>
    <n v="45.894530000000003"/>
    <s v="Y"/>
    <x v="11"/>
    <x v="11"/>
    <n v="1"/>
    <n v="1"/>
    <n v="1"/>
    <x v="11"/>
    <s v=""/>
    <s v="FTL/Bulk/Liquid/Livestock (Point to Point/Direct Move)"/>
    <x v="1"/>
    <x v="0"/>
    <x v="0"/>
    <x v="14"/>
    <x v="11"/>
  </r>
  <r>
    <x v="3"/>
    <x v="28"/>
    <s v="STL"/>
    <s v="PTC"/>
    <x v="28"/>
    <x v="0"/>
    <x v="0"/>
    <n v="2.294727"/>
    <s v="Per Container"/>
    <s v="STL"/>
    <n v="22.94727"/>
    <s v="Y"/>
    <x v="4"/>
    <x v="4"/>
    <n v="1"/>
    <n v="1"/>
    <n v="1"/>
    <x v="4"/>
    <s v=""/>
    <s v="Containerized Moves (Port/Door/CY, CY/Door/Port)"/>
    <x v="1"/>
    <x v="0"/>
    <x v="0"/>
    <x v="15"/>
    <x v="8"/>
  </r>
  <r>
    <x v="1"/>
    <x v="29"/>
    <m/>
    <m/>
    <x v="29"/>
    <x v="0"/>
    <x v="0"/>
    <n v="0"/>
    <m/>
    <s v="STL"/>
    <n v="0"/>
    <s v="Y"/>
    <x v="0"/>
    <x v="0"/>
    <n v="1"/>
    <n v="1"/>
    <n v="1"/>
    <x v="0"/>
    <s v=""/>
    <s v="Warehouse Manager"/>
    <x v="1"/>
    <x v="7"/>
    <x v="0"/>
    <x v="0"/>
    <x v="0"/>
  </r>
  <r>
    <x v="2"/>
    <x v="30"/>
    <m/>
    <m/>
    <x v="30"/>
    <x v="0"/>
    <x v="0"/>
    <n v="0"/>
    <m/>
    <s v="STL"/>
    <n v="0"/>
    <s v="Y"/>
    <x v="0"/>
    <x v="0"/>
    <n v="1"/>
    <n v="1"/>
    <n v="1"/>
    <x v="0"/>
    <s v=""/>
    <s v="Contract Warehouse Functions(Warehouse including 3PL, 4PL)"/>
    <x v="1"/>
    <x v="0"/>
    <x v="7"/>
    <x v="0"/>
    <x v="0"/>
  </r>
  <r>
    <x v="3"/>
    <x v="31"/>
    <s v="STL"/>
    <s v="WIN"/>
    <x v="31"/>
    <x v="0"/>
    <x v="0"/>
    <n v="3.4420899999999999"/>
    <s v="Per Receipt Header"/>
    <s v="STL"/>
    <n v="34.420900000000003"/>
    <s v="Y"/>
    <x v="6"/>
    <x v="6"/>
    <n v="1"/>
    <n v="1"/>
    <n v="1"/>
    <x v="6"/>
    <s v=""/>
    <s v="Receipt Header"/>
    <x v="1"/>
    <x v="0"/>
    <x v="0"/>
    <x v="16"/>
    <x v="12"/>
  </r>
  <r>
    <x v="3"/>
    <x v="32"/>
    <s v="STL"/>
    <s v="WOD"/>
    <x v="32"/>
    <x v="0"/>
    <x v="0"/>
    <n v="1.1473629999999999"/>
    <s v="Per Outward Order Header"/>
    <s v="STL"/>
    <n v="11.47363"/>
    <s v="Y"/>
    <x v="10"/>
    <x v="10"/>
    <n v="1"/>
    <n v="1"/>
    <n v="1"/>
    <x v="10"/>
    <s v=""/>
    <s v="Outward Order Header"/>
    <x v="1"/>
    <x v="0"/>
    <x v="0"/>
    <x v="17"/>
    <x v="13"/>
  </r>
  <r>
    <x v="3"/>
    <x v="33"/>
    <s v="STL"/>
    <s v="WOL"/>
    <x v="33"/>
    <x v="0"/>
    <x v="0"/>
    <n v="0.17210500000000001"/>
    <s v="Per Outward Order Line"/>
    <s v="STL"/>
    <n v="1.72105"/>
    <s v="Y"/>
    <x v="12"/>
    <x v="12"/>
    <n v="1"/>
    <n v="1"/>
    <n v="1"/>
    <x v="12"/>
    <s v=""/>
    <s v="Outward Order Line"/>
    <x v="1"/>
    <x v="0"/>
    <x v="0"/>
    <x v="18"/>
    <x v="14"/>
  </r>
  <r>
    <x v="3"/>
    <x v="34"/>
    <s v="STL"/>
    <s v="WOD"/>
    <x v="34"/>
    <x v="0"/>
    <x v="0"/>
    <n v="0.86052300000000004"/>
    <s v="Per Outward Order Header"/>
    <s v="STL"/>
    <n v="8.6052300000000006"/>
    <s v="Y"/>
    <x v="13"/>
    <x v="13"/>
    <n v="1"/>
    <n v="1"/>
    <n v="1"/>
    <x v="13"/>
    <s v=""/>
    <s v="Outward Order Header (Greater Than 1,000 Orders)"/>
    <x v="1"/>
    <x v="0"/>
    <x v="0"/>
    <x v="19"/>
    <x v="13"/>
  </r>
  <r>
    <x v="3"/>
    <x v="35"/>
    <s v="STL"/>
    <s v="WOL"/>
    <x v="33"/>
    <x v="0"/>
    <x v="0"/>
    <n v="0.114736"/>
    <s v="Per Outward Order Line"/>
    <s v="STL"/>
    <n v="1.1473599999999999"/>
    <s v="Y"/>
    <x v="14"/>
    <x v="14"/>
    <n v="1"/>
    <n v="1"/>
    <n v="1"/>
    <x v="14"/>
    <s v=""/>
    <s v="Outward Order Line"/>
    <x v="1"/>
    <x v="0"/>
    <x v="0"/>
    <x v="18"/>
    <x v="14"/>
  </r>
  <r>
    <x v="3"/>
    <x v="36"/>
    <s v="STL"/>
    <s v="WOD"/>
    <x v="35"/>
    <x v="0"/>
    <x v="0"/>
    <n v="0.57368200000000003"/>
    <s v="Per Outward Order Header"/>
    <s v="STL"/>
    <n v="5.7368199999999998"/>
    <s v="Y"/>
    <x v="7"/>
    <x v="7"/>
    <n v="1"/>
    <n v="1"/>
    <n v="1"/>
    <x v="7"/>
    <s v=""/>
    <s v="Outward Order Header (Greater Than 5,000 Orders)"/>
    <x v="1"/>
    <x v="0"/>
    <x v="0"/>
    <x v="20"/>
    <x v="13"/>
  </r>
  <r>
    <x v="3"/>
    <x v="37"/>
    <s v="STL"/>
    <s v="WOL"/>
    <x v="33"/>
    <x v="0"/>
    <x v="0"/>
    <n v="5.7368000000000002E-2"/>
    <s v="Per Outward Order Line"/>
    <s v="STL"/>
    <n v="0.57367999999999997"/>
    <s v="Y"/>
    <x v="15"/>
    <x v="15"/>
    <n v="1"/>
    <n v="1"/>
    <n v="1"/>
    <x v="15"/>
    <s v=""/>
    <s v="Outward Order Line"/>
    <x v="1"/>
    <x v="0"/>
    <x v="0"/>
    <x v="18"/>
    <x v="14"/>
  </r>
  <r>
    <x v="3"/>
    <x v="38"/>
    <s v="STL"/>
    <s v="WOD"/>
    <x v="36"/>
    <x v="0"/>
    <x v="0"/>
    <n v="0.22947300000000001"/>
    <s v="Per Outward Order Header"/>
    <s v="STL"/>
    <n v="2.2947299999999999"/>
    <s v="Y"/>
    <x v="16"/>
    <x v="16"/>
    <n v="1"/>
    <n v="1"/>
    <n v="1"/>
    <x v="16"/>
    <s v=""/>
    <s v="Outward Order Header (Greater Than 20,000 Orders)"/>
    <x v="1"/>
    <x v="0"/>
    <x v="0"/>
    <x v="21"/>
    <x v="13"/>
  </r>
  <r>
    <x v="3"/>
    <x v="39"/>
    <s v="STL"/>
    <s v="WOL"/>
    <x v="33"/>
    <x v="0"/>
    <x v="0"/>
    <n v="2.2946999999999999E-2"/>
    <s v="Per Outward Order Line"/>
    <s v="STL"/>
    <n v="0.22947000000000001"/>
    <s v="Y"/>
    <x v="17"/>
    <x v="17"/>
    <n v="1"/>
    <n v="1"/>
    <n v="1"/>
    <x v="17"/>
    <s v=""/>
    <s v="Outward Order Line"/>
    <x v="1"/>
    <x v="0"/>
    <x v="0"/>
    <x v="18"/>
    <x v="14"/>
  </r>
  <r>
    <x v="3"/>
    <x v="40"/>
    <s v="STL"/>
    <s v="WBM"/>
    <x v="37"/>
    <x v="0"/>
    <x v="0"/>
    <n v="3.4420899999999999"/>
    <s v="Per Bill Of Material Work Order"/>
    <s v="STL"/>
    <n v="34.420900000000003"/>
    <s v="Y"/>
    <x v="6"/>
    <x v="6"/>
    <n v="1"/>
    <n v="1"/>
    <n v="1"/>
    <x v="6"/>
    <s v=""/>
    <s v="Bill Of Material / Value Added Services Work Orders"/>
    <x v="1"/>
    <x v="0"/>
    <x v="0"/>
    <x v="22"/>
    <x v="15"/>
  </r>
  <r>
    <x v="1"/>
    <x v="41"/>
    <m/>
    <m/>
    <x v="38"/>
    <x v="0"/>
    <x v="0"/>
    <n v="0"/>
    <m/>
    <s v="STL"/>
    <n v="0"/>
    <s v="Y"/>
    <x v="0"/>
    <x v="0"/>
    <n v="1"/>
    <n v="1"/>
    <n v="1"/>
    <x v="0"/>
    <s v=""/>
    <s v="Integrated Warehouse / Inventory Management - Long Term Bond / FTZ"/>
    <x v="1"/>
    <x v="8"/>
    <x v="0"/>
    <x v="0"/>
    <x v="0"/>
  </r>
  <r>
    <x v="3"/>
    <x v="42"/>
    <s v="STL"/>
    <s v="W4P"/>
    <x v="39"/>
    <x v="0"/>
    <x v="0"/>
    <n v="6.8841799999999997"/>
    <s v="Per W/H Inwards and Per W/H Withdrawal"/>
    <s v="STL"/>
    <n v="68.841800000000006"/>
    <s v="Y"/>
    <x v="18"/>
    <x v="18"/>
    <n v="1"/>
    <n v="1"/>
    <n v="1"/>
    <x v="18"/>
    <s v=""/>
    <s v="W/H Receipt and W/H Withdrawal"/>
    <x v="1"/>
    <x v="0"/>
    <x v="0"/>
    <x v="23"/>
    <x v="16"/>
  </r>
  <r>
    <x v="1"/>
    <x v="43"/>
    <m/>
    <m/>
    <x v="40"/>
    <x v="0"/>
    <x v="0"/>
    <n v="0"/>
    <m/>
    <s v="STL"/>
    <n v="0"/>
    <s v="Y"/>
    <x v="0"/>
    <x v="0"/>
    <n v="1"/>
    <n v="1"/>
    <n v="1"/>
    <x v="0"/>
    <s v=""/>
    <s v="Transit Warehouse"/>
    <x v="1"/>
    <x v="9"/>
    <x v="0"/>
    <x v="0"/>
    <x v="0"/>
  </r>
  <r>
    <x v="3"/>
    <x v="44"/>
    <s v="STL"/>
    <s v="WTP"/>
    <x v="41"/>
    <x v="0"/>
    <x v="0"/>
    <n v="0.18540000000000001"/>
    <s v="Per Package Per Warehouses Transitioned Through (Refer to Transit Warehouse Discount)"/>
    <s v="STL"/>
    <n v="1.8540000000000001"/>
    <s v="Y"/>
    <x v="19"/>
    <x v="19"/>
    <n v="1"/>
    <n v="1"/>
    <n v="1"/>
    <x v="19"/>
    <s v=""/>
    <s v="Less than or equal to 50,000"/>
    <x v="1"/>
    <x v="0"/>
    <x v="0"/>
    <x v="24"/>
    <x v="17"/>
  </r>
  <r>
    <x v="3"/>
    <x v="45"/>
    <s v="STL"/>
    <s v="WTP"/>
    <x v="42"/>
    <x v="0"/>
    <x v="0"/>
    <n v="0.1545"/>
    <s v="Per Package Per Warehouses Transitioned Through (Refer to Transit Warehouse Discount)"/>
    <s v="STL"/>
    <n v="1.5449999999999999"/>
    <s v="Y"/>
    <x v="20"/>
    <x v="20"/>
    <n v="1"/>
    <n v="1"/>
    <n v="1"/>
    <x v="20"/>
    <s v=""/>
    <s v="Greater than 50,000"/>
    <x v="1"/>
    <x v="0"/>
    <x v="0"/>
    <x v="25"/>
    <x v="17"/>
  </r>
  <r>
    <x v="3"/>
    <x v="46"/>
    <s v="STL"/>
    <s v="WTP"/>
    <x v="43"/>
    <x v="0"/>
    <x v="0"/>
    <n v="9.2700000000000005E-2"/>
    <s v="Per Package Per Warehouses Transitioned Through (Refer to Transit Warehouse Discount)"/>
    <s v="STL"/>
    <n v="0.92700000000000005"/>
    <s v="Y"/>
    <x v="21"/>
    <x v="21"/>
    <n v="1"/>
    <n v="1"/>
    <n v="1"/>
    <x v="21"/>
    <s v=""/>
    <s v="Greater than 100,000"/>
    <x v="1"/>
    <x v="0"/>
    <x v="0"/>
    <x v="26"/>
    <x v="17"/>
  </r>
  <r>
    <x v="3"/>
    <x v="47"/>
    <s v="STL"/>
    <s v="WTP"/>
    <x v="44"/>
    <x v="0"/>
    <x v="0"/>
    <n v="7.2099999999999997E-2"/>
    <s v="Per Package Per Warehouses Transitioned Through (Refer to Transit Warehouse Discount)"/>
    <s v="STL"/>
    <n v="0.72099999999999997"/>
    <s v="Y"/>
    <x v="22"/>
    <x v="22"/>
    <n v="1"/>
    <n v="1"/>
    <n v="1"/>
    <x v="22"/>
    <s v=""/>
    <s v="Greater than 250,000"/>
    <x v="1"/>
    <x v="0"/>
    <x v="0"/>
    <x v="27"/>
    <x v="17"/>
  </r>
  <r>
    <x v="0"/>
    <x v="48"/>
    <m/>
    <m/>
    <x v="45"/>
    <x v="0"/>
    <x v="0"/>
    <n v="0"/>
    <m/>
    <s v="STL"/>
    <n v="0"/>
    <s v="Y"/>
    <x v="0"/>
    <x v="0"/>
    <n v="1"/>
    <n v="1"/>
    <n v="1"/>
    <x v="0"/>
    <s v=""/>
    <s v="Customs &amp; Country Specific Integrations"/>
    <x v="3"/>
    <x v="0"/>
    <x v="0"/>
    <x v="0"/>
    <x v="0"/>
  </r>
  <r>
    <x v="1"/>
    <x v="49"/>
    <m/>
    <m/>
    <x v="46"/>
    <x v="0"/>
    <x v="0"/>
    <n v="0"/>
    <m/>
    <s v="STL"/>
    <n v="0"/>
    <s v="Y"/>
    <x v="0"/>
    <x v="0"/>
    <n v="1"/>
    <n v="1"/>
    <n v="1"/>
    <x v="0"/>
    <s v=""/>
    <s v="Customs and Other Government Research Tools"/>
    <x v="1"/>
    <x v="10"/>
    <x v="0"/>
    <x v="0"/>
    <x v="0"/>
  </r>
  <r>
    <x v="2"/>
    <x v="50"/>
    <m/>
    <m/>
    <x v="47"/>
    <x v="0"/>
    <x v="0"/>
    <n v="0"/>
    <m/>
    <s v="STL"/>
    <n v="0"/>
    <s v="Y"/>
    <x v="0"/>
    <x v="0"/>
    <n v="1"/>
    <n v="1"/>
    <n v="1"/>
    <x v="0"/>
    <s v=""/>
    <s v="Global Compliance"/>
    <x v="1"/>
    <x v="0"/>
    <x v="8"/>
    <x v="0"/>
    <x v="0"/>
  </r>
  <r>
    <x v="3"/>
    <x v="51"/>
    <m/>
    <m/>
    <x v="48"/>
    <x v="0"/>
    <x v="0"/>
    <n v="0"/>
    <s v="Included (ediTariff)"/>
    <s v="STL"/>
    <n v="0"/>
    <s v="Y"/>
    <x v="0"/>
    <x v="0"/>
    <n v="1"/>
    <n v="1"/>
    <n v="1"/>
    <x v="0"/>
    <s v=""/>
    <s v="Compliance Manager (Research &amp; Classification)"/>
    <x v="1"/>
    <x v="0"/>
    <x v="0"/>
    <x v="28"/>
    <x v="18"/>
  </r>
  <r>
    <x v="1"/>
    <x v="52"/>
    <m/>
    <m/>
    <x v="49"/>
    <x v="0"/>
    <x v="0"/>
    <n v="0"/>
    <m/>
    <s v="STL"/>
    <n v="0"/>
    <s v="Y"/>
    <x v="0"/>
    <x v="0"/>
    <n v="1"/>
    <n v="1"/>
    <n v="1"/>
    <x v="0"/>
    <s v=""/>
    <s v="Pre Departure, Advanced Filing, Embargo and Denied Parties"/>
    <x v="1"/>
    <x v="11"/>
    <x v="0"/>
    <x v="0"/>
    <x v="0"/>
  </r>
  <r>
    <x v="2"/>
    <x v="53"/>
    <m/>
    <m/>
    <x v="50"/>
    <x v="0"/>
    <x v="0"/>
    <n v="0"/>
    <m/>
    <s v="STL"/>
    <n v="0"/>
    <s v="Y"/>
    <x v="0"/>
    <x v="0"/>
    <n v="1"/>
    <n v="1"/>
    <n v="1"/>
    <x v="0"/>
    <s v=""/>
    <s v="Embargo / Denied Parties / Parties of Interest etc"/>
    <x v="1"/>
    <x v="0"/>
    <x v="9"/>
    <x v="0"/>
    <x v="0"/>
  </r>
  <r>
    <x v="3"/>
    <x v="54"/>
    <m/>
    <m/>
    <x v="51"/>
    <x v="0"/>
    <x v="0"/>
    <n v="3.4420899999999999"/>
    <s v="Per Screened Movement/Shipment"/>
    <s v="STL"/>
    <n v="34.420900000000003"/>
    <s v="Y"/>
    <x v="6"/>
    <x v="6"/>
    <n v="1"/>
    <n v="1"/>
    <n v="1"/>
    <x v="6"/>
    <s v=""/>
    <s v="Embargo Management"/>
    <x v="1"/>
    <x v="0"/>
    <x v="0"/>
    <x v="29"/>
    <x v="19"/>
  </r>
  <r>
    <x v="3"/>
    <x v="55"/>
    <s v="ISF"/>
    <s v="ISF"/>
    <x v="52"/>
    <x v="0"/>
    <x v="0"/>
    <n v="1.7210449999999999"/>
    <s v="Per Original Transmission"/>
    <s v="STL"/>
    <n v="17.210450000000002"/>
    <s v="Y"/>
    <x v="8"/>
    <x v="8"/>
    <n v="1"/>
    <n v="1"/>
    <n v="1"/>
    <x v="8"/>
    <s v=""/>
    <s v="Importer Security Filing (eg: ISF/10+2 and other similar)"/>
    <x v="1"/>
    <x v="0"/>
    <x v="0"/>
    <x v="30"/>
    <x v="20"/>
  </r>
  <r>
    <x v="3"/>
    <x v="56"/>
    <s v="STL"/>
    <s v="#PD"/>
    <x v="53"/>
    <x v="0"/>
    <x v="0"/>
    <n v="1.7210449999999999"/>
    <s v="Per Original Transmission"/>
    <s v="STL"/>
    <n v="17.210450000000002"/>
    <s v="Y"/>
    <x v="8"/>
    <x v="8"/>
    <n v="1"/>
    <n v="1"/>
    <n v="1"/>
    <x v="8"/>
    <s v=""/>
    <s v="Pre Departure Manifest (eManifest, AMS, ACI, ICS, AFR etc)"/>
    <x v="1"/>
    <x v="0"/>
    <x v="0"/>
    <x v="31"/>
    <x v="20"/>
  </r>
  <r>
    <x v="1"/>
    <x v="57"/>
    <m/>
    <m/>
    <x v="54"/>
    <x v="0"/>
    <x v="0"/>
    <n v="0"/>
    <m/>
    <s v="STL"/>
    <n v="0"/>
    <s v="Y"/>
    <x v="0"/>
    <x v="0"/>
    <n v="1"/>
    <n v="1"/>
    <n v="1"/>
    <x v="0"/>
    <s v=""/>
    <s v="Customs &amp; Other Government Communication"/>
    <x v="1"/>
    <x v="12"/>
    <x v="0"/>
    <x v="0"/>
    <x v="0"/>
  </r>
  <r>
    <x v="2"/>
    <x v="58"/>
    <m/>
    <m/>
    <x v="55"/>
    <x v="0"/>
    <x v="0"/>
    <n v="0"/>
    <m/>
    <s v="STL"/>
    <n v="0"/>
    <s v="Y"/>
    <x v="0"/>
    <x v="0"/>
    <n v="1"/>
    <n v="1"/>
    <n v="1"/>
    <x v="0"/>
    <s v=""/>
    <s v="Export Formal Customs/Statistics Entry Compliance"/>
    <x v="1"/>
    <x v="0"/>
    <x v="10"/>
    <x v="0"/>
    <x v="0"/>
  </r>
  <r>
    <x v="3"/>
    <x v="59"/>
    <s v="STL"/>
    <s v="EFC"/>
    <x v="56"/>
    <x v="0"/>
    <x v="0"/>
    <n v="2.65225"/>
    <s v="Per Registration (Including First Entry) and Per Additional Entry"/>
    <s v="STL"/>
    <n v="26.522500000000001"/>
    <s v="Y"/>
    <x v="3"/>
    <x v="3"/>
    <n v="1"/>
    <n v="1"/>
    <n v="1"/>
    <x v="3"/>
    <s v=""/>
    <s v="Export Formal Clearance / Fiscal Report _x000d__x000a_ Includes Air/Sea Schedules, Address Cleansing &amp; Geocoding, Denied Party Screening* (*External Services)"/>
    <x v="1"/>
    <x v="0"/>
    <x v="0"/>
    <x v="32"/>
    <x v="21"/>
  </r>
  <r>
    <x v="3"/>
    <x v="60"/>
    <m/>
    <m/>
    <x v="57"/>
    <x v="0"/>
    <x v="0"/>
    <n v="2.65225"/>
    <s v="Per Registration (Including First Entry) and Per Additional Entry"/>
    <s v="STL"/>
    <n v="26.522500000000001"/>
    <s v="Y"/>
    <x v="3"/>
    <x v="3"/>
    <n v="1"/>
    <n v="1"/>
    <n v="1"/>
    <x v="3"/>
    <s v=""/>
    <s v="Export Formal Clearance / Fiscal Report"/>
    <x v="1"/>
    <x v="0"/>
    <x v="0"/>
    <x v="33"/>
    <x v="21"/>
  </r>
  <r>
    <x v="2"/>
    <x v="61"/>
    <m/>
    <m/>
    <x v="58"/>
    <x v="0"/>
    <x v="0"/>
    <n v="0"/>
    <m/>
    <s v="STL"/>
    <n v="0"/>
    <s v="Y"/>
    <x v="0"/>
    <x v="0"/>
    <n v="1"/>
    <n v="1"/>
    <n v="1"/>
    <x v="0"/>
    <s v=""/>
    <s v="Import Formal Customs Entry Compliance"/>
    <x v="1"/>
    <x v="0"/>
    <x v="11"/>
    <x v="0"/>
    <x v="0"/>
  </r>
  <r>
    <x v="3"/>
    <x v="62"/>
    <s v="STL"/>
    <s v="IFG"/>
    <x v="59"/>
    <x v="0"/>
    <x v="0"/>
    <n v="3.812875"/>
    <s v="Per Registration (Including First Entry) and Per Additional Entry"/>
    <s v="STL"/>
    <n v="38.128749999999997"/>
    <s v="Y"/>
    <x v="23"/>
    <x v="23"/>
    <n v="1"/>
    <n v="1"/>
    <n v="1"/>
    <x v="23"/>
    <s v=""/>
    <s v="Import Clearance Full / Detailed Formal Entry / Fiscal Report _x000d__x000a_ Includes Air/Sea Schedules, Address Cleansing &amp; Geocoding, Denied Party Screening* (*External Services)"/>
    <x v="1"/>
    <x v="0"/>
    <x v="0"/>
    <x v="34"/>
    <x v="21"/>
  </r>
  <r>
    <x v="3"/>
    <x v="63"/>
    <m/>
    <m/>
    <x v="60"/>
    <x v="0"/>
    <x v="0"/>
    <n v="3.812875"/>
    <s v="Per Registration (Including First Entry) and Per Additional Entry"/>
    <s v="STL"/>
    <n v="38.128749999999997"/>
    <s v="Y"/>
    <x v="23"/>
    <x v="23"/>
    <n v="1"/>
    <n v="1"/>
    <n v="1"/>
    <x v="23"/>
    <s v=""/>
    <s v="Import Clearance Full / Detailed Formal Entry / Fiscal Report"/>
    <x v="1"/>
    <x v="0"/>
    <x v="0"/>
    <x v="35"/>
    <x v="21"/>
  </r>
  <r>
    <x v="3"/>
    <x v="64"/>
    <s v="STL"/>
    <s v="IFL"/>
    <x v="61"/>
    <x v="0"/>
    <x v="0"/>
    <n v="1.7210449999999999"/>
    <s v="Per Registration"/>
    <s v="STL"/>
    <n v="17.210450000000002"/>
    <s v="Y"/>
    <x v="8"/>
    <x v="8"/>
    <n v="1"/>
    <n v="1"/>
    <n v="1"/>
    <x v="8"/>
    <s v=""/>
    <s v="Land Border Clearance (Truck and Rail)"/>
    <x v="1"/>
    <x v="0"/>
    <x v="0"/>
    <x v="36"/>
    <x v="22"/>
  </r>
  <r>
    <x v="3"/>
    <x v="65"/>
    <s v="GBC"/>
    <s v="GBC"/>
    <x v="62"/>
    <x v="0"/>
    <x v="0"/>
    <n v="143.42041900000001"/>
    <s v="Per Month Per licence"/>
    <s v="STL"/>
    <n v="0"/>
    <s v="Y"/>
    <x v="24"/>
    <x v="24"/>
    <n v="1"/>
    <n v="1"/>
    <n v="1"/>
    <x v="0"/>
    <s v=""/>
    <s v="UK Customs (HCI Terminal Clearance)"/>
    <x v="1"/>
    <x v="0"/>
    <x v="0"/>
    <x v="37"/>
    <x v="23"/>
  </r>
  <r>
    <x v="3"/>
    <x v="66"/>
    <m/>
    <m/>
    <x v="63"/>
    <x v="0"/>
    <x v="0"/>
    <n v="2.294727"/>
    <s v="Per Registration/First Message"/>
    <s v="STL"/>
    <n v="22.94727"/>
    <s v="Y"/>
    <x v="4"/>
    <x v="4"/>
    <n v="1"/>
    <n v="1"/>
    <n v="1"/>
    <x v="4"/>
    <s v=""/>
    <s v="Informal / Simplified Entry"/>
    <x v="1"/>
    <x v="0"/>
    <x v="0"/>
    <x v="38"/>
    <x v="24"/>
  </r>
  <r>
    <x v="3"/>
    <x v="67"/>
    <s v="STL"/>
    <s v="LVS"/>
    <x v="64"/>
    <x v="0"/>
    <x v="0"/>
    <n v="0.45894499999999999"/>
    <s v="Per Registration/First Message"/>
    <s v="STL"/>
    <n v="4.5894500000000003"/>
    <s v="Y"/>
    <x v="25"/>
    <x v="25"/>
    <n v="1"/>
    <n v="1"/>
    <n v="1"/>
    <x v="24"/>
    <s v=""/>
    <s v="Low Value/Write Off/Deminimus Clearance"/>
    <x v="1"/>
    <x v="0"/>
    <x v="0"/>
    <x v="39"/>
    <x v="24"/>
  </r>
  <r>
    <x v="2"/>
    <x v="68"/>
    <s v="STL"/>
    <s v="#CC"/>
    <x v="65"/>
    <x v="0"/>
    <x v="0"/>
    <n v="1.9064369999999999"/>
    <s v="Per Registration/First Message"/>
    <s v="STL"/>
    <n v="19.06437"/>
    <s v="Y"/>
    <x v="26"/>
    <x v="26"/>
    <n v="1"/>
    <n v="1"/>
    <n v="1"/>
    <x v="25"/>
    <s v=""/>
    <s v="Core Customs Processing (applies exclusively in non-integrated countries)"/>
    <x v="1"/>
    <x v="0"/>
    <x v="12"/>
    <x v="0"/>
    <x v="24"/>
  </r>
  <r>
    <x v="2"/>
    <x v="69"/>
    <m/>
    <m/>
    <x v="66"/>
    <x v="0"/>
    <x v="0"/>
    <n v="0"/>
    <m/>
    <s v="STL"/>
    <n v="0"/>
    <s v="Y"/>
    <x v="0"/>
    <x v="0"/>
    <n v="1"/>
    <n v="1"/>
    <n v="1"/>
    <x v="0"/>
    <s v=""/>
    <s v="Special Entry Types"/>
    <x v="1"/>
    <x v="0"/>
    <x v="13"/>
    <x v="0"/>
    <x v="0"/>
  </r>
  <r>
    <x v="3"/>
    <x v="70"/>
    <s v="STL"/>
    <s v="MSC"/>
    <x v="67"/>
    <x v="0"/>
    <x v="0"/>
    <n v="2.294727"/>
    <s v="Per Registration (Including First Entry) and Per Additional Entry"/>
    <s v="STL"/>
    <n v="22.94727"/>
    <s v="Y"/>
    <x v="4"/>
    <x v="4"/>
    <n v="1"/>
    <n v="1"/>
    <n v="1"/>
    <x v="4"/>
    <s v=""/>
    <s v="Miscellaneous/External Broker In-Out Customs Jobs"/>
    <x v="1"/>
    <x v="0"/>
    <x v="0"/>
    <x v="40"/>
    <x v="21"/>
  </r>
  <r>
    <x v="3"/>
    <x v="71"/>
    <s v="STL"/>
    <s v="DRW"/>
    <x v="68"/>
    <x v="0"/>
    <x v="0"/>
    <n v="6.8841799999999997"/>
    <s v="Per Registration (Including First Entry) and Per Additional Entry"/>
    <s v="STL"/>
    <n v="68.841800000000006"/>
    <s v="Y"/>
    <x v="18"/>
    <x v="18"/>
    <n v="1"/>
    <n v="1"/>
    <n v="1"/>
    <x v="18"/>
    <s v=""/>
    <s v="Drawbacks (integrated with Warehousing and BOM)"/>
    <x v="1"/>
    <x v="0"/>
    <x v="0"/>
    <x v="41"/>
    <x v="21"/>
  </r>
  <r>
    <x v="3"/>
    <x v="72"/>
    <s v="STL"/>
    <s v="FTZ"/>
    <x v="69"/>
    <x v="0"/>
    <x v="0"/>
    <n v="6.8841799999999997"/>
    <s v="Per Registration (Including First Entry) and Per Additional Entry"/>
    <s v="STL"/>
    <n v="68.841800000000006"/>
    <s v="Y"/>
    <x v="18"/>
    <x v="18"/>
    <n v="1"/>
    <n v="1"/>
    <n v="1"/>
    <x v="18"/>
    <s v=""/>
    <s v="Free Trade Zone Entry/Protest/Reconciliation/B2 Entries"/>
    <x v="1"/>
    <x v="0"/>
    <x v="0"/>
    <x v="42"/>
    <x v="21"/>
  </r>
  <r>
    <x v="3"/>
    <x v="73"/>
    <s v="STL"/>
    <s v="LCH"/>
    <x v="70"/>
    <x v="0"/>
    <x v="0"/>
    <n v="6.8841799999999997"/>
    <s v="Per Landed Cost"/>
    <s v="STL"/>
    <n v="68.841800000000006"/>
    <s v="Y"/>
    <x v="18"/>
    <x v="18"/>
    <n v="1"/>
    <n v="1"/>
    <n v="1"/>
    <x v="18"/>
    <s v=""/>
    <s v="Landed Costing"/>
    <x v="1"/>
    <x v="0"/>
    <x v="0"/>
    <x v="43"/>
    <x v="25"/>
  </r>
  <r>
    <x v="3"/>
    <x v="74"/>
    <s v="STL"/>
    <s v="EBD"/>
    <x v="71"/>
    <x v="0"/>
    <x v="0"/>
    <n v="0.75"/>
    <s v="Per Successful Application"/>
    <s v="STL"/>
    <n v="7.5"/>
    <s v="Y"/>
    <x v="27"/>
    <x v="27"/>
    <n v="1"/>
    <n v="1"/>
    <n v="1"/>
    <x v="26"/>
    <s v=""/>
    <s v="Single Transaction Bond Application (US Only)"/>
    <x v="1"/>
    <x v="0"/>
    <x v="0"/>
    <x v="44"/>
    <x v="26"/>
  </r>
  <r>
    <x v="3"/>
    <x v="75"/>
    <s v="STL"/>
    <s v="RFP"/>
    <x v="72"/>
    <x v="0"/>
    <x v="0"/>
    <n v="1.092727"/>
    <s v="Per Registration/First Message"/>
    <s v="STL"/>
    <n v="10.92727"/>
    <s v="Y"/>
    <x v="28"/>
    <x v="28"/>
    <n v="1"/>
    <n v="1"/>
    <n v="1"/>
    <x v="27"/>
    <s v=""/>
    <s v="Export Biosecurity (Export Docs/RFP/etc) (price does not include Export Formal Clearance AU ECN)"/>
    <x v="1"/>
    <x v="0"/>
    <x v="0"/>
    <x v="45"/>
    <x v="24"/>
  </r>
  <r>
    <x v="3"/>
    <x v="76"/>
    <s v="STL"/>
    <s v="INB"/>
    <x v="73"/>
    <x v="0"/>
    <x v="0"/>
    <n v="0.86052300000000004"/>
    <s v="Per Movement Registration"/>
    <s v="STL"/>
    <n v="8.6052300000000006"/>
    <s v="Y"/>
    <x v="13"/>
    <x v="13"/>
    <n v="1"/>
    <n v="1"/>
    <n v="1"/>
    <x v="13"/>
    <s v=""/>
    <s v="Intransit / InBond / Underbond Movement Request (From Customs Menu)"/>
    <x v="1"/>
    <x v="0"/>
    <x v="0"/>
    <x v="46"/>
    <x v="27"/>
  </r>
  <r>
    <x v="3"/>
    <x v="77"/>
    <s v="STL"/>
    <m/>
    <x v="74"/>
    <x v="0"/>
    <x v="0"/>
    <n v="0.86052300000000004"/>
    <s v="Per Movement Registration"/>
    <s v="STL"/>
    <n v="8.6052300000000006"/>
    <s v="Y"/>
    <x v="13"/>
    <x v="13"/>
    <n v="1"/>
    <n v="1"/>
    <n v="1"/>
    <x v="13"/>
    <s v=""/>
    <s v="InBond / Underbond Movement Request (From Forwarding Menu)"/>
    <x v="1"/>
    <x v="0"/>
    <x v="0"/>
    <x v="47"/>
    <x v="27"/>
  </r>
  <r>
    <x v="1"/>
    <x v="78"/>
    <m/>
    <m/>
    <x v="75"/>
    <x v="0"/>
    <x v="0"/>
    <n v="0"/>
    <m/>
    <s v="STL"/>
    <n v="0"/>
    <s v="Y"/>
    <x v="0"/>
    <x v="0"/>
    <n v="1"/>
    <n v="1"/>
    <n v="1"/>
    <x v="0"/>
    <s v=""/>
    <s v="Other Parties Customs and Port Messaging (non Broker/Agent messaging)"/>
    <x v="1"/>
    <x v="13"/>
    <x v="0"/>
    <x v="0"/>
    <x v="0"/>
  </r>
  <r>
    <x v="2"/>
    <x v="79"/>
    <m/>
    <m/>
    <x v="76"/>
    <x v="0"/>
    <x v="0"/>
    <n v="0"/>
    <m/>
    <s v="STL"/>
    <n v="0"/>
    <s v="Y"/>
    <x v="0"/>
    <x v="0"/>
    <n v="1"/>
    <n v="1"/>
    <n v="1"/>
    <x v="0"/>
    <s v=""/>
    <s v="Ecommerce (Incl. low value customs entries - only if transaction originates from Ecommerce, otherwise separately charged)"/>
    <x v="1"/>
    <x v="0"/>
    <x v="14"/>
    <x v="0"/>
    <x v="0"/>
  </r>
  <r>
    <x v="3"/>
    <x v="80"/>
    <s v="STL"/>
    <s v="HVD"/>
    <x v="77"/>
    <x v="0"/>
    <x v="0"/>
    <n v="0.1"/>
    <s v="Per Item (Ecommerce) / Per Entry Number (customs entries)"/>
    <s v="21.04"/>
    <n v="1"/>
    <s v="Y"/>
    <x v="29"/>
    <x v="29"/>
    <n v="1"/>
    <n v="1"/>
    <n v="1"/>
    <x v="28"/>
    <s v=""/>
    <s v="First 50,000"/>
    <x v="1"/>
    <x v="0"/>
    <x v="0"/>
    <x v="48"/>
    <x v="28"/>
  </r>
  <r>
    <x v="3"/>
    <x v="81"/>
    <s v="STL"/>
    <s v="HVD"/>
    <x v="78"/>
    <x v="0"/>
    <x v="0"/>
    <n v="7.4999999999999997E-2"/>
    <s v="Per Item (Ecommerce) / Per Entry Number (customs entries)"/>
    <s v="21.04"/>
    <n v="0.75"/>
    <s v="Y"/>
    <x v="30"/>
    <x v="30"/>
    <n v="1"/>
    <n v="1"/>
    <n v="1"/>
    <x v="29"/>
    <s v=""/>
    <s v="Between 50,001 to 100,000"/>
    <x v="1"/>
    <x v="0"/>
    <x v="0"/>
    <x v="49"/>
    <x v="28"/>
  </r>
  <r>
    <x v="3"/>
    <x v="82"/>
    <s v="STL"/>
    <s v="HVD"/>
    <x v="79"/>
    <x v="0"/>
    <x v="0"/>
    <n v="5.6250000000000001E-2"/>
    <s v="Per Item (Ecommerce) / Per Entry Number (customs entries)"/>
    <s v="21.04"/>
    <n v="0.5625"/>
    <s v="Y"/>
    <x v="31"/>
    <x v="31"/>
    <n v="1"/>
    <n v="1"/>
    <n v="1"/>
    <x v="30"/>
    <s v=""/>
    <s v="Between 100,001 to 200,000"/>
    <x v="1"/>
    <x v="0"/>
    <x v="0"/>
    <x v="50"/>
    <x v="28"/>
  </r>
  <r>
    <x v="3"/>
    <x v="83"/>
    <s v="STL"/>
    <s v="HVD"/>
    <x v="80"/>
    <x v="0"/>
    <x v="0"/>
    <n v="3.9375E-2"/>
    <s v="Per Item (Ecommerce) / Per Entry Number (customs entries)"/>
    <s v="21.04"/>
    <n v="0.39374999999999999"/>
    <s v="Y"/>
    <x v="32"/>
    <x v="32"/>
    <n v="1"/>
    <n v="1"/>
    <n v="1"/>
    <x v="31"/>
    <s v=""/>
    <s v="Between 200,001 to 400,000"/>
    <x v="1"/>
    <x v="0"/>
    <x v="0"/>
    <x v="51"/>
    <x v="28"/>
  </r>
  <r>
    <x v="3"/>
    <x v="84"/>
    <s v="STL"/>
    <s v="HVD"/>
    <x v="81"/>
    <x v="0"/>
    <x v="0"/>
    <n v="3.15E-2"/>
    <s v="Per Item (Ecommerce) / Per Entry Number (customs entries)"/>
    <s v="21.04"/>
    <n v="0.315"/>
    <s v="Y"/>
    <x v="33"/>
    <x v="33"/>
    <n v="1"/>
    <n v="1"/>
    <n v="1"/>
    <x v="32"/>
    <s v=""/>
    <s v="Between 400,001 to 1,000,000"/>
    <x v="1"/>
    <x v="0"/>
    <x v="0"/>
    <x v="52"/>
    <x v="28"/>
  </r>
  <r>
    <x v="3"/>
    <x v="85"/>
    <s v="STL"/>
    <s v="HVD"/>
    <x v="82"/>
    <x v="0"/>
    <x v="0"/>
    <n v="2.52E-2"/>
    <s v="Per Item (Ecommerce) / Per Entry Number (customs entries)"/>
    <s v="21.04"/>
    <n v="0.252"/>
    <s v="Y"/>
    <x v="34"/>
    <x v="34"/>
    <n v="1"/>
    <n v="1"/>
    <n v="1"/>
    <x v="33"/>
    <s v=""/>
    <s v="Between 1,000,001 to 2,000,000"/>
    <x v="1"/>
    <x v="0"/>
    <x v="0"/>
    <x v="53"/>
    <x v="28"/>
  </r>
  <r>
    <x v="3"/>
    <x v="86"/>
    <s v="STL"/>
    <s v="HVD"/>
    <x v="83"/>
    <x v="0"/>
    <x v="0"/>
    <n v="2.0160000000000001E-2"/>
    <s v="Per Item (Ecommerce) / Per Entry Number (customs entries)"/>
    <s v="21.04"/>
    <n v="0.2016"/>
    <s v="Y"/>
    <x v="35"/>
    <x v="35"/>
    <n v="1"/>
    <n v="1"/>
    <n v="1"/>
    <x v="34"/>
    <s v=""/>
    <s v="Between 2,000,001 to 4,000,000"/>
    <x v="1"/>
    <x v="0"/>
    <x v="0"/>
    <x v="54"/>
    <x v="28"/>
  </r>
  <r>
    <x v="3"/>
    <x v="87"/>
    <s v="STL"/>
    <s v="HVD"/>
    <x v="84"/>
    <x v="0"/>
    <x v="0"/>
    <n v="1.6128E-2"/>
    <s v="Per Item (Ecommerce) / Per Entry Number (customs entries)"/>
    <s v="21.04"/>
    <n v="0.16128000000000001"/>
    <s v="Y"/>
    <x v="36"/>
    <x v="36"/>
    <n v="1"/>
    <n v="1"/>
    <n v="1"/>
    <x v="35"/>
    <s v=""/>
    <s v="Between 4,000,001 to 6,000,000"/>
    <x v="1"/>
    <x v="0"/>
    <x v="0"/>
    <x v="55"/>
    <x v="28"/>
  </r>
  <r>
    <x v="3"/>
    <x v="88"/>
    <s v="STL"/>
    <s v="HVD"/>
    <x v="85"/>
    <x v="0"/>
    <x v="0"/>
    <n v="1.2902E-2"/>
    <s v="Per Item (Ecommerce) / Per Entry Number (customs entries)"/>
    <s v="21.04"/>
    <n v="0.12902"/>
    <s v="Y"/>
    <x v="37"/>
    <x v="37"/>
    <n v="1"/>
    <n v="1"/>
    <n v="1"/>
    <x v="36"/>
    <s v=""/>
    <s v="Between 6,000,001 to 10,000,000"/>
    <x v="1"/>
    <x v="0"/>
    <x v="0"/>
    <x v="56"/>
    <x v="28"/>
  </r>
  <r>
    <x v="3"/>
    <x v="89"/>
    <s v="STL"/>
    <s v="HVD"/>
    <x v="86"/>
    <x v="0"/>
    <x v="0"/>
    <n v="1.0322E-2"/>
    <s v="Per Item (Ecommerce) / Per Entry Number (customs entries)"/>
    <s v="21.04"/>
    <n v="0.10322000000000001"/>
    <s v="Y"/>
    <x v="38"/>
    <x v="38"/>
    <n v="1"/>
    <n v="1"/>
    <n v="1"/>
    <x v="37"/>
    <s v=""/>
    <s v="10,000,001 and above"/>
    <x v="1"/>
    <x v="0"/>
    <x v="0"/>
    <x v="57"/>
    <x v="28"/>
  </r>
  <r>
    <x v="2"/>
    <x v="90"/>
    <m/>
    <m/>
    <x v="87"/>
    <x v="0"/>
    <x v="0"/>
    <n v="0"/>
    <m/>
    <s v="21.04"/>
    <n v="0"/>
    <s v="Y"/>
    <x v="0"/>
    <x v="0"/>
    <n v="1"/>
    <n v="1"/>
    <n v="1"/>
    <x v="0"/>
    <s v=""/>
    <s v="Ecommerce Plus (Incl. Related Customs Procedures)"/>
    <x v="1"/>
    <x v="0"/>
    <x v="15"/>
    <x v="0"/>
    <x v="0"/>
  </r>
  <r>
    <x v="3"/>
    <x v="91"/>
    <s v="STL"/>
    <s v="HVP"/>
    <x v="77"/>
    <x v="0"/>
    <x v="0"/>
    <n v="0.3"/>
    <s v="Per Item"/>
    <s v="21.04"/>
    <n v="3"/>
    <s v="Y"/>
    <x v="39"/>
    <x v="39"/>
    <n v="1"/>
    <n v="1"/>
    <n v="1"/>
    <x v="38"/>
    <s v=""/>
    <s v="First 50,000"/>
    <x v="1"/>
    <x v="0"/>
    <x v="0"/>
    <x v="48"/>
    <x v="29"/>
  </r>
  <r>
    <x v="3"/>
    <x v="92"/>
    <s v="STL"/>
    <s v="HVP"/>
    <x v="78"/>
    <x v="0"/>
    <x v="0"/>
    <n v="0.22500000000000001"/>
    <s v="Per Item"/>
    <s v="21.04"/>
    <n v="2.25"/>
    <s v="Y"/>
    <x v="40"/>
    <x v="40"/>
    <n v="1"/>
    <n v="1"/>
    <n v="1"/>
    <x v="39"/>
    <s v=""/>
    <s v="Between 50,001 to 100,000"/>
    <x v="1"/>
    <x v="0"/>
    <x v="0"/>
    <x v="49"/>
    <x v="29"/>
  </r>
  <r>
    <x v="3"/>
    <x v="93"/>
    <s v="STL"/>
    <s v="HVP"/>
    <x v="79"/>
    <x v="0"/>
    <x v="0"/>
    <n v="0.16875000000000001"/>
    <s v="Per Item"/>
    <s v="21.04"/>
    <n v="1.6875"/>
    <s v="Y"/>
    <x v="41"/>
    <x v="41"/>
    <n v="1"/>
    <n v="1"/>
    <n v="1"/>
    <x v="40"/>
    <s v=""/>
    <s v="Between 100,001 to 200,000"/>
    <x v="1"/>
    <x v="0"/>
    <x v="0"/>
    <x v="50"/>
    <x v="29"/>
  </r>
  <r>
    <x v="3"/>
    <x v="94"/>
    <s v="STL"/>
    <s v="HVP"/>
    <x v="80"/>
    <x v="0"/>
    <x v="0"/>
    <n v="0.11812499999999999"/>
    <s v="Per Item"/>
    <s v="21.04"/>
    <n v="1.1812499999999999"/>
    <s v="Y"/>
    <x v="42"/>
    <x v="42"/>
    <n v="1"/>
    <n v="1"/>
    <n v="1"/>
    <x v="41"/>
    <s v=""/>
    <s v="Between 200,001 to 400,000"/>
    <x v="1"/>
    <x v="0"/>
    <x v="0"/>
    <x v="51"/>
    <x v="29"/>
  </r>
  <r>
    <x v="3"/>
    <x v="95"/>
    <s v="STL"/>
    <s v="HVP"/>
    <x v="81"/>
    <x v="0"/>
    <x v="0"/>
    <n v="9.4500000000000001E-2"/>
    <s v="Per Item"/>
    <s v="21.04"/>
    <n v="0.94499999999999995"/>
    <s v="Y"/>
    <x v="43"/>
    <x v="43"/>
    <n v="1"/>
    <n v="1"/>
    <n v="1"/>
    <x v="42"/>
    <s v=""/>
    <s v="Between 400,001 to 1,000,000"/>
    <x v="1"/>
    <x v="0"/>
    <x v="0"/>
    <x v="52"/>
    <x v="29"/>
  </r>
  <r>
    <x v="3"/>
    <x v="96"/>
    <s v="STL"/>
    <s v="HVP"/>
    <x v="82"/>
    <x v="0"/>
    <x v="0"/>
    <n v="7.5600000000000001E-2"/>
    <s v="Per Item"/>
    <s v="21.04"/>
    <n v="0.75600000000000001"/>
    <s v="Y"/>
    <x v="44"/>
    <x v="44"/>
    <n v="1"/>
    <n v="1"/>
    <n v="1"/>
    <x v="43"/>
    <s v=""/>
    <s v="Between 1,000,001 to 2,000,000"/>
    <x v="1"/>
    <x v="0"/>
    <x v="0"/>
    <x v="53"/>
    <x v="29"/>
  </r>
  <r>
    <x v="3"/>
    <x v="97"/>
    <s v="STL"/>
    <s v="HVP"/>
    <x v="83"/>
    <x v="0"/>
    <x v="0"/>
    <n v="6.0479999999999999E-2"/>
    <s v="Per Item"/>
    <s v="21.04"/>
    <n v="0.6048"/>
    <s v="Y"/>
    <x v="45"/>
    <x v="45"/>
    <n v="1"/>
    <n v="1"/>
    <n v="1"/>
    <x v="44"/>
    <s v=""/>
    <s v="Between 2,000,001 to 4,000,000"/>
    <x v="1"/>
    <x v="0"/>
    <x v="0"/>
    <x v="54"/>
    <x v="29"/>
  </r>
  <r>
    <x v="3"/>
    <x v="98"/>
    <s v="STL"/>
    <s v="HVP"/>
    <x v="84"/>
    <x v="0"/>
    <x v="0"/>
    <n v="4.8384000000000003E-2"/>
    <s v="Per Item"/>
    <s v="21.04"/>
    <n v="0.48383999999999999"/>
    <s v="Y"/>
    <x v="46"/>
    <x v="46"/>
    <n v="1"/>
    <n v="1"/>
    <n v="1"/>
    <x v="45"/>
    <s v=""/>
    <s v="Between 4,000,001 to 6,000,000"/>
    <x v="1"/>
    <x v="0"/>
    <x v="0"/>
    <x v="55"/>
    <x v="29"/>
  </r>
  <r>
    <x v="3"/>
    <x v="99"/>
    <s v="STL"/>
    <s v="HVP"/>
    <x v="85"/>
    <x v="0"/>
    <x v="0"/>
    <n v="3.8706999999999998E-2"/>
    <s v="Per Item"/>
    <s v="21.04"/>
    <n v="0.38707000000000003"/>
    <s v="Y"/>
    <x v="47"/>
    <x v="47"/>
    <n v="1"/>
    <n v="1"/>
    <n v="1"/>
    <x v="46"/>
    <s v=""/>
    <s v="Between 6,000,001 to 10,000,000"/>
    <x v="1"/>
    <x v="0"/>
    <x v="0"/>
    <x v="56"/>
    <x v="29"/>
  </r>
  <r>
    <x v="3"/>
    <x v="100"/>
    <s v="STL"/>
    <s v="HVP"/>
    <x v="86"/>
    <x v="0"/>
    <x v="0"/>
    <n v="3.0966E-2"/>
    <s v="Per Item"/>
    <s v="21.04"/>
    <n v="0.30965999999999999"/>
    <s v="Y"/>
    <x v="48"/>
    <x v="48"/>
    <n v="1"/>
    <n v="1"/>
    <n v="1"/>
    <x v="47"/>
    <s v=""/>
    <s v="10,000,001 and above"/>
    <x v="1"/>
    <x v="0"/>
    <x v="0"/>
    <x v="57"/>
    <x v="29"/>
  </r>
  <r>
    <x v="2"/>
    <x v="101"/>
    <m/>
    <m/>
    <x v="88"/>
    <x v="0"/>
    <x v="0"/>
    <n v="0"/>
    <m/>
    <s v="STL"/>
    <n v="0"/>
    <s v="Y"/>
    <x v="0"/>
    <x v="0"/>
    <n v="1"/>
    <n v="1"/>
    <n v="1"/>
    <x v="0"/>
    <s v=""/>
    <s v="Forwarder/CFS/CTO/CY/Land Transport Message Functions"/>
    <x v="1"/>
    <x v="0"/>
    <x v="16"/>
    <x v="0"/>
    <x v="0"/>
  </r>
  <r>
    <x v="3"/>
    <x v="102"/>
    <s v="STL"/>
    <s v="NCT"/>
    <x v="74"/>
    <x v="0"/>
    <x v="0"/>
    <n v="0.86052300000000004"/>
    <s v="Per Inbond"/>
    <s v="STL"/>
    <n v="8.6052300000000006"/>
    <s v="Y"/>
    <x v="13"/>
    <x v="13"/>
    <n v="1"/>
    <n v="1"/>
    <n v="1"/>
    <x v="13"/>
    <s v=""/>
    <s v="InBond / Underbond Movement Request (From Forwarding Menu)"/>
    <x v="1"/>
    <x v="0"/>
    <x v="0"/>
    <x v="47"/>
    <x v="30"/>
  </r>
  <r>
    <x v="3"/>
    <x v="103"/>
    <s v="STL"/>
    <s v="ACX"/>
    <x v="89"/>
    <x v="0"/>
    <x v="0"/>
    <n v="0.40157700000000002"/>
    <s v="Per HAWB or MAWB"/>
    <s v="STL"/>
    <n v="4.0157699999999998"/>
    <s v="Y"/>
    <x v="49"/>
    <x v="49"/>
    <n v="1"/>
    <n v="1"/>
    <n v="1"/>
    <x v="48"/>
    <s v=""/>
    <s v="Import/Export Air Cargo Report"/>
    <x v="1"/>
    <x v="0"/>
    <x v="0"/>
    <x v="58"/>
    <x v="31"/>
  </r>
  <r>
    <x v="3"/>
    <x v="104"/>
    <s v="STL"/>
    <s v="SCE"/>
    <x v="90"/>
    <x v="0"/>
    <x v="0"/>
    <n v="0.86052300000000004"/>
    <s v="Per HBL or OBL"/>
    <s v="STL"/>
    <n v="8.6052300000000006"/>
    <s v="Y"/>
    <x v="13"/>
    <x v="13"/>
    <n v="1"/>
    <n v="1"/>
    <n v="1"/>
    <x v="13"/>
    <s v=""/>
    <s v="Import/Export Sea Cargo Report"/>
    <x v="1"/>
    <x v="0"/>
    <x v="0"/>
    <x v="59"/>
    <x v="32"/>
  </r>
  <r>
    <x v="3"/>
    <x v="105"/>
    <s v="STL"/>
    <s v="CTT"/>
    <x v="91"/>
    <x v="0"/>
    <x v="0"/>
    <n v="0.40157700000000002"/>
    <s v="Per HAWB or MAWB"/>
    <s v="STL"/>
    <n v="4.0157699999999998"/>
    <s v="Y"/>
    <x v="49"/>
    <x v="49"/>
    <n v="1"/>
    <n v="1"/>
    <n v="1"/>
    <x v="48"/>
    <s v=""/>
    <s v="Import/Export Air Cargo CFS/CTO Customs Functions"/>
    <x v="1"/>
    <x v="0"/>
    <x v="0"/>
    <x v="60"/>
    <x v="31"/>
  </r>
  <r>
    <x v="3"/>
    <x v="106"/>
    <s v="STL"/>
    <s v="STT"/>
    <x v="92"/>
    <x v="0"/>
    <x v="0"/>
    <n v="0.86052300000000004"/>
    <s v="Per HBL or OBL or Container"/>
    <s v="STL"/>
    <n v="8.6052300000000006"/>
    <s v="Y"/>
    <x v="13"/>
    <x v="13"/>
    <n v="1"/>
    <n v="1"/>
    <n v="1"/>
    <x v="13"/>
    <s v=""/>
    <s v="Import/Export Sea Cargo CFS/CTO Customs Functions"/>
    <x v="1"/>
    <x v="0"/>
    <x v="0"/>
    <x v="61"/>
    <x v="33"/>
  </r>
  <r>
    <x v="3"/>
    <x v="107"/>
    <s v="IQM"/>
    <s v="IQM"/>
    <x v="93"/>
    <x v="0"/>
    <x v="0"/>
    <n v="3.4420899999999999"/>
    <s v="Per Report Message"/>
    <s v="STL"/>
    <n v="34.420900000000003"/>
    <s v="Y"/>
    <x v="6"/>
    <x v="6"/>
    <n v="1"/>
    <n v="1"/>
    <n v="1"/>
    <x v="6"/>
    <s v=""/>
    <s v="Air/Sea/Rail/Road Consol/Manifest/Quarantine Report"/>
    <x v="1"/>
    <x v="0"/>
    <x v="0"/>
    <x v="62"/>
    <x v="34"/>
  </r>
  <r>
    <x v="3"/>
    <x v="108"/>
    <s v="CPT"/>
    <s v="PRT"/>
    <x v="94"/>
    <x v="0"/>
    <x v="0"/>
    <n v="0.86052300000000004"/>
    <s v="Per PRA/ERA Message"/>
    <s v="STL"/>
    <n v="8.6052300000000006"/>
    <s v="Y"/>
    <x v="13"/>
    <x v="13"/>
    <n v="1"/>
    <n v="1"/>
    <n v="1"/>
    <x v="13"/>
    <s v=""/>
    <s v="Pre Receival (PRA) / Export Receival Advice (ERA)"/>
    <x v="1"/>
    <x v="0"/>
    <x v="0"/>
    <x v="63"/>
    <x v="35"/>
  </r>
  <r>
    <x v="3"/>
    <x v="109"/>
    <m/>
    <m/>
    <x v="95"/>
    <x v="0"/>
    <x v="0"/>
    <n v="0.86052300000000004"/>
    <s v="Per Slot Request"/>
    <s v="STL"/>
    <n v="8.6052300000000006"/>
    <s v="Y"/>
    <x v="13"/>
    <x v="13"/>
    <n v="1"/>
    <n v="1"/>
    <n v="1"/>
    <x v="13"/>
    <s v=""/>
    <s v="Slot Booking Request / Port, CFS, CY Slot request"/>
    <x v="1"/>
    <x v="0"/>
    <x v="0"/>
    <x v="64"/>
    <x v="36"/>
  </r>
  <r>
    <x v="3"/>
    <x v="110"/>
    <s v="ACS"/>
    <s v="CAU"/>
    <x v="96"/>
    <x v="0"/>
    <x v="0"/>
    <n v="1.03"/>
    <s v="Per Direct MAWB or HAWB"/>
    <s v="STL"/>
    <n v="10.3"/>
    <s v="Y"/>
    <x v="50"/>
    <x v="50"/>
    <n v="1"/>
    <n v="1"/>
    <n v="1"/>
    <x v="49"/>
    <s v=""/>
    <s v="Pre-loading Advance Cargo Information Filing (PLACI)"/>
    <x v="1"/>
    <x v="0"/>
    <x v="0"/>
    <x v="65"/>
    <x v="37"/>
  </r>
  <r>
    <x v="2"/>
    <x v="111"/>
    <m/>
    <m/>
    <x v="97"/>
    <x v="0"/>
    <x v="0"/>
    <n v="0"/>
    <m/>
    <s v="STL"/>
    <n v="0"/>
    <s v="Y"/>
    <x v="0"/>
    <x v="0"/>
    <n v="1"/>
    <n v="1"/>
    <n v="1"/>
    <x v="0"/>
    <s v=""/>
    <s v="Liner &amp; Agency Functions"/>
    <x v="1"/>
    <x v="0"/>
    <x v="17"/>
    <x v="0"/>
    <x v="0"/>
  </r>
  <r>
    <x v="3"/>
    <x v="112"/>
    <s v="STL"/>
    <s v="SRI"/>
    <x v="98"/>
    <x v="0"/>
    <x v="0"/>
    <n v="3.4420899999999999"/>
    <s v="Per OBL"/>
    <s v="STL"/>
    <n v="34.420900000000003"/>
    <s v="Y"/>
    <x v="6"/>
    <x v="6"/>
    <n v="1"/>
    <n v="1"/>
    <n v="1"/>
    <x v="6"/>
    <s v=""/>
    <s v="Import/Export Shipping Customs Report"/>
    <x v="1"/>
    <x v="0"/>
    <x v="0"/>
    <x v="66"/>
    <x v="38"/>
  </r>
  <r>
    <x v="3"/>
    <x v="113"/>
    <s v="CPT"/>
    <s v="SDT"/>
    <x v="99"/>
    <x v="0"/>
    <x v="0"/>
    <n v="0.86052300000000004"/>
    <s v="Per Container"/>
    <s v="STL"/>
    <n v="8.6052300000000006"/>
    <s v="Y"/>
    <x v="13"/>
    <x v="13"/>
    <n v="1"/>
    <n v="1"/>
    <n v="1"/>
    <x v="13"/>
    <s v=""/>
    <s v="Container Release/Container Arrive PreAdvice/Delivery Order"/>
    <x v="1"/>
    <x v="0"/>
    <x v="0"/>
    <x v="67"/>
    <x v="8"/>
  </r>
  <r>
    <x v="3"/>
    <x v="114"/>
    <s v="CPT"/>
    <s v="SPT"/>
    <x v="100"/>
    <x v="0"/>
    <x v="0"/>
    <n v="0.28684100000000001"/>
    <s v="Per Bill of Lading"/>
    <s v="STL"/>
    <n v="2.8684099999999999"/>
    <s v="Y"/>
    <x v="51"/>
    <x v="51"/>
    <n v="1"/>
    <n v="1"/>
    <n v="1"/>
    <x v="50"/>
    <s v=""/>
    <s v="Port Authority/Stevedore Manifest (Shipping Manifest, Load/Discharge List)"/>
    <x v="1"/>
    <x v="0"/>
    <x v="0"/>
    <x v="68"/>
    <x v="39"/>
  </r>
  <r>
    <x v="3"/>
    <x v="115"/>
    <m/>
    <m/>
    <x v="101"/>
    <x v="0"/>
    <x v="0"/>
    <n v="0.86052300000000004"/>
    <s v="Per Bill of Lading with DG"/>
    <s v="STL"/>
    <n v="8.6052300000000006"/>
    <s v="Y"/>
    <x v="13"/>
    <x v="13"/>
    <n v="1"/>
    <n v="1"/>
    <n v="1"/>
    <x v="13"/>
    <s v=""/>
    <s v="Dangerous Goods Declaration"/>
    <x v="1"/>
    <x v="0"/>
    <x v="0"/>
    <x v="69"/>
    <x v="40"/>
  </r>
  <r>
    <x v="3"/>
    <x v="116"/>
    <s v="STL"/>
    <s v="OCK"/>
    <x v="102"/>
    <x v="0"/>
    <x v="0"/>
    <n v="5.7368000000000002E-2"/>
    <s v="Per Movement"/>
    <s v="STL"/>
    <n v="0.57367999999999997"/>
    <s v="Y"/>
    <x v="15"/>
    <x v="15"/>
    <n v="1"/>
    <n v="1"/>
    <n v="1"/>
    <x v="15"/>
    <s v=""/>
    <s v="Container Movement Tracking"/>
    <x v="1"/>
    <x v="0"/>
    <x v="0"/>
    <x v="70"/>
    <x v="41"/>
  </r>
  <r>
    <x v="2"/>
    <x v="117"/>
    <m/>
    <m/>
    <x v="103"/>
    <x v="0"/>
    <x v="0"/>
    <n v="0"/>
    <m/>
    <s v="STL"/>
    <n v="0"/>
    <s v="Y"/>
    <x v="0"/>
    <x v="0"/>
    <n v="1"/>
    <n v="1"/>
    <n v="1"/>
    <x v="0"/>
    <s v=""/>
    <s v="Forwarding Port Messaging"/>
    <x v="1"/>
    <x v="0"/>
    <x v="18"/>
    <x v="0"/>
    <x v="0"/>
  </r>
  <r>
    <x v="3"/>
    <x v="118"/>
    <s v="PMG"/>
    <s v="PM1"/>
    <x v="104"/>
    <x v="0"/>
    <x v="0"/>
    <n v="1.5259929999999999"/>
    <s v="Per Registration/First Message"/>
    <s v="STL"/>
    <n v="15.259930000000001"/>
    <s v="Y"/>
    <x v="52"/>
    <x v="52"/>
    <n v="1"/>
    <n v="1"/>
    <n v="1"/>
    <x v="51"/>
    <s v=""/>
    <s v="Port Messaging Data Record / Original Entry (eg. MRN)"/>
    <x v="1"/>
    <x v="0"/>
    <x v="0"/>
    <x v="71"/>
    <x v="24"/>
  </r>
  <r>
    <x v="3"/>
    <x v="119"/>
    <s v="PMG"/>
    <s v="PM2"/>
    <x v="105"/>
    <x v="0"/>
    <x v="0"/>
    <n v="0.76299700000000004"/>
    <s v="Per Message"/>
    <s v="STL"/>
    <n v="7.6299700000000001"/>
    <s v="Y"/>
    <x v="53"/>
    <x v="53"/>
    <n v="1"/>
    <n v="1"/>
    <n v="1"/>
    <x v="52"/>
    <s v=""/>
    <s v="Port Other Messages (eManifest /eCLP /eTerminal Release/Delivery/Stop/Gate Pass/Request/Cert/Cargo Dues etc)"/>
    <x v="1"/>
    <x v="0"/>
    <x v="0"/>
    <x v="72"/>
    <x v="42"/>
  </r>
  <r>
    <x v="3"/>
    <x v="120"/>
    <s v="PMG"/>
    <s v="PM3"/>
    <x v="106"/>
    <x v="0"/>
    <x v="0"/>
    <n v="0.37863000000000002"/>
    <s v="Per Message"/>
    <s v="STL"/>
    <n v="3.7863000000000002"/>
    <s v="Y"/>
    <x v="54"/>
    <x v="54"/>
    <n v="1"/>
    <n v="1"/>
    <n v="1"/>
    <x v="53"/>
    <s v=""/>
    <s v="Port Status"/>
    <x v="1"/>
    <x v="0"/>
    <x v="0"/>
    <x v="73"/>
    <x v="42"/>
  </r>
  <r>
    <x v="0"/>
    <x v="121"/>
    <m/>
    <m/>
    <x v="107"/>
    <x v="0"/>
    <x v="0"/>
    <n v="0"/>
    <m/>
    <s v="STL"/>
    <n v="0"/>
    <s v="N"/>
    <x v="0"/>
    <x v="0"/>
    <n v="1"/>
    <n v="1"/>
    <n v="1"/>
    <x v="0"/>
    <s v=""/>
    <s v="Bundled Language, Geographic Compliance, Online Air and Sea Schedule Data, Trade and Shipping Data and Reference Data Sets"/>
    <x v="4"/>
    <x v="0"/>
    <x v="0"/>
    <x v="0"/>
    <x v="0"/>
  </r>
  <r>
    <x v="2"/>
    <x v="122"/>
    <m/>
    <m/>
    <x v="108"/>
    <x v="0"/>
    <x v="0"/>
    <n v="0"/>
    <m/>
    <s v="STL"/>
    <n v="0"/>
    <s v="N"/>
    <x v="0"/>
    <x v="0"/>
    <n v="1"/>
    <n v="1"/>
    <n v="1"/>
    <x v="0"/>
    <s v=""/>
    <s v="Pricing is based on Average Registered Users per Country in the billing month."/>
    <x v="1"/>
    <x v="0"/>
    <x v="19"/>
    <x v="0"/>
    <x v="0"/>
  </r>
  <r>
    <x v="3"/>
    <x v="123"/>
    <s v="ODM"/>
    <s v="GPC"/>
    <x v="109"/>
    <x v="0"/>
    <x v="0"/>
    <n v="0"/>
    <s v="C - Country"/>
    <s v="STL"/>
    <n v="0"/>
    <s v="N"/>
    <x v="0"/>
    <x v="0"/>
    <n v="1"/>
    <n v="1"/>
    <n v="1"/>
    <x v="0"/>
    <s v=""/>
    <s v="Less than or equal to 5 users"/>
    <x v="1"/>
    <x v="0"/>
    <x v="0"/>
    <x v="74"/>
    <x v="43"/>
  </r>
  <r>
    <x v="3"/>
    <x v="124"/>
    <s v="ODM"/>
    <s v="GPC"/>
    <x v="110"/>
    <x v="0"/>
    <x v="0"/>
    <n v="185.76358999999999"/>
    <s v="C - Country"/>
    <s v="STL"/>
    <n v="1857.6359"/>
    <s v="N"/>
    <x v="55"/>
    <x v="55"/>
    <n v="1"/>
    <n v="1"/>
    <n v="1"/>
    <x v="54"/>
    <s v=""/>
    <s v="Greater than 5 users"/>
    <x v="1"/>
    <x v="0"/>
    <x v="0"/>
    <x v="75"/>
    <x v="43"/>
  </r>
  <r>
    <x v="3"/>
    <x v="125"/>
    <s v="ODM"/>
    <s v="GPC"/>
    <x v="111"/>
    <x v="0"/>
    <x v="0"/>
    <n v="464.67419999999998"/>
    <s v="C - Country"/>
    <s v="STL"/>
    <n v="4646.7420000000002"/>
    <s v="N"/>
    <x v="56"/>
    <x v="56"/>
    <n v="1"/>
    <n v="1"/>
    <n v="1"/>
    <x v="55"/>
    <s v=""/>
    <s v="Greater than 25 users"/>
    <x v="1"/>
    <x v="0"/>
    <x v="0"/>
    <x v="76"/>
    <x v="43"/>
  </r>
  <r>
    <x v="3"/>
    <x v="126"/>
    <s v="ODM"/>
    <s v="GPC"/>
    <x v="112"/>
    <x v="0"/>
    <x v="0"/>
    <n v="934.28158499999995"/>
    <s v="C - Country"/>
    <s v="STL"/>
    <n v="9342.8158500000009"/>
    <s v="N"/>
    <x v="57"/>
    <x v="57"/>
    <n v="1"/>
    <n v="1"/>
    <n v="1"/>
    <x v="56"/>
    <s v=""/>
    <s v="Greater than 100 users"/>
    <x v="1"/>
    <x v="0"/>
    <x v="0"/>
    <x v="77"/>
    <x v="43"/>
  </r>
  <r>
    <x v="0"/>
    <x v="127"/>
    <m/>
    <m/>
    <x v="113"/>
    <x v="0"/>
    <x v="0"/>
    <n v="0"/>
    <m/>
    <s v="STL"/>
    <n v="0"/>
    <s v="Y"/>
    <x v="0"/>
    <x v="0"/>
    <n v="1"/>
    <n v="1"/>
    <n v="1"/>
    <x v="0"/>
    <s v=""/>
    <s v="Additional Services"/>
    <x v="5"/>
    <x v="0"/>
    <x v="0"/>
    <x v="0"/>
    <x v="0"/>
  </r>
  <r>
    <x v="1"/>
    <x v="128"/>
    <m/>
    <m/>
    <x v="114"/>
    <x v="0"/>
    <x v="0"/>
    <n v="0"/>
    <m/>
    <s v="STL"/>
    <n v="0"/>
    <s v="Y"/>
    <x v="0"/>
    <x v="0"/>
    <n v="1"/>
    <n v="1"/>
    <n v="1"/>
    <x v="0"/>
    <s v=""/>
    <s v="Additional Services"/>
    <x v="1"/>
    <x v="14"/>
    <x v="0"/>
    <x v="0"/>
    <x v="0"/>
  </r>
  <r>
    <x v="2"/>
    <x v="129"/>
    <m/>
    <m/>
    <x v="115"/>
    <x v="0"/>
    <x v="0"/>
    <n v="0"/>
    <m/>
    <s v="STL"/>
    <n v="0"/>
    <s v="Y"/>
    <x v="0"/>
    <x v="0"/>
    <n v="1"/>
    <n v="1"/>
    <n v="1"/>
    <x v="0"/>
    <s v=""/>
    <s v="Distance Calculations"/>
    <x v="1"/>
    <x v="0"/>
    <x v="20"/>
    <x v="0"/>
    <x v="0"/>
  </r>
  <r>
    <x v="3"/>
    <x v="130"/>
    <s v="DCG"/>
    <s v="DCG"/>
    <x v="116"/>
    <x v="0"/>
    <x v="0"/>
    <n v="0.114736"/>
    <s v="Per Query"/>
    <s v="STL"/>
    <n v="1.1473599999999999"/>
    <s v="Y"/>
    <x v="14"/>
    <x v="14"/>
    <n v="1"/>
    <n v="1"/>
    <n v="1"/>
    <x v="14"/>
    <s v=""/>
    <s v="Distance Calculator (Google)"/>
    <x v="1"/>
    <x v="0"/>
    <x v="0"/>
    <x v="78"/>
    <x v="44"/>
  </r>
  <r>
    <x v="2"/>
    <x v="131"/>
    <m/>
    <m/>
    <x v="117"/>
    <x v="0"/>
    <x v="0"/>
    <n v="0"/>
    <m/>
    <s v="STL"/>
    <n v="0"/>
    <s v="Y"/>
    <x v="0"/>
    <x v="0"/>
    <n v="1"/>
    <n v="1"/>
    <n v="1"/>
    <x v="0"/>
    <s v=""/>
    <s v="Messaging and Electronic Submission"/>
    <x v="1"/>
    <x v="0"/>
    <x v="21"/>
    <x v="0"/>
    <x v="0"/>
  </r>
  <r>
    <x v="3"/>
    <x v="132"/>
    <s v="AMG"/>
    <s v="AIR"/>
    <x v="118"/>
    <x v="0"/>
    <x v="0"/>
    <n v="0.114736"/>
    <s v="Per outward FWB/FHL/FSR"/>
    <s v="STL"/>
    <n v="1.1473599999999999"/>
    <s v="Y"/>
    <x v="14"/>
    <x v="14"/>
    <n v="1"/>
    <n v="1"/>
    <n v="1"/>
    <x v="14"/>
    <s v=""/>
    <s v="Airlines Messaging (FWB/FHL//FSR)"/>
    <x v="1"/>
    <x v="0"/>
    <x v="0"/>
    <x v="79"/>
    <x v="45"/>
  </r>
  <r>
    <x v="3"/>
    <x v="133"/>
    <m/>
    <m/>
    <x v="119"/>
    <x v="0"/>
    <x v="0"/>
    <n v="5.7368000000000002E-2"/>
    <s v="Per Booking/Shipping Instruction Message Sent"/>
    <s v="STL"/>
    <n v="0.57367999999999997"/>
    <s v="Y"/>
    <x v="15"/>
    <x v="15"/>
    <n v="1"/>
    <n v="1"/>
    <n v="1"/>
    <x v="15"/>
    <s v=""/>
    <s v="Booking/Shipping Instruction/Shipping Order (China) - submission to Carrier"/>
    <x v="1"/>
    <x v="0"/>
    <x v="0"/>
    <x v="80"/>
    <x v="46"/>
  </r>
  <r>
    <x v="3"/>
    <x v="134"/>
    <s v="SHI"/>
    <s v="VGM"/>
    <x v="120"/>
    <x v="0"/>
    <x v="0"/>
    <n v="5.7368000000000002E-2"/>
    <s v="Per Container"/>
    <s v="STL"/>
    <n v="0.57367999999999997"/>
    <s v="Y"/>
    <x v="15"/>
    <x v="15"/>
    <n v="1"/>
    <n v="1"/>
    <n v="1"/>
    <x v="15"/>
    <s v=""/>
    <s v="VGM - submission to Carrier"/>
    <x v="1"/>
    <x v="0"/>
    <x v="0"/>
    <x v="81"/>
    <x v="8"/>
  </r>
  <r>
    <x v="3"/>
    <x v="135"/>
    <s v="SHI"/>
    <s v="NVS"/>
    <x v="121"/>
    <x v="0"/>
    <x v="0"/>
    <n v="5.7368000000000002E-2"/>
    <s v="Per Status Event Received"/>
    <s v="STL"/>
    <n v="0.57367999999999997"/>
    <s v="Y"/>
    <x v="15"/>
    <x v="15"/>
    <n v="1"/>
    <n v="1"/>
    <n v="1"/>
    <x v="15"/>
    <s v=""/>
    <s v="Status Events not otherwise provided for"/>
    <x v="1"/>
    <x v="0"/>
    <x v="0"/>
    <x v="82"/>
    <x v="47"/>
  </r>
  <r>
    <x v="2"/>
    <x v="136"/>
    <m/>
    <m/>
    <x v="122"/>
    <x v="0"/>
    <x v="0"/>
    <n v="0"/>
    <m/>
    <s v="STL"/>
    <n v="0"/>
    <s v="Y"/>
    <x v="0"/>
    <x v="0"/>
    <n v="1"/>
    <n v="1"/>
    <n v="1"/>
    <x v="0"/>
    <s v=""/>
    <s v="Carrier/NVOCC Messaging"/>
    <x v="1"/>
    <x v="0"/>
    <x v="22"/>
    <x v="0"/>
    <x v="0"/>
  </r>
  <r>
    <x v="3"/>
    <x v="137"/>
    <s v="SHI"/>
    <s v="CMV"/>
    <x v="123"/>
    <x v="0"/>
    <x v="0"/>
    <n v="0.57368200000000003"/>
    <s v="Per Container"/>
    <s v="STL"/>
    <n v="5.7368199999999998"/>
    <s v="Y"/>
    <x v="7"/>
    <x v="7"/>
    <n v="1"/>
    <n v="1"/>
    <n v="1"/>
    <x v="7"/>
    <s v=""/>
    <s v="Receiving VGM"/>
    <x v="1"/>
    <x v="0"/>
    <x v="0"/>
    <x v="83"/>
    <x v="8"/>
  </r>
  <r>
    <x v="3"/>
    <x v="138"/>
    <s v="SHI"/>
    <s v="CBR"/>
    <x v="124"/>
    <x v="0"/>
    <x v="0"/>
    <n v="0.57368200000000003"/>
    <s v="Per Shipment"/>
    <s v="STL"/>
    <n v="5.7368199999999998"/>
    <s v="Y"/>
    <x v="7"/>
    <x v="7"/>
    <n v="1"/>
    <n v="1"/>
    <n v="1"/>
    <x v="7"/>
    <s v=""/>
    <s v="Receiving Booking/SI"/>
    <x v="1"/>
    <x v="0"/>
    <x v="0"/>
    <x v="84"/>
    <x v="48"/>
  </r>
  <r>
    <x v="2"/>
    <x v="139"/>
    <m/>
    <m/>
    <x v="125"/>
    <x v="0"/>
    <x v="0"/>
    <n v="0"/>
    <m/>
    <s v="STL"/>
    <n v="0"/>
    <s v="Y"/>
    <x v="0"/>
    <x v="0"/>
    <n v="1"/>
    <n v="1"/>
    <n v="1"/>
    <x v="0"/>
    <s v=""/>
    <s v="Tracking Functions"/>
    <x v="1"/>
    <x v="0"/>
    <x v="23"/>
    <x v="0"/>
    <x v="0"/>
  </r>
  <r>
    <x v="3"/>
    <x v="140"/>
    <s v="RIM"/>
    <s v="RIC"/>
    <x v="126"/>
    <x v="0"/>
    <x v="0"/>
    <n v="5.4635999999999997E-2"/>
    <s v="Per Event Received"/>
    <s v="STL"/>
    <n v="0.54635999999999996"/>
    <s v="Y"/>
    <x v="58"/>
    <x v="58"/>
    <n v="1"/>
    <n v="1"/>
    <n v="1"/>
    <x v="57"/>
    <s v=""/>
    <s v="Railinc Tracking Event"/>
    <x v="1"/>
    <x v="0"/>
    <x v="0"/>
    <x v="85"/>
    <x v="49"/>
  </r>
  <r>
    <x v="3"/>
    <x v="141"/>
    <m/>
    <m/>
    <x v="127"/>
    <x v="0"/>
    <x v="0"/>
    <n v="0"/>
    <s v="Per LCL Booking (Currently on introductory pricing)"/>
    <s v="STL"/>
    <n v="0"/>
    <s v="Y"/>
    <x v="0"/>
    <x v="0"/>
    <n v="1"/>
    <n v="1"/>
    <n v="1"/>
    <x v="0"/>
    <s v=""/>
    <s v="LCL Tracking &amp; Automation"/>
    <x v="1"/>
    <x v="0"/>
    <x v="0"/>
    <x v="86"/>
    <x v="50"/>
  </r>
  <r>
    <x v="3"/>
    <x v="142"/>
    <m/>
    <m/>
    <x v="128"/>
    <x v="0"/>
    <x v="0"/>
    <n v="0"/>
    <s v="Included in Booking/SI"/>
    <s v="STL"/>
    <n v="0"/>
    <s v="Y"/>
    <x v="0"/>
    <x v="0"/>
    <n v="1"/>
    <n v="1"/>
    <n v="1"/>
    <x v="0"/>
    <s v=""/>
    <s v="Ocean Bill Tracking"/>
    <x v="1"/>
    <x v="0"/>
    <x v="0"/>
    <x v="87"/>
    <x v="51"/>
  </r>
  <r>
    <x v="3"/>
    <x v="143"/>
    <m/>
    <m/>
    <x v="129"/>
    <x v="0"/>
    <x v="0"/>
    <n v="0"/>
    <s v="Included in FWB/FSR transaction"/>
    <s v="STL"/>
    <n v="0"/>
    <s v="Y"/>
    <x v="0"/>
    <x v="0"/>
    <n v="1"/>
    <n v="1"/>
    <n v="1"/>
    <x v="0"/>
    <s v=""/>
    <s v="Airline FSU/FSA/FMA/FNA"/>
    <x v="1"/>
    <x v="0"/>
    <x v="0"/>
    <x v="88"/>
    <x v="52"/>
  </r>
  <r>
    <x v="0"/>
    <x v="144"/>
    <m/>
    <m/>
    <x v="130"/>
    <x v="0"/>
    <x v="0"/>
    <n v="0"/>
    <m/>
    <s v="STL"/>
    <n v="0"/>
    <s v="Y"/>
    <x v="0"/>
    <x v="0"/>
    <n v="1"/>
    <n v="1"/>
    <n v="1"/>
    <x v="0"/>
    <s v=""/>
    <s v="CRM / Sales Management / HRM"/>
    <x v="6"/>
    <x v="0"/>
    <x v="0"/>
    <x v="0"/>
    <x v="0"/>
  </r>
  <r>
    <x v="1"/>
    <x v="145"/>
    <m/>
    <m/>
    <x v="131"/>
    <x v="0"/>
    <x v="0"/>
    <n v="0"/>
    <m/>
    <s v="STL"/>
    <n v="0"/>
    <s v="Y"/>
    <x v="0"/>
    <x v="0"/>
    <n v="1"/>
    <n v="1"/>
    <n v="1"/>
    <x v="0"/>
    <s v=""/>
    <s v="Sales and Marketing System"/>
    <x v="1"/>
    <x v="15"/>
    <x v="0"/>
    <x v="0"/>
    <x v="0"/>
  </r>
  <r>
    <x v="2"/>
    <x v="146"/>
    <m/>
    <m/>
    <x v="132"/>
    <x v="0"/>
    <x v="0"/>
    <n v="0"/>
    <s v="Included"/>
    <s v="STL"/>
    <n v="0"/>
    <s v="Y"/>
    <x v="0"/>
    <x v="0"/>
    <n v="1"/>
    <n v="1"/>
    <n v="1"/>
    <x v="0"/>
    <s v=""/>
    <s v="General Sales and Marketing tools"/>
    <x v="1"/>
    <x v="0"/>
    <x v="24"/>
    <x v="0"/>
    <x v="9"/>
  </r>
  <r>
    <x v="3"/>
    <x v="147"/>
    <m/>
    <m/>
    <x v="133"/>
    <x v="0"/>
    <x v="0"/>
    <n v="0"/>
    <s v="Included"/>
    <s v="STL"/>
    <n v="0"/>
    <s v="Y"/>
    <x v="0"/>
    <x v="0"/>
    <n v="1"/>
    <n v="1"/>
    <n v="1"/>
    <x v="0"/>
    <s v=""/>
    <s v="Customer and Competitor Intelligence"/>
    <x v="1"/>
    <x v="0"/>
    <x v="0"/>
    <x v="89"/>
    <x v="9"/>
  </r>
  <r>
    <x v="3"/>
    <x v="148"/>
    <m/>
    <m/>
    <x v="134"/>
    <x v="0"/>
    <x v="0"/>
    <n v="0"/>
    <s v="Included"/>
    <s v="STL"/>
    <n v="0"/>
    <s v="Y"/>
    <x v="0"/>
    <x v="0"/>
    <n v="1"/>
    <n v="1"/>
    <n v="1"/>
    <x v="0"/>
    <s v=""/>
    <s v="Inquiry Manager"/>
    <x v="1"/>
    <x v="0"/>
    <x v="0"/>
    <x v="90"/>
    <x v="9"/>
  </r>
  <r>
    <x v="3"/>
    <x v="149"/>
    <m/>
    <m/>
    <x v="135"/>
    <x v="0"/>
    <x v="0"/>
    <n v="0"/>
    <s v="Included"/>
    <s v="STL"/>
    <n v="0"/>
    <s v="Y"/>
    <x v="0"/>
    <x v="0"/>
    <n v="1"/>
    <n v="1"/>
    <n v="1"/>
    <x v="0"/>
    <s v=""/>
    <s v="Communications Manager"/>
    <x v="1"/>
    <x v="0"/>
    <x v="0"/>
    <x v="91"/>
    <x v="9"/>
  </r>
  <r>
    <x v="2"/>
    <x v="150"/>
    <m/>
    <m/>
    <x v="136"/>
    <x v="0"/>
    <x v="0"/>
    <n v="0"/>
    <m/>
    <s v="STL"/>
    <n v="0"/>
    <s v="Y"/>
    <x v="0"/>
    <x v="0"/>
    <n v="1"/>
    <n v="1"/>
    <n v="1"/>
    <x v="0"/>
    <s v=""/>
    <s v="Sales and Marketing Power Functions"/>
    <x v="1"/>
    <x v="0"/>
    <x v="25"/>
    <x v="0"/>
    <x v="0"/>
  </r>
  <r>
    <x v="3"/>
    <x v="151"/>
    <s v="STL"/>
    <s v="CMR"/>
    <x v="137"/>
    <x v="0"/>
    <x v="0"/>
    <n v="6.8841799999999997"/>
    <s v="Per Campaign (Free if CargoWise Certification Program requirements are met - refer to MyAccount)"/>
    <s v="STL"/>
    <n v="68.841800000000006"/>
    <s v="Y"/>
    <x v="18"/>
    <x v="18"/>
    <n v="1"/>
    <n v="1"/>
    <n v="1"/>
    <x v="18"/>
    <s v=""/>
    <s v="Campaign Manager - Campaign Registration"/>
    <x v="1"/>
    <x v="0"/>
    <x v="0"/>
    <x v="92"/>
    <x v="53"/>
  </r>
  <r>
    <x v="4"/>
    <x v="152"/>
    <s v="STL"/>
    <s v="CME"/>
    <x v="138"/>
    <x v="0"/>
    <x v="0"/>
    <n v="5.7368000000000002E-2"/>
    <s v="Per Email (Free if CargoWise Certification Program requirements are met - refer to MyAccount)"/>
    <s v="STL"/>
    <n v="0.57367999999999997"/>
    <s v="Y"/>
    <x v="15"/>
    <x v="15"/>
    <n v="1"/>
    <n v="1"/>
    <n v="1"/>
    <x v="15"/>
    <s v=""/>
    <s v="- Email Creation and Transmission"/>
    <x v="1"/>
    <x v="0"/>
    <x v="0"/>
    <x v="93"/>
    <x v="54"/>
  </r>
  <r>
    <x v="3"/>
    <x v="153"/>
    <s v="STL"/>
    <s v="OPM"/>
    <x v="139"/>
    <x v="0"/>
    <x v="0"/>
    <n v="6.8841799999999997"/>
    <s v="Per Opportunity (Free if CargoWise Certification Program requirements are met - refer to MyAccount)"/>
    <s v="STL"/>
    <n v="68.841800000000006"/>
    <s v="Y"/>
    <x v="18"/>
    <x v="18"/>
    <n v="1"/>
    <n v="1"/>
    <n v="1"/>
    <x v="18"/>
    <s v=""/>
    <s v="Opportunity Manager"/>
    <x v="1"/>
    <x v="0"/>
    <x v="0"/>
    <x v="94"/>
    <x v="55"/>
  </r>
  <r>
    <x v="3"/>
    <x v="154"/>
    <m/>
    <m/>
    <x v="140"/>
    <x v="0"/>
    <x v="0"/>
    <n v="6.8841799999999997"/>
    <s v="Per Event (Free if CargoWise Certification Program requirements are met - refer to MyAccount)"/>
    <s v="STL"/>
    <n v="68.841800000000006"/>
    <s v="Y"/>
    <x v="18"/>
    <x v="18"/>
    <n v="1"/>
    <n v="1"/>
    <n v="1"/>
    <x v="18"/>
    <s v=""/>
    <s v="Event Manager - Event Registration"/>
    <x v="1"/>
    <x v="0"/>
    <x v="0"/>
    <x v="95"/>
    <x v="56"/>
  </r>
  <r>
    <x v="5"/>
    <x v="155"/>
    <m/>
    <m/>
    <x v="141"/>
    <x v="0"/>
    <x v="0"/>
    <n v="0.22947300000000001"/>
    <s v="Per Attendee (Free if CargoWise Certification Program requirements are met - refer to MyAccount)"/>
    <s v="STL"/>
    <n v="2.2947299999999999"/>
    <s v="Y"/>
    <x v="16"/>
    <x v="16"/>
    <n v="1"/>
    <n v="1"/>
    <n v="1"/>
    <x v="16"/>
    <s v=""/>
    <s v="- Per Attendee"/>
    <x v="1"/>
    <x v="0"/>
    <x v="0"/>
    <x v="96"/>
    <x v="57"/>
  </r>
  <r>
    <x v="3"/>
    <x v="156"/>
    <m/>
    <m/>
    <x v="142"/>
    <x v="0"/>
    <x v="0"/>
    <n v="2.294727"/>
    <s v="Per Quotation (Free if CargoWise Certification Program requirements are met - refer to MyAccount)"/>
    <s v="STL"/>
    <n v="22.94727"/>
    <s v="Y"/>
    <x v="4"/>
    <x v="4"/>
    <n v="1"/>
    <n v="1"/>
    <n v="1"/>
    <x v="4"/>
    <s v=""/>
    <s v="Quotation Manager"/>
    <x v="1"/>
    <x v="0"/>
    <x v="0"/>
    <x v="97"/>
    <x v="58"/>
  </r>
  <r>
    <x v="1"/>
    <x v="157"/>
    <m/>
    <m/>
    <x v="143"/>
    <x v="0"/>
    <x v="0"/>
    <n v="0"/>
    <m/>
    <s v="STL"/>
    <n v="0"/>
    <s v="Y"/>
    <x v="0"/>
    <x v="0"/>
    <n v="1"/>
    <n v="1"/>
    <n v="1"/>
    <x v="0"/>
    <s v=""/>
    <s v="Human Resources Manager"/>
    <x v="1"/>
    <x v="16"/>
    <x v="0"/>
    <x v="0"/>
    <x v="0"/>
  </r>
  <r>
    <x v="2"/>
    <x v="158"/>
    <m/>
    <m/>
    <x v="144"/>
    <x v="0"/>
    <x v="0"/>
    <n v="0"/>
    <s v="Included in Seat Lic of STL"/>
    <s v="STL"/>
    <n v="0"/>
    <s v="Y"/>
    <x v="0"/>
    <x v="0"/>
    <n v="1"/>
    <n v="1"/>
    <n v="1"/>
    <x v="0"/>
    <s v=""/>
    <s v="Staff Management"/>
    <x v="1"/>
    <x v="0"/>
    <x v="26"/>
    <x v="0"/>
    <x v="59"/>
  </r>
  <r>
    <x v="3"/>
    <x v="159"/>
    <m/>
    <m/>
    <x v="145"/>
    <x v="0"/>
    <x v="0"/>
    <n v="0"/>
    <s v="Included in Seat Lic of STL"/>
    <s v="STL"/>
    <n v="0"/>
    <s v="Y"/>
    <x v="0"/>
    <x v="0"/>
    <n v="1"/>
    <n v="1"/>
    <n v="1"/>
    <x v="0"/>
    <s v=""/>
    <s v="Leave Manager"/>
    <x v="1"/>
    <x v="0"/>
    <x v="0"/>
    <x v="98"/>
    <x v="59"/>
  </r>
  <r>
    <x v="3"/>
    <x v="160"/>
    <m/>
    <m/>
    <x v="146"/>
    <x v="0"/>
    <x v="0"/>
    <n v="0"/>
    <s v="Included in Seat Lic of STL"/>
    <s v="STL"/>
    <n v="0"/>
    <s v="Y"/>
    <x v="0"/>
    <x v="0"/>
    <n v="1"/>
    <n v="1"/>
    <n v="1"/>
    <x v="0"/>
    <s v=""/>
    <s v="licence and Certification Manager"/>
    <x v="1"/>
    <x v="0"/>
    <x v="0"/>
    <x v="99"/>
    <x v="59"/>
  </r>
  <r>
    <x v="3"/>
    <x v="161"/>
    <m/>
    <m/>
    <x v="147"/>
    <x v="0"/>
    <x v="0"/>
    <n v="0"/>
    <s v="Included in Seat Lic of STL"/>
    <s v="STL"/>
    <n v="0"/>
    <s v="Y"/>
    <x v="0"/>
    <x v="0"/>
    <n v="1"/>
    <n v="1"/>
    <n v="1"/>
    <x v="0"/>
    <s v=""/>
    <s v="Staff Activity Tracking"/>
    <x v="1"/>
    <x v="0"/>
    <x v="0"/>
    <x v="100"/>
    <x v="59"/>
  </r>
  <r>
    <x v="2"/>
    <x v="162"/>
    <m/>
    <m/>
    <x v="148"/>
    <x v="0"/>
    <x v="0"/>
    <n v="0"/>
    <m/>
    <s v="STL"/>
    <n v="0"/>
    <s v="Y"/>
    <x v="0"/>
    <x v="0"/>
    <n v="1"/>
    <n v="1"/>
    <n v="1"/>
    <x v="0"/>
    <s v=""/>
    <s v="Recruitment"/>
    <x v="1"/>
    <x v="0"/>
    <x v="27"/>
    <x v="0"/>
    <x v="0"/>
  </r>
  <r>
    <x v="3"/>
    <x v="163"/>
    <m/>
    <m/>
    <x v="149"/>
    <x v="0"/>
    <x v="0"/>
    <n v="6.8841799999999997"/>
    <s v="Per Job Vacancy"/>
    <s v="STL"/>
    <n v="68.841800000000006"/>
    <s v="Y"/>
    <x v="18"/>
    <x v="18"/>
    <n v="1"/>
    <n v="1"/>
    <n v="1"/>
    <x v="18"/>
    <s v=""/>
    <s v="Recruitment Manager"/>
    <x v="1"/>
    <x v="0"/>
    <x v="0"/>
    <x v="101"/>
    <x v="60"/>
  </r>
  <r>
    <x v="6"/>
    <x v="164"/>
    <m/>
    <m/>
    <x v="150"/>
    <x v="0"/>
    <x v="0"/>
    <n v="2.294727"/>
    <s v="Per Applicant"/>
    <s v="STL"/>
    <n v="22.94727"/>
    <s v="Y"/>
    <x v="4"/>
    <x v="4"/>
    <n v="1"/>
    <n v="1"/>
    <n v="1"/>
    <x v="4"/>
    <s v=""/>
    <s v="- Job Applicant Processing"/>
    <x v="1"/>
    <x v="0"/>
    <x v="0"/>
    <x v="102"/>
    <x v="61"/>
  </r>
  <r>
    <x v="3"/>
    <x v="165"/>
    <m/>
    <m/>
    <x v="151"/>
    <x v="0"/>
    <x v="0"/>
    <n v="0"/>
    <m/>
    <s v="STL"/>
    <n v="0"/>
    <s v="Y"/>
    <x v="0"/>
    <x v="0"/>
    <n v="1"/>
    <n v="1"/>
    <n v="1"/>
    <x v="0"/>
    <s v=""/>
    <s v="Recruitment Portal"/>
    <x v="1"/>
    <x v="0"/>
    <x v="0"/>
    <x v="103"/>
    <x v="0"/>
  </r>
  <r>
    <x v="0"/>
    <x v="166"/>
    <m/>
    <m/>
    <x v="152"/>
    <x v="0"/>
    <x v="0"/>
    <n v="0"/>
    <m/>
    <s v="STL"/>
    <n v="0"/>
    <s v="Y"/>
    <x v="0"/>
    <x v="0"/>
    <n v="1"/>
    <n v="1"/>
    <n v="1"/>
    <x v="0"/>
    <s v=""/>
    <s v="Process and Workflow"/>
    <x v="7"/>
    <x v="0"/>
    <x v="0"/>
    <x v="0"/>
    <x v="0"/>
  </r>
  <r>
    <x v="1"/>
    <x v="167"/>
    <m/>
    <m/>
    <x v="153"/>
    <x v="0"/>
    <x v="0"/>
    <n v="0"/>
    <m/>
    <s v="STL"/>
    <n v="0"/>
    <s v="Y"/>
    <x v="0"/>
    <x v="0"/>
    <n v="1"/>
    <n v="1"/>
    <n v="1"/>
    <x v="0"/>
    <s v=""/>
    <s v="Process and Workflow"/>
    <x v="1"/>
    <x v="17"/>
    <x v="0"/>
    <x v="0"/>
    <x v="0"/>
  </r>
  <r>
    <x v="2"/>
    <x v="168"/>
    <m/>
    <m/>
    <x v="154"/>
    <x v="0"/>
    <x v="0"/>
    <n v="0"/>
    <m/>
    <s v="STL"/>
    <n v="0"/>
    <s v="Y"/>
    <x v="0"/>
    <x v="0"/>
    <n v="1"/>
    <n v="1"/>
    <n v="1"/>
    <x v="0"/>
    <s v=""/>
    <s v="Process Management"/>
    <x v="1"/>
    <x v="0"/>
    <x v="28"/>
    <x v="0"/>
    <x v="0"/>
  </r>
  <r>
    <x v="3"/>
    <x v="169"/>
    <s v="STL"/>
    <s v="WKP"/>
    <x v="155"/>
    <x v="0"/>
    <x v="0"/>
    <n v="1.7210449999999999"/>
    <s v="Per Project Item"/>
    <s v="STL"/>
    <n v="17.210450000000002"/>
    <s v="Y"/>
    <x v="8"/>
    <x v="8"/>
    <n v="1"/>
    <n v="1"/>
    <n v="1"/>
    <x v="8"/>
    <s v=""/>
    <s v="Project System"/>
    <x v="1"/>
    <x v="0"/>
    <x v="0"/>
    <x v="104"/>
    <x v="62"/>
  </r>
  <r>
    <x v="3"/>
    <x v="170"/>
    <s v="STL"/>
    <s v="WKI"/>
    <x v="156"/>
    <x v="0"/>
    <x v="0"/>
    <n v="1.7210449999999999"/>
    <s v="Per Work Item"/>
    <s v="STL"/>
    <n v="17.210450000000002"/>
    <s v="Y"/>
    <x v="8"/>
    <x v="8"/>
    <n v="1"/>
    <n v="1"/>
    <n v="1"/>
    <x v="8"/>
    <s v=""/>
    <s v="WorkItem System"/>
    <x v="1"/>
    <x v="0"/>
    <x v="0"/>
    <x v="105"/>
    <x v="63"/>
  </r>
  <r>
    <x v="3"/>
    <x v="171"/>
    <s v="STL"/>
    <s v="CST"/>
    <x v="157"/>
    <x v="0"/>
    <x v="0"/>
    <n v="1.7210449999999999"/>
    <s v="Per Incident"/>
    <s v="STL"/>
    <n v="17.210450000000002"/>
    <s v="Y"/>
    <x v="8"/>
    <x v="8"/>
    <n v="1"/>
    <n v="1"/>
    <n v="1"/>
    <x v="8"/>
    <s v=""/>
    <s v="Incident System"/>
    <x v="1"/>
    <x v="0"/>
    <x v="0"/>
    <x v="106"/>
    <x v="64"/>
  </r>
  <r>
    <x v="0"/>
    <x v="172"/>
    <m/>
    <m/>
    <x v="158"/>
    <x v="0"/>
    <x v="0"/>
    <n v="0"/>
    <m/>
    <s v="STL"/>
    <n v="0"/>
    <s v="Y"/>
    <x v="0"/>
    <x v="0"/>
    <n v="1"/>
    <n v="1"/>
    <n v="1"/>
    <x v="0"/>
    <s v=""/>
    <s v="Fax Gateway"/>
    <x v="8"/>
    <x v="0"/>
    <x v="0"/>
    <x v="0"/>
    <x v="0"/>
  </r>
  <r>
    <x v="1"/>
    <x v="173"/>
    <m/>
    <m/>
    <x v="159"/>
    <x v="0"/>
    <x v="0"/>
    <n v="0"/>
    <m/>
    <s v="STL"/>
    <n v="0"/>
    <s v="Y"/>
    <x v="0"/>
    <x v="0"/>
    <n v="1"/>
    <n v="1"/>
    <n v="1"/>
    <x v="0"/>
    <s v=""/>
    <s v="Faxing"/>
    <x v="1"/>
    <x v="18"/>
    <x v="0"/>
    <x v="0"/>
    <x v="0"/>
  </r>
  <r>
    <x v="3"/>
    <x v="174"/>
    <s v="FAX"/>
    <s v="FAX"/>
    <x v="160"/>
    <x v="0"/>
    <x v="0"/>
    <n v="0.3"/>
    <s v="Per Fax Page"/>
    <s v="STL"/>
    <n v="0"/>
    <s v="Y"/>
    <x v="59"/>
    <x v="59"/>
    <n v="1"/>
    <n v="1"/>
    <n v="1"/>
    <x v="0"/>
    <s v=""/>
    <s v="Fax Service (Support for Fax Engine is now dropped)"/>
    <x v="1"/>
    <x v="0"/>
    <x v="0"/>
    <x v="107"/>
    <x v="65"/>
  </r>
  <r>
    <x v="0"/>
    <x v="175"/>
    <m/>
    <m/>
    <x v="161"/>
    <x v="0"/>
    <x v="0"/>
    <n v="0"/>
    <m/>
    <s v="STL"/>
    <n v="0"/>
    <s v="Y"/>
    <x v="0"/>
    <x v="0"/>
    <n v="1"/>
    <n v="1"/>
    <n v="1"/>
    <x v="0"/>
    <s v=""/>
    <s v="System Licence"/>
    <x v="9"/>
    <x v="0"/>
    <x v="0"/>
    <x v="0"/>
    <x v="0"/>
  </r>
  <r>
    <x v="3"/>
    <x v="176"/>
    <s v="CW1"/>
    <s v="#MF"/>
    <x v="162"/>
    <x v="0"/>
    <x v="0"/>
    <n v="175.04849999999999"/>
    <s v="Per Database"/>
    <s v="STL"/>
    <n v="0"/>
    <s v="N"/>
    <x v="60"/>
    <x v="60"/>
    <n v="1"/>
    <n v="1"/>
    <n v="1"/>
    <x v="0"/>
    <s v=""/>
    <s v="System Minimum Fee"/>
    <x v="1"/>
    <x v="0"/>
    <x v="0"/>
    <x v="108"/>
    <x v="66"/>
  </r>
  <r>
    <x v="3"/>
    <x v="177"/>
    <s v="SVC"/>
    <s v="#NP"/>
    <x v="163"/>
    <x v="0"/>
    <x v="1"/>
    <n v="175.04849999999999"/>
    <s v="Per Database"/>
    <s v="STL"/>
    <n v="0"/>
    <s v="N"/>
    <x v="60"/>
    <x v="60"/>
    <n v="1"/>
    <n v="1"/>
    <n v="1"/>
    <x v="0"/>
    <s v=""/>
    <s v="Non-Production System"/>
    <x v="1"/>
    <x v="0"/>
    <x v="0"/>
    <x v="109"/>
    <x v="66"/>
  </r>
  <r>
    <x v="3"/>
    <x v="178"/>
    <m/>
    <m/>
    <x v="164"/>
    <x v="0"/>
    <x v="1"/>
    <n v="0"/>
    <m/>
    <s v="21.07"/>
    <n v="0"/>
    <s v="N"/>
    <x v="0"/>
    <x v="0"/>
    <n v="1"/>
    <n v="1"/>
    <n v="1"/>
    <x v="0"/>
    <s v=""/>
    <s v="Customer Requested Changes to Enterprise or Company Registration or Server Codes"/>
    <x v="1"/>
    <x v="0"/>
    <x v="0"/>
    <x v="110"/>
    <x v="0"/>
  </r>
  <r>
    <x v="7"/>
    <x v="179"/>
    <m/>
    <m/>
    <x v="165"/>
    <x v="0"/>
    <x v="2"/>
    <n v="1147.3633500000001"/>
    <m/>
    <s v="21.07"/>
    <n v="0"/>
    <s v="N"/>
    <x v="61"/>
    <x v="61"/>
    <n v="1"/>
    <n v="1"/>
    <n v="1"/>
    <x v="0"/>
    <s v=""/>
    <s v="To convert Enterprise or Company Registration or Server code to a customer preferred code on a live system"/>
    <x v="1"/>
    <x v="0"/>
    <x v="0"/>
    <x v="111"/>
    <x v="0"/>
  </r>
  <r>
    <x v="3"/>
    <x v="180"/>
    <m/>
    <m/>
    <x v="166"/>
    <x v="0"/>
    <x v="3"/>
    <n v="540.75"/>
    <s v="Per Change Request"/>
    <s v="21.07"/>
    <n v="0"/>
    <s v="N"/>
    <x v="62"/>
    <x v="62"/>
    <n v="1"/>
    <n v="1"/>
    <n v="1"/>
    <x v="0"/>
    <s v=""/>
    <s v="Accounting Period Configuration"/>
    <x v="1"/>
    <x v="0"/>
    <x v="0"/>
    <x v="112"/>
    <x v="67"/>
  </r>
  <r>
    <x v="0"/>
    <x v="181"/>
    <m/>
    <m/>
    <x v="167"/>
    <x v="0"/>
    <x v="0"/>
    <m/>
    <m/>
    <m/>
    <m/>
    <m/>
    <x v="63"/>
    <x v="63"/>
    <n v="1"/>
    <n v="1"/>
    <n v="1"/>
    <x v="58"/>
    <s v=""/>
    <s v=""/>
    <x v="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B4180-2F11-4F5E-BAA8-C089B5C7E7DC}" name="STLCloudPriceListPivot" cacheId="1507" applyNumberFormats="0" applyBorderFormats="0" applyFontFormats="0" applyPatternFormats="0" applyAlignmentFormats="0" applyWidthHeightFormats="1" dataCaption="Values" updatedVersion="8" minRefreshableVersion="3" showDrill="0" rowGrandTotals="0" colGrandTotals="0" itemPrintTitles="1" createdVersion="6" indent="0" compact="0" compactData="0" multipleFieldFilters="0">
  <location ref="B7:K9" firstHeaderRow="1" firstDataRow="1" firstDataCol="10" rowPageCount="1" colPageCount="1"/>
  <pivotFields count="25">
    <pivotField axis="axisRow" compact="0" outline="0" showAll="0" defaultSubtotal="0">
      <items count="8">
        <item x="0"/>
        <item x="1"/>
        <item x="2"/>
        <item x="3"/>
        <item x="4"/>
        <item x="5"/>
        <item x="6"/>
        <item x="7"/>
      </items>
    </pivotField>
    <pivotField axis="axisRow" compact="0" outline="0" showAll="0" sortType="ascending" defaultSubtota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m="1" x="208"/>
        <item x="138"/>
        <item x="139"/>
        <item x="140"/>
        <item x="141"/>
        <item x="142"/>
        <item x="143"/>
        <item m="1" x="200"/>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97"/>
        <item m="1" x="195"/>
        <item m="1" x="193"/>
        <item m="1" x="191"/>
        <item m="1" x="189"/>
        <item m="1" x="187"/>
        <item m="1" x="185"/>
        <item m="1" x="183"/>
        <item m="1" x="218"/>
        <item m="1" x="217"/>
        <item m="1" x="216"/>
        <item m="1" x="215"/>
        <item m="1" x="214"/>
        <item m="1" x="213"/>
        <item m="1" x="212"/>
        <item m="1" x="211"/>
        <item m="1" x="210"/>
        <item m="1" x="209"/>
        <item m="1" x="207"/>
        <item m="1" x="206"/>
        <item m="1" x="205"/>
        <item m="1" x="204"/>
        <item m="1" x="203"/>
        <item m="1" x="202"/>
        <item m="1" x="201"/>
        <item m="1" x="199"/>
        <item m="1" x="198"/>
        <item m="1" x="196"/>
        <item m="1" x="194"/>
        <item m="1" x="192"/>
        <item m="1" x="190"/>
        <item m="1" x="188"/>
        <item m="1" x="186"/>
        <item m="1" x="184"/>
        <item m="1" x="182"/>
        <item x="172"/>
        <item x="173"/>
        <item x="174"/>
        <item x="175"/>
        <item x="176"/>
        <item x="177"/>
        <item x="178"/>
        <item x="179"/>
        <item x="180"/>
        <item x="181"/>
      </items>
    </pivotField>
    <pivotField compact="0" outline="0" showAll="0"/>
    <pivotField compact="0" outline="0" showAll="0"/>
    <pivotField name="Feature " compact="0" outline="0" showAll="0" defaultSubtotal="0"/>
    <pivotField axis="axisRow" compact="0" outline="0" showAll="0" defaultSubtotal="0">
      <items count="3">
        <item x="0"/>
        <item x="1"/>
        <item x="2"/>
      </items>
    </pivotField>
    <pivotField axis="axisPage" compact="0" outline="0" showAll="0">
      <items count="6">
        <item x="0"/>
        <item m="1" x="4"/>
        <item x="1"/>
        <item x="2"/>
        <item x="3"/>
        <item t="default"/>
      </items>
    </pivotField>
    <pivotField compact="0" numFmtId="4" outline="0" showAll="0"/>
    <pivotField compact="0" outline="0" showAll="0"/>
    <pivotField compact="0" outline="0" showAll="0"/>
    <pivotField compact="0" numFmtId="164" outline="0" showAll="0"/>
    <pivotField compact="0" outline="0" showAll="0"/>
    <pivotField compact="0" outline="0" showAll="0"/>
    <pivotField name="List Price" axis="axisRow" compact="0" outline="0" showAll="0" defaultSubtotal="0">
      <items count="140">
        <item x="0"/>
        <item m="1" x="115"/>
        <item m="1" x="107"/>
        <item m="1" x="78"/>
        <item m="1" x="120"/>
        <item m="1" x="126"/>
        <item m="1" x="127"/>
        <item m="1" x="90"/>
        <item m="1" x="94"/>
        <item m="1" x="110"/>
        <item m="1" x="122"/>
        <item m="1" x="97"/>
        <item m="1" x="91"/>
        <item m="1" x="112"/>
        <item m="1" x="124"/>
        <item m="1" x="104"/>
        <item m="1" x="79"/>
        <item m="1" x="10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m="1" x="64"/>
        <item m="1" x="65"/>
        <item m="1" x="66"/>
        <item m="1" x="67"/>
        <item m="1" x="68"/>
        <item m="1" x="69"/>
        <item m="1" x="70"/>
        <item m="1" x="71"/>
        <item m="1" x="72"/>
        <item m="1" x="73"/>
        <item m="1" x="74"/>
        <item m="1" x="75"/>
        <item m="1" x="76"/>
        <item m="1" x="77"/>
        <item m="1" x="80"/>
        <item m="1" x="81"/>
        <item m="1" x="82"/>
        <item m="1" x="83"/>
        <item m="1" x="84"/>
        <item m="1" x="85"/>
        <item m="1" x="86"/>
        <item m="1" x="87"/>
        <item m="1" x="88"/>
        <item m="1" x="89"/>
        <item m="1" x="92"/>
        <item m="1" x="93"/>
        <item m="1" x="95"/>
        <item m="1" x="96"/>
        <item m="1" x="98"/>
        <item m="1" x="99"/>
        <item m="1" x="100"/>
        <item m="1" x="101"/>
        <item m="1" x="102"/>
        <item m="1" x="103"/>
        <item m="1" x="105"/>
        <item m="1" x="106"/>
        <item m="1" x="108"/>
        <item m="1" x="111"/>
        <item m="1" x="113"/>
        <item m="1" x="114"/>
        <item m="1" x="116"/>
        <item m="1" x="117"/>
        <item m="1" x="118"/>
        <item m="1" x="119"/>
        <item m="1" x="121"/>
        <item m="1" x="123"/>
        <item m="1" x="125"/>
        <item m="1" x="128"/>
        <item m="1" x="129"/>
        <item m="1" x="130"/>
        <item m="1" x="131"/>
        <item m="1" x="132"/>
        <item m="1" x="133"/>
        <item m="1" x="134"/>
        <item m="1" x="135"/>
        <item m="1" x="136"/>
        <item m="1" x="137"/>
        <item m="1" x="138"/>
        <item m="1" x="139"/>
      </items>
    </pivotField>
    <pivotField compact="0" outline="0" showAll="0"/>
    <pivotField compact="0" outline="0" showAll="0"/>
    <pivotField compact="0" outline="0" showAll="0"/>
    <pivotField axis="axisRow" compact="0" outline="0" showAll="0">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t="default"/>
      </items>
    </pivotField>
    <pivotField name="Available " compact="0" outline="0" showAll="0" defaultSubtotal="0"/>
    <pivotField compact="0" outline="0" showAll="0"/>
    <pivotField axis="axisRow" compact="0" outline="0" showAll="0" defaultSubtotal="0">
      <items count="10">
        <item x="1"/>
        <item x="0"/>
        <item x="2"/>
        <item x="3"/>
        <item x="4"/>
        <item x="5"/>
        <item x="6"/>
        <item x="7"/>
        <item x="8"/>
        <item x="9"/>
      </items>
    </pivotField>
    <pivotField axis="axisRow" compact="0" outline="0" showAll="0" defaultSubtotal="0">
      <items count="19">
        <item x="0"/>
        <item x="1"/>
        <item x="2"/>
        <item x="3"/>
        <item x="4"/>
        <item x="5"/>
        <item x="6"/>
        <item x="7"/>
        <item x="8"/>
        <item x="9"/>
        <item x="10"/>
        <item x="11"/>
        <item x="12"/>
        <item x="13"/>
        <item x="14"/>
        <item x="15"/>
        <item x="16"/>
        <item x="17"/>
        <item x="18"/>
      </items>
    </pivotField>
    <pivotField axis="axisRow" compact="0" outline="0"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m="1" x="29"/>
      </items>
    </pivotField>
    <pivotField axis="axisRow" compact="0" outline="0"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4"/>
        <item x="95"/>
        <item x="97"/>
        <item x="98"/>
        <item x="99"/>
        <item x="100"/>
        <item x="101"/>
        <item x="103"/>
        <item x="104"/>
        <item x="105"/>
        <item x="106"/>
        <item x="107"/>
        <item x="108"/>
        <item x="109"/>
        <item x="110"/>
        <item x="112"/>
        <item m="1" x="113"/>
        <item m="1" x="114"/>
        <item m="1" x="115"/>
        <item m="1" x="116"/>
        <item m="1" x="117"/>
        <item m="1" x="118"/>
        <item x="93"/>
        <item x="96"/>
        <item x="102"/>
        <item x="111"/>
      </items>
    </pivotField>
    <pivotField axis="axisRow" compact="0" outline="0" showAll="0" defaultSubtotal="0">
      <items count="86">
        <item m="1" x="70"/>
        <item x="9"/>
        <item m="1" x="81"/>
        <item x="1"/>
        <item m="1" x="82"/>
        <item m="1" x="77"/>
        <item m="1" x="79"/>
        <item m="1" x="76"/>
        <item m="1" x="85"/>
        <item m="1" x="69"/>
        <item m="1" x="74"/>
        <item m="1" x="80"/>
        <item m="1" x="72"/>
        <item m="1" x="83"/>
        <item m="1" x="78"/>
        <item m="1" x="73"/>
        <item m="1" x="68"/>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m="1" x="71"/>
        <item m="1" x="75"/>
        <item m="1" x="84"/>
        <item x="0"/>
      </items>
    </pivotField>
  </pivotFields>
  <rowFields count="10">
    <field x="1"/>
    <field x="0"/>
    <field x="20"/>
    <field x="21"/>
    <field x="22"/>
    <field x="23"/>
    <field x="5"/>
    <field x="24"/>
    <field x="13"/>
    <field x="17"/>
  </rowFields>
  <rowItems count="2">
    <i>
      <x v="214"/>
      <x v="3"/>
      <x/>
      <x/>
      <x/>
      <x v="106"/>
      <x/>
      <x v="80"/>
      <x v="77"/>
      <x/>
    </i>
    <i>
      <x v="215"/>
      <x v="3"/>
      <x/>
      <x/>
      <x/>
      <x v="107"/>
      <x/>
      <x v="85"/>
      <x/>
      <x/>
    </i>
  </rowItems>
  <colItems count="1">
    <i/>
  </colItems>
  <pageFields count="1">
    <pageField fld="6" item="2" hier="-1"/>
  </pageFields>
  <formats count="48">
    <format dxfId="2379">
      <pivotArea field="1" type="button" dataOnly="0" labelOnly="1" outline="0" axis="axisRow" fieldPosition="0"/>
    </format>
    <format dxfId="2378">
      <pivotArea field="0" type="button" dataOnly="0" labelOnly="1" outline="0" axis="axisRow" fieldPosition="1"/>
    </format>
    <format dxfId="2377">
      <pivotArea field="20" type="button" dataOnly="0" labelOnly="1" outline="0" axis="axisRow" fieldPosition="2"/>
    </format>
    <format dxfId="2376">
      <pivotArea field="21" type="button" dataOnly="0" labelOnly="1" outline="0" axis="axisRow" fieldPosition="3"/>
    </format>
    <format dxfId="2375">
      <pivotArea field="22" type="button" dataOnly="0" labelOnly="1" outline="0" axis="axisRow" fieldPosition="4"/>
    </format>
    <format dxfId="2374">
      <pivotArea field="23" type="button" dataOnly="0" labelOnly="1" outline="0" axis="axisRow" fieldPosition="5"/>
    </format>
    <format dxfId="2373">
      <pivotArea field="5" type="button" dataOnly="0" labelOnly="1" outline="0" axis="axisRow" fieldPosition="6"/>
    </format>
    <format dxfId="2372">
      <pivotArea field="24" type="button" dataOnly="0" labelOnly="1" outline="0" axis="axisRow" fieldPosition="7"/>
    </format>
    <format dxfId="2371">
      <pivotArea field="13" type="button" dataOnly="0" labelOnly="1" outline="0" axis="axisRow" fieldPosition="8"/>
    </format>
    <format dxfId="2370">
      <pivotArea field="17" type="button" dataOnly="0" labelOnly="1" outline="0" axis="axisRow" fieldPosition="9"/>
    </format>
    <format dxfId="2369">
      <pivotArea field="1" type="button" dataOnly="0" labelOnly="1" outline="0" axis="axisRow" fieldPosition="0"/>
    </format>
    <format dxfId="2368">
      <pivotArea field="0" type="button" dataOnly="0" labelOnly="1" outline="0" axis="axisRow" fieldPosition="1"/>
    </format>
    <format dxfId="2367">
      <pivotArea field="20" type="button" dataOnly="0" labelOnly="1" outline="0" axis="axisRow" fieldPosition="2"/>
    </format>
    <format dxfId="2366">
      <pivotArea field="21" type="button" dataOnly="0" labelOnly="1" outline="0" axis="axisRow" fieldPosition="3"/>
    </format>
    <format dxfId="2365">
      <pivotArea field="22" type="button" dataOnly="0" labelOnly="1" outline="0" axis="axisRow" fieldPosition="4"/>
    </format>
    <format dxfId="2364">
      <pivotArea field="23" type="button" dataOnly="0" labelOnly="1" outline="0" axis="axisRow" fieldPosition="5"/>
    </format>
    <format dxfId="2363">
      <pivotArea field="5" type="button" dataOnly="0" labelOnly="1" outline="0" axis="axisRow" fieldPosition="6"/>
    </format>
    <format dxfId="2362">
      <pivotArea field="24" type="button" dataOnly="0" labelOnly="1" outline="0" axis="axisRow" fieldPosition="7"/>
    </format>
    <format dxfId="2361">
      <pivotArea field="13" type="button" dataOnly="0" labelOnly="1" outline="0" axis="axisRow" fieldPosition="8"/>
    </format>
    <format dxfId="2360">
      <pivotArea field="17" type="button" dataOnly="0" labelOnly="1" outline="0" axis="axisRow" fieldPosition="9"/>
    </format>
    <format dxfId="2359">
      <pivotArea dataOnly="0" labelOnly="1" outline="0" fieldPosition="0">
        <references count="1">
          <reference field="1" count="2">
            <x v="214"/>
            <x v="215"/>
          </reference>
        </references>
      </pivotArea>
    </format>
    <format dxfId="2358">
      <pivotArea dataOnly="0" labelOnly="1" outline="0" fieldPosition="0">
        <references count="2">
          <reference field="0" count="1">
            <x v="3"/>
          </reference>
          <reference field="1" count="1" selected="0">
            <x v="214"/>
          </reference>
        </references>
      </pivotArea>
    </format>
    <format dxfId="2357">
      <pivotArea dataOnly="0" labelOnly="1" outline="0" fieldPosition="0">
        <references count="3">
          <reference field="0" count="1" selected="0">
            <x v="3"/>
          </reference>
          <reference field="1" count="1" selected="0">
            <x v="214"/>
          </reference>
          <reference field="20" count="1">
            <x v="0"/>
          </reference>
        </references>
      </pivotArea>
    </format>
    <format dxfId="2356">
      <pivotArea dataOnly="0" labelOnly="1" outline="0" fieldPosition="0">
        <references count="4">
          <reference field="0" count="1" selected="0">
            <x v="3"/>
          </reference>
          <reference field="1" count="1" selected="0">
            <x v="214"/>
          </reference>
          <reference field="20" count="1" selected="0">
            <x v="0"/>
          </reference>
          <reference field="21" count="1">
            <x v="0"/>
          </reference>
        </references>
      </pivotArea>
    </format>
    <format dxfId="2355">
      <pivotArea dataOnly="0" labelOnly="1" outline="0" fieldPosition="0">
        <references count="5">
          <reference field="0" count="1" selected="0">
            <x v="3"/>
          </reference>
          <reference field="1" count="1" selected="0">
            <x v="214"/>
          </reference>
          <reference field="20" count="1" selected="0">
            <x v="0"/>
          </reference>
          <reference field="21" count="1" selected="0">
            <x v="0"/>
          </reference>
          <reference field="22" count="1">
            <x v="0"/>
          </reference>
        </references>
      </pivotArea>
    </format>
    <format dxfId="2354">
      <pivotArea dataOnly="0" labelOnly="1" outline="0" fieldPosition="0">
        <references count="6">
          <reference field="0" count="1" selected="0">
            <x v="3"/>
          </reference>
          <reference field="1" count="1" selected="0">
            <x v="214"/>
          </reference>
          <reference field="20" count="1" selected="0">
            <x v="0"/>
          </reference>
          <reference field="21" count="1" selected="0">
            <x v="0"/>
          </reference>
          <reference field="22" count="1" selected="0">
            <x v="0"/>
          </reference>
          <reference field="23" count="1">
            <x v="106"/>
          </reference>
        </references>
      </pivotArea>
    </format>
    <format dxfId="2353">
      <pivotArea dataOnly="0" labelOnly="1" outline="0" fieldPosition="0">
        <references count="6">
          <reference field="0" count="1" selected="0">
            <x v="3"/>
          </reference>
          <reference field="1" count="1" selected="0">
            <x v="215"/>
          </reference>
          <reference field="20" count="1" selected="0">
            <x v="0"/>
          </reference>
          <reference field="21" count="1" selected="0">
            <x v="0"/>
          </reference>
          <reference field="22" count="1" selected="0">
            <x v="0"/>
          </reference>
          <reference field="23" count="1">
            <x v="107"/>
          </reference>
        </references>
      </pivotArea>
    </format>
    <format dxfId="2352">
      <pivotArea dataOnly="0" labelOnly="1" outline="0" fieldPosition="0">
        <references count="7">
          <reference field="0" count="1" selected="0">
            <x v="3"/>
          </reference>
          <reference field="1" count="1" selected="0">
            <x v="214"/>
          </reference>
          <reference field="5" count="1">
            <x v="0"/>
          </reference>
          <reference field="20" count="1" selected="0">
            <x v="0"/>
          </reference>
          <reference field="21" count="1" selected="0">
            <x v="0"/>
          </reference>
          <reference field="22" count="1" selected="0">
            <x v="0"/>
          </reference>
          <reference field="23" count="1" selected="0">
            <x v="106"/>
          </reference>
        </references>
      </pivotArea>
    </format>
    <format dxfId="2351">
      <pivotArea dataOnly="0" labelOnly="1" outline="0" fieldPosition="0">
        <references count="8">
          <reference field="0" count="1" selected="0">
            <x v="3"/>
          </reference>
          <reference field="1" count="1" selected="0">
            <x v="214"/>
          </reference>
          <reference field="5" count="1" selected="0">
            <x v="0"/>
          </reference>
          <reference field="20" count="1" selected="0">
            <x v="0"/>
          </reference>
          <reference field="21" count="1" selected="0">
            <x v="0"/>
          </reference>
          <reference field="22" count="1" selected="0">
            <x v="0"/>
          </reference>
          <reference field="23" count="1" selected="0">
            <x v="106"/>
          </reference>
          <reference field="24" count="1">
            <x v="80"/>
          </reference>
        </references>
      </pivotArea>
    </format>
    <format dxfId="2350">
      <pivotArea dataOnly="0" labelOnly="1" outline="0" fieldPosition="0">
        <references count="8">
          <reference field="0" count="1" selected="0">
            <x v="3"/>
          </reference>
          <reference field="1" count="1" selected="0">
            <x v="215"/>
          </reference>
          <reference field="5" count="1" selected="0">
            <x v="0"/>
          </reference>
          <reference field="20" count="1" selected="0">
            <x v="0"/>
          </reference>
          <reference field="21" count="1" selected="0">
            <x v="0"/>
          </reference>
          <reference field="22" count="1" selected="0">
            <x v="0"/>
          </reference>
          <reference field="23" count="1" selected="0">
            <x v="107"/>
          </reference>
          <reference field="24" count="1">
            <x v="16"/>
          </reference>
        </references>
      </pivotArea>
    </format>
    <format dxfId="2349">
      <pivotArea dataOnly="0" labelOnly="1" outline="0" fieldPosition="0">
        <references count="9">
          <reference field="0" count="1" selected="0">
            <x v="3"/>
          </reference>
          <reference field="1" count="1" selected="0">
            <x v="214"/>
          </reference>
          <reference field="5" count="1" selected="0">
            <x v="0"/>
          </reference>
          <reference field="13" count="1">
            <x v="77"/>
          </reference>
          <reference field="20" count="1" selected="0">
            <x v="0"/>
          </reference>
          <reference field="21" count="1" selected="0">
            <x v="0"/>
          </reference>
          <reference field="22" count="1" selected="0">
            <x v="0"/>
          </reference>
          <reference field="23" count="1" selected="0">
            <x v="106"/>
          </reference>
          <reference field="24" count="1" selected="0">
            <x v="80"/>
          </reference>
        </references>
      </pivotArea>
    </format>
    <format dxfId="2348">
      <pivotArea dataOnly="0" labelOnly="1" outline="0" fieldPosition="0">
        <references count="9">
          <reference field="0" count="1" selected="0">
            <x v="3"/>
          </reference>
          <reference field="1" count="1" selected="0">
            <x v="215"/>
          </reference>
          <reference field="5" count="1" selected="0">
            <x v="0"/>
          </reference>
          <reference field="13" count="1">
            <x v="0"/>
          </reference>
          <reference field="20" count="1" selected="0">
            <x v="0"/>
          </reference>
          <reference field="21" count="1" selected="0">
            <x v="0"/>
          </reference>
          <reference field="22" count="1" selected="0">
            <x v="0"/>
          </reference>
          <reference field="23" count="1" selected="0">
            <x v="107"/>
          </reference>
          <reference field="24" count="1" selected="0">
            <x v="16"/>
          </reference>
        </references>
      </pivotArea>
    </format>
    <format dxfId="2347">
      <pivotArea dataOnly="0" labelOnly="1" outline="0" fieldPosition="0">
        <references count="10">
          <reference field="0" count="1" selected="0">
            <x v="3"/>
          </reference>
          <reference field="1" count="1" selected="0">
            <x v="214"/>
          </reference>
          <reference field="5" count="1" selected="0">
            <x v="0"/>
          </reference>
          <reference field="13" count="1" selected="0">
            <x v="77"/>
          </reference>
          <reference field="17" count="1">
            <x v="0"/>
          </reference>
          <reference field="20" count="1" selected="0">
            <x v="0"/>
          </reference>
          <reference field="21" count="1" selected="0">
            <x v="0"/>
          </reference>
          <reference field="22" count="1" selected="0">
            <x v="0"/>
          </reference>
          <reference field="23" count="1" selected="0">
            <x v="106"/>
          </reference>
          <reference field="24" count="1" selected="0">
            <x v="80"/>
          </reference>
        </references>
      </pivotArea>
    </format>
    <format dxfId="2346">
      <pivotArea dataOnly="0" labelOnly="1" outline="0" fieldPosition="0">
        <references count="10">
          <reference field="0" count="1" selected="0">
            <x v="3"/>
          </reference>
          <reference field="1" count="1" selected="0">
            <x v="215"/>
          </reference>
          <reference field="5" count="1" selected="0">
            <x v="0"/>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07"/>
          </reference>
          <reference field="24" count="1" selected="0">
            <x v="16"/>
          </reference>
        </references>
      </pivotArea>
    </format>
    <format dxfId="2345">
      <pivotArea dataOnly="0" labelOnly="1" outline="0" fieldPosition="0">
        <references count="1">
          <reference field="1" count="2">
            <x v="214"/>
            <x v="215"/>
          </reference>
        </references>
      </pivotArea>
    </format>
    <format dxfId="2344">
      <pivotArea dataOnly="0" labelOnly="1" outline="0" fieldPosition="0">
        <references count="2">
          <reference field="0" count="1">
            <x v="3"/>
          </reference>
          <reference field="1" count="1" selected="0">
            <x v="214"/>
          </reference>
        </references>
      </pivotArea>
    </format>
    <format dxfId="2343">
      <pivotArea dataOnly="0" labelOnly="1" outline="0" fieldPosition="0">
        <references count="3">
          <reference field="0" count="1" selected="0">
            <x v="3"/>
          </reference>
          <reference field="1" count="1" selected="0">
            <x v="214"/>
          </reference>
          <reference field="20" count="1">
            <x v="0"/>
          </reference>
        </references>
      </pivotArea>
    </format>
    <format dxfId="2342">
      <pivotArea dataOnly="0" labelOnly="1" outline="0" fieldPosition="0">
        <references count="4">
          <reference field="0" count="1" selected="0">
            <x v="3"/>
          </reference>
          <reference field="1" count="1" selected="0">
            <x v="214"/>
          </reference>
          <reference field="20" count="1" selected="0">
            <x v="0"/>
          </reference>
          <reference field="21" count="1">
            <x v="0"/>
          </reference>
        </references>
      </pivotArea>
    </format>
    <format dxfId="2341">
      <pivotArea dataOnly="0" labelOnly="1" outline="0" fieldPosition="0">
        <references count="5">
          <reference field="0" count="1" selected="0">
            <x v="3"/>
          </reference>
          <reference field="1" count="1" selected="0">
            <x v="214"/>
          </reference>
          <reference field="20" count="1" selected="0">
            <x v="0"/>
          </reference>
          <reference field="21" count="1" selected="0">
            <x v="0"/>
          </reference>
          <reference field="22" count="1">
            <x v="0"/>
          </reference>
        </references>
      </pivotArea>
    </format>
    <format dxfId="2340">
      <pivotArea dataOnly="0" labelOnly="1" outline="0" fieldPosition="0">
        <references count="6">
          <reference field="0" count="1" selected="0">
            <x v="3"/>
          </reference>
          <reference field="1" count="1" selected="0">
            <x v="215"/>
          </reference>
          <reference field="20" count="1" selected="0">
            <x v="0"/>
          </reference>
          <reference field="21" count="1" selected="0">
            <x v="0"/>
          </reference>
          <reference field="22" count="1" selected="0">
            <x v="0"/>
          </reference>
          <reference field="23" count="1">
            <x v="107"/>
          </reference>
        </references>
      </pivotArea>
    </format>
    <format dxfId="2339">
      <pivotArea dataOnly="0" labelOnly="1" outline="0" fieldPosition="0">
        <references count="7">
          <reference field="0" count="1" selected="0">
            <x v="3"/>
          </reference>
          <reference field="1" count="1" selected="0">
            <x v="214"/>
          </reference>
          <reference field="5" count="1">
            <x v="0"/>
          </reference>
          <reference field="20" count="1" selected="0">
            <x v="0"/>
          </reference>
          <reference field="21" count="1" selected="0">
            <x v="0"/>
          </reference>
          <reference field="22" count="1" selected="0">
            <x v="0"/>
          </reference>
          <reference field="23" count="1" selected="0">
            <x v="106"/>
          </reference>
        </references>
      </pivotArea>
    </format>
    <format dxfId="2338">
      <pivotArea dataOnly="0" labelOnly="1" outline="0" fieldPosition="0">
        <references count="8">
          <reference field="0" count="1" selected="0">
            <x v="3"/>
          </reference>
          <reference field="1" count="1" selected="0">
            <x v="214"/>
          </reference>
          <reference field="5" count="1" selected="0">
            <x v="0"/>
          </reference>
          <reference field="20" count="1" selected="0">
            <x v="0"/>
          </reference>
          <reference field="21" count="1" selected="0">
            <x v="0"/>
          </reference>
          <reference field="22" count="1" selected="0">
            <x v="0"/>
          </reference>
          <reference field="23" count="1" selected="0">
            <x v="106"/>
          </reference>
          <reference field="24" count="1">
            <x v="80"/>
          </reference>
        </references>
      </pivotArea>
    </format>
    <format dxfId="2337">
      <pivotArea dataOnly="0" labelOnly="1" outline="0" fieldPosition="0">
        <references count="8">
          <reference field="0" count="1" selected="0">
            <x v="3"/>
          </reference>
          <reference field="1" count="1" selected="0">
            <x v="215"/>
          </reference>
          <reference field="5" count="1" selected="0">
            <x v="0"/>
          </reference>
          <reference field="20" count="1" selected="0">
            <x v="0"/>
          </reference>
          <reference field="21" count="1" selected="0">
            <x v="0"/>
          </reference>
          <reference field="22" count="1" selected="0">
            <x v="0"/>
          </reference>
          <reference field="23" count="1" selected="0">
            <x v="107"/>
          </reference>
          <reference field="24" count="1">
            <x v="16"/>
          </reference>
        </references>
      </pivotArea>
    </format>
    <format dxfId="2336">
      <pivotArea dataOnly="0" labelOnly="1" outline="0" fieldPosition="0">
        <references count="9">
          <reference field="0" count="1" selected="0">
            <x v="3"/>
          </reference>
          <reference field="1" count="1" selected="0">
            <x v="214"/>
          </reference>
          <reference field="5" count="1" selected="0">
            <x v="0"/>
          </reference>
          <reference field="13" count="1">
            <x v="77"/>
          </reference>
          <reference field="20" count="1" selected="0">
            <x v="0"/>
          </reference>
          <reference field="21" count="1" selected="0">
            <x v="0"/>
          </reference>
          <reference field="22" count="1" selected="0">
            <x v="0"/>
          </reference>
          <reference field="23" count="1" selected="0">
            <x v="106"/>
          </reference>
          <reference field="24" count="1" selected="0">
            <x v="80"/>
          </reference>
        </references>
      </pivotArea>
    </format>
    <format dxfId="2335">
      <pivotArea dataOnly="0" labelOnly="1" outline="0" fieldPosition="0">
        <references count="9">
          <reference field="0" count="1" selected="0">
            <x v="3"/>
          </reference>
          <reference field="1" count="1" selected="0">
            <x v="215"/>
          </reference>
          <reference field="5" count="1" selected="0">
            <x v="0"/>
          </reference>
          <reference field="13" count="1">
            <x v="0"/>
          </reference>
          <reference field="20" count="1" selected="0">
            <x v="0"/>
          </reference>
          <reference field="21" count="1" selected="0">
            <x v="0"/>
          </reference>
          <reference field="22" count="1" selected="0">
            <x v="0"/>
          </reference>
          <reference field="23" count="1" selected="0">
            <x v="107"/>
          </reference>
          <reference field="24" count="1" selected="0">
            <x v="16"/>
          </reference>
        </references>
      </pivotArea>
    </format>
    <format dxfId="2334">
      <pivotArea dataOnly="0" labelOnly="1" outline="0" fieldPosition="0">
        <references count="10">
          <reference field="0" count="1" selected="0">
            <x v="3"/>
          </reference>
          <reference field="1" count="1" selected="0">
            <x v="214"/>
          </reference>
          <reference field="5" count="1" selected="0">
            <x v="0"/>
          </reference>
          <reference field="13" count="1" selected="0">
            <x v="77"/>
          </reference>
          <reference field="17" count="1">
            <x v="0"/>
          </reference>
          <reference field="20" count="1" selected="0">
            <x v="0"/>
          </reference>
          <reference field="21" count="1" selected="0">
            <x v="0"/>
          </reference>
          <reference field="22" count="1" selected="0">
            <x v="0"/>
          </reference>
          <reference field="23" count="1" selected="0">
            <x v="106"/>
          </reference>
          <reference field="24" count="1" selected="0">
            <x v="80"/>
          </reference>
        </references>
      </pivotArea>
    </format>
    <format dxfId="2333">
      <pivotArea dataOnly="0" labelOnly="1" outline="0" fieldPosition="0">
        <references count="10">
          <reference field="0" count="1" selected="0">
            <x v="3"/>
          </reference>
          <reference field="1" count="1" selected="0">
            <x v="215"/>
          </reference>
          <reference field="5" count="1" selected="0">
            <x v="0"/>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07"/>
          </reference>
          <reference field="24" count="1" selected="0">
            <x v="16"/>
          </reference>
        </references>
      </pivotArea>
    </format>
    <format dxfId="2332">
      <pivotArea dataOnly="0" labelOnly="1" outline="0" fieldPosition="0">
        <references count="6">
          <reference field="0" count="1" selected="0">
            <x v="3"/>
          </reference>
          <reference field="1" count="1" selected="0">
            <x v="214"/>
          </reference>
          <reference field="20" count="1" selected="0">
            <x v="0"/>
          </reference>
          <reference field="21" count="1" selected="0">
            <x v="0"/>
          </reference>
          <reference field="22" count="1" selected="0">
            <x v="0"/>
          </reference>
          <reference field="23" count="1">
            <x v="106"/>
          </reference>
        </references>
      </pivotArea>
    </format>
  </formats>
  <pivotTableStyleInfo name="STLPivotStyle0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07A090-D12F-452B-8570-9E172E335984}" name="STLPriceListPivot" cacheId="1507" applyNumberFormats="0" applyBorderFormats="0" applyFontFormats="0" applyPatternFormats="0" applyAlignmentFormats="0" applyWidthHeightFormats="1" dataCaption="Values" updatedVersion="8" minRefreshableVersion="3" showDrill="0" rowGrandTotals="0" colGrandTotals="0" itemPrintTitles="1" createdVersion="6" indent="0" compact="0" compactData="0" multipleFieldFilters="0">
  <location ref="B17:K195" firstHeaderRow="1" firstDataRow="1" firstDataCol="10" rowPageCount="1" colPageCount="1"/>
  <pivotFields count="25">
    <pivotField axis="axisRow" compact="0" outline="0" showAll="0" defaultSubtotal="0">
      <items count="8">
        <item x="0"/>
        <item x="1"/>
        <item x="2"/>
        <item x="3"/>
        <item x="7"/>
        <item x="6"/>
        <item x="4"/>
        <item x="5"/>
      </items>
    </pivotField>
    <pivotField axis="axisRow" compact="0" outline="0" showAll="0" sortType="ascending" defaultSubtota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m="1" x="208"/>
        <item x="138"/>
        <item x="139"/>
        <item x="140"/>
        <item x="141"/>
        <item x="142"/>
        <item x="143"/>
        <item m="1" x="200"/>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97"/>
        <item m="1" x="195"/>
        <item m="1" x="193"/>
        <item m="1" x="191"/>
        <item m="1" x="189"/>
        <item m="1" x="187"/>
        <item m="1" x="185"/>
        <item m="1" x="183"/>
        <item m="1" x="218"/>
        <item m="1" x="217"/>
        <item m="1" x="216"/>
        <item m="1" x="215"/>
        <item m="1" x="214"/>
        <item m="1" x="213"/>
        <item m="1" x="212"/>
        <item m="1" x="211"/>
        <item m="1" x="210"/>
        <item m="1" x="209"/>
        <item m="1" x="207"/>
        <item m="1" x="206"/>
        <item m="1" x="205"/>
        <item m="1" x="204"/>
        <item m="1" x="203"/>
        <item m="1" x="202"/>
        <item m="1" x="201"/>
        <item m="1" x="199"/>
        <item m="1" x="198"/>
        <item m="1" x="196"/>
        <item m="1" x="194"/>
        <item m="1" x="192"/>
        <item m="1" x="190"/>
        <item m="1" x="188"/>
        <item m="1" x="186"/>
        <item m="1" x="184"/>
        <item m="1" x="182"/>
        <item x="172"/>
        <item x="173"/>
        <item x="174"/>
        <item x="175"/>
        <item x="176"/>
        <item x="177"/>
        <item x="178"/>
        <item x="179"/>
        <item x="180"/>
        <item x="181"/>
      </items>
    </pivotField>
    <pivotField compact="0" outline="0" showAll="0"/>
    <pivotField compact="0" outline="0" showAll="0"/>
    <pivotField name="Feature " compact="0" outline="0" showAll="0" defaultSubtotal="0"/>
    <pivotField axis="axisRow" compact="0" outline="0" showAll="0" defaultSubtotal="0">
      <items count="3">
        <item x="2"/>
        <item x="1"/>
        <item x="0"/>
      </items>
    </pivotField>
    <pivotField axis="axisPage" compact="0" outline="0" showAll="0">
      <items count="6">
        <item m="1" x="4"/>
        <item x="0"/>
        <item x="1"/>
        <item x="2"/>
        <item x="3"/>
        <item t="default"/>
      </items>
    </pivotField>
    <pivotField compact="0" numFmtId="4" outline="0" showAll="0"/>
    <pivotField compact="0" outline="0" showAll="0"/>
    <pivotField compact="0" outline="0" showAll="0"/>
    <pivotField compact="0" numFmtId="164" outline="0" showAll="0"/>
    <pivotField compact="0" outline="0" showAll="0"/>
    <pivotField compact="0" outline="0" showAll="0"/>
    <pivotField name="List Price" axis="axisRow" compact="0" outline="0" showAll="0" defaultSubtotal="0">
      <items count="140">
        <item x="0"/>
        <item m="1" x="82"/>
        <item m="1" x="115"/>
        <item m="1" x="137"/>
        <item m="1" x="80"/>
        <item m="1" x="108"/>
        <item m="1" x="128"/>
        <item m="1" x="66"/>
        <item m="1" x="114"/>
        <item m="1" x="117"/>
        <item m="1" x="118"/>
        <item m="1" x="70"/>
        <item m="1" x="100"/>
        <item m="1" x="131"/>
        <item m="1" x="64"/>
        <item m="1" x="106"/>
        <item m="1" x="72"/>
        <item m="1" x="101"/>
        <item m="1" x="138"/>
        <item m="1" x="103"/>
        <item m="1" x="74"/>
        <item m="1" x="68"/>
        <item m="1" x="93"/>
        <item m="1" x="86"/>
        <item m="1" x="99"/>
        <item m="1" x="116"/>
        <item m="1" x="123"/>
        <item m="1" x="134"/>
        <item m="1" x="89"/>
        <item m="1" x="111"/>
        <item m="1" x="105"/>
        <item m="1" x="73"/>
        <item m="1" x="92"/>
        <item m="1" x="98"/>
        <item m="1" x="95"/>
        <item m="1" x="130"/>
        <item m="1" x="87"/>
        <item m="1" x="121"/>
        <item m="1" x="135"/>
        <item m="1" x="88"/>
        <item m="1" x="113"/>
        <item m="1" x="139"/>
        <item m="1" x="107"/>
        <item m="1" x="85"/>
        <item m="1" x="96"/>
        <item m="1" x="133"/>
        <item m="1" x="132"/>
        <item m="1" x="125"/>
        <item m="1" x="102"/>
        <item m="1" x="77"/>
        <item m="1" x="76"/>
        <item m="1" x="78"/>
        <item m="1" x="120"/>
        <item m="1" x="83"/>
        <item m="1" x="126"/>
        <item m="1" x="127"/>
        <item m="1" x="90"/>
        <item m="1" x="129"/>
        <item m="1" x="94"/>
        <item m="1" x="110"/>
        <item m="1" x="71"/>
        <item m="1" x="69"/>
        <item m="1" x="75"/>
        <item m="1" x="122"/>
        <item m="1" x="97"/>
        <item m="1" x="67"/>
        <item m="1" x="84"/>
        <item m="1" x="91"/>
        <item m="1" x="112"/>
        <item m="1" x="124"/>
        <item m="1" x="104"/>
        <item m="1" x="79"/>
        <item m="1" x="81"/>
        <item m="1" x="119"/>
        <item m="1" x="109"/>
        <item m="1" x="136"/>
        <item m="1" x="6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compact="0" outline="0" showAll="0"/>
    <pivotField compact="0" outline="0" showAll="0"/>
    <pivotField compact="0" outline="0" showAll="0"/>
    <pivotField axis="axisRow" compact="0" outline="0" showAll="0">
      <items count="113">
        <item x="0"/>
        <item m="1" x="102"/>
        <item m="1" x="87"/>
        <item m="1" x="71"/>
        <item m="1" x="74"/>
        <item m="1" x="104"/>
        <item m="1" x="79"/>
        <item m="1" x="76"/>
        <item m="1" x="84"/>
        <item m="1" x="77"/>
        <item m="1" x="83"/>
        <item m="1" x="103"/>
        <item x="15"/>
        <item m="1" x="65"/>
        <item m="1" x="61"/>
        <item m="1" x="86"/>
        <item m="1" x="67"/>
        <item m="1" x="109"/>
        <item m="1" x="96"/>
        <item m="1" x="106"/>
        <item m="1" x="110"/>
        <item m="1" x="73"/>
        <item m="1" x="69"/>
        <item m="1" x="108"/>
        <item m="1" x="63"/>
        <item m="1" x="70"/>
        <item m="1" x="60"/>
        <item m="1" x="64"/>
        <item m="1" x="111"/>
        <item m="1" x="78"/>
        <item m="1" x="75"/>
        <item m="1" x="82"/>
        <item m="1" x="99"/>
        <item m="1" x="62"/>
        <item m="1" x="80"/>
        <item m="1" x="89"/>
        <item m="1" x="107"/>
        <item m="1" x="90"/>
        <item m="1" x="98"/>
        <item m="1" x="72"/>
        <item x="10"/>
        <item m="1" x="95"/>
        <item m="1" x="97"/>
        <item m="1" x="105"/>
        <item m="1" x="85"/>
        <item m="1" x="88"/>
        <item m="1" x="68"/>
        <item m="1" x="66"/>
        <item m="1" x="92"/>
        <item m="1" x="94"/>
        <item m="1" x="101"/>
        <item m="1" x="93"/>
        <item m="1" x="81"/>
        <item m="1" x="59"/>
        <item m="1" x="91"/>
        <item m="1" x="100"/>
        <item x="1"/>
        <item x="2"/>
        <item x="3"/>
        <item x="4"/>
        <item x="5"/>
        <item x="6"/>
        <item x="7"/>
        <item x="8"/>
        <item x="9"/>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Available " compact="0" outline="0" showAll="0" defaultSubtotal="0"/>
    <pivotField compact="0" outline="0" showAll="0"/>
    <pivotField axis="axisRow" compact="0" outline="0" showAll="0" defaultSubtotal="0">
      <items count="10">
        <item x="1"/>
        <item x="5"/>
        <item x="4"/>
        <item x="6"/>
        <item x="3"/>
        <item x="8"/>
        <item x="2"/>
        <item x="7"/>
        <item x="9"/>
        <item x="0"/>
      </items>
    </pivotField>
    <pivotField axis="axisRow" compact="0" outline="0" showAll="0" defaultSubtotal="0">
      <items count="19">
        <item x="0"/>
        <item x="14"/>
        <item x="4"/>
        <item x="12"/>
        <item x="10"/>
        <item x="18"/>
        <item x="3"/>
        <item x="16"/>
        <item x="8"/>
        <item x="6"/>
        <item x="5"/>
        <item x="13"/>
        <item x="1"/>
        <item x="11"/>
        <item x="17"/>
        <item x="15"/>
        <item x="9"/>
        <item x="7"/>
        <item x="2"/>
      </items>
    </pivotField>
    <pivotField axis="axisRow" compact="0" outline="0" showAll="0" defaultSubtotal="0">
      <items count="30">
        <item x="0"/>
        <item x="22"/>
        <item x="2"/>
        <item x="7"/>
        <item x="12"/>
        <item x="20"/>
        <item x="14"/>
        <item m="1" x="29"/>
        <item x="9"/>
        <item x="10"/>
        <item x="16"/>
        <item x="18"/>
        <item x="1"/>
        <item x="3"/>
        <item x="24"/>
        <item x="8"/>
        <item x="11"/>
        <item x="6"/>
        <item x="17"/>
        <item x="21"/>
        <item x="19"/>
        <item x="5"/>
        <item x="28"/>
        <item x="27"/>
        <item x="25"/>
        <item x="13"/>
        <item x="26"/>
        <item x="23"/>
        <item x="4"/>
        <item x="15"/>
      </items>
    </pivotField>
    <pivotField axis="axisRow" compact="0" outline="0" showAll="0" defaultSubtotal="0">
      <items count="119">
        <item x="0"/>
        <item x="57"/>
        <item x="112"/>
        <item x="62"/>
        <item x="88"/>
        <item x="79"/>
        <item x="53"/>
        <item x="50"/>
        <item x="54"/>
        <item x="51"/>
        <item x="55"/>
        <item x="52"/>
        <item x="49"/>
        <item x="56"/>
        <item x="22"/>
        <item x="7"/>
        <item m="1" x="117"/>
        <item x="92"/>
        <item x="91"/>
        <item x="28"/>
        <item x="9"/>
        <item x="8"/>
        <item x="70"/>
        <item x="4"/>
        <item x="67"/>
        <item x="6"/>
        <item x="15"/>
        <item x="89"/>
        <item x="110"/>
        <item x="69"/>
        <item x="78"/>
        <item x="41"/>
        <item x="29"/>
        <item x="95"/>
        <item m="1" x="115"/>
        <item m="1" x="113"/>
        <item x="107"/>
        <item x="48"/>
        <item x="42"/>
        <item x="14"/>
        <item x="3"/>
        <item x="77"/>
        <item x="26"/>
        <item x="76"/>
        <item x="27"/>
        <item x="75"/>
        <item x="25"/>
        <item m="1" x="118"/>
        <item x="60"/>
        <item x="58"/>
        <item x="61"/>
        <item x="59"/>
        <item x="66"/>
        <item x="30"/>
        <item x="47"/>
        <item x="106"/>
        <item x="38"/>
        <item x="90"/>
        <item x="46"/>
        <item x="36"/>
        <item x="43"/>
        <item x="98"/>
        <item x="74"/>
        <item x="24"/>
        <item x="99"/>
        <item m="1" x="116"/>
        <item x="13"/>
        <item x="40"/>
        <item x="109"/>
        <item x="87"/>
        <item x="94"/>
        <item x="2"/>
        <item x="17"/>
        <item x="19"/>
        <item x="21"/>
        <item x="20"/>
        <item x="18"/>
        <item x="68"/>
        <item x="71"/>
        <item x="72"/>
        <item x="73"/>
        <item x="31"/>
        <item x="63"/>
        <item x="65"/>
        <item x="104"/>
        <item x="97"/>
        <item x="85"/>
        <item x="16"/>
        <item x="84"/>
        <item x="83"/>
        <item x="101"/>
        <item x="103"/>
        <item m="1" x="114"/>
        <item x="5"/>
        <item x="44"/>
        <item x="64"/>
        <item x="100"/>
        <item x="82"/>
        <item x="12"/>
        <item x="108"/>
        <item x="10"/>
        <item x="37"/>
        <item x="81"/>
        <item x="11"/>
        <item x="23"/>
        <item x="105"/>
        <item x="1"/>
        <item x="32"/>
        <item x="33"/>
        <item x="34"/>
        <item x="35"/>
        <item x="39"/>
        <item x="45"/>
        <item x="80"/>
        <item x="86"/>
        <item x="93"/>
        <item x="96"/>
        <item x="102"/>
        <item x="111"/>
      </items>
    </pivotField>
    <pivotField axis="axisRow" compact="0" outline="0" showAll="0" defaultSubtotal="0">
      <items count="86">
        <item m="1" x="70"/>
        <item x="43"/>
        <item x="9"/>
        <item x="18"/>
        <item x="51"/>
        <item x="52"/>
        <item x="59"/>
        <item m="1" x="81"/>
        <item x="1"/>
        <item m="1" x="82"/>
        <item x="61"/>
        <item x="57"/>
        <item m="1" x="77"/>
        <item x="39"/>
        <item x="40"/>
        <item x="15"/>
        <item x="46"/>
        <item x="53"/>
        <item x="67"/>
        <item x="7"/>
        <item x="8"/>
        <item m="1" x="79"/>
        <item x="66"/>
        <item x="37"/>
        <item x="54"/>
        <item x="56"/>
        <item x="49"/>
        <item x="65"/>
        <item m="1" x="75"/>
        <item x="31"/>
        <item x="32"/>
        <item x="33"/>
        <item m="1" x="76"/>
        <item x="30"/>
        <item x="64"/>
        <item x="29"/>
        <item x="28"/>
        <item x="3"/>
        <item x="60"/>
        <item x="25"/>
        <item x="6"/>
        <item m="1" x="85"/>
        <item m="1" x="69"/>
        <item m="1" x="74"/>
        <item x="42"/>
        <item x="23"/>
        <item x="11"/>
        <item x="41"/>
        <item x="27"/>
        <item x="38"/>
        <item x="55"/>
        <item x="4"/>
        <item m="1" x="84"/>
        <item x="20"/>
        <item x="45"/>
        <item x="13"/>
        <item x="14"/>
        <item m="1" x="71"/>
        <item x="35"/>
        <item m="1" x="80"/>
        <item m="1" x="72"/>
        <item m="1" x="83"/>
        <item x="62"/>
        <item x="44"/>
        <item x="58"/>
        <item x="12"/>
        <item x="22"/>
        <item x="21"/>
        <item x="24"/>
        <item x="34"/>
        <item x="19"/>
        <item m="1" x="78"/>
        <item x="48"/>
        <item x="36"/>
        <item m="1" x="73"/>
        <item x="47"/>
        <item x="26"/>
        <item x="10"/>
        <item x="16"/>
        <item x="63"/>
        <item m="1" x="68"/>
        <item x="2"/>
        <item x="5"/>
        <item x="17"/>
        <item x="50"/>
        <item x="0"/>
      </items>
    </pivotField>
  </pivotFields>
  <rowFields count="10">
    <field x="1"/>
    <field x="0"/>
    <field x="20"/>
    <field x="21"/>
    <field x="22"/>
    <field x="23"/>
    <field x="5"/>
    <field x="24"/>
    <field x="13"/>
    <field x="17"/>
  </rowFields>
  <rowItems count="178">
    <i>
      <x/>
      <x/>
      <x v="9"/>
      <x/>
      <x/>
      <x/>
      <x v="2"/>
      <x v="85"/>
      <x/>
      <x/>
    </i>
    <i>
      <x v="1"/>
      <x v="1"/>
      <x/>
      <x v="12"/>
      <x/>
      <x/>
      <x v="1"/>
      <x v="8"/>
      <x v="77"/>
      <x v="56"/>
    </i>
    <i>
      <x v="2"/>
      <x v="1"/>
      <x/>
      <x v="18"/>
      <x/>
      <x/>
      <x v="2"/>
      <x v="81"/>
      <x v="78"/>
      <x v="57"/>
    </i>
    <i>
      <x v="3"/>
      <x/>
      <x v="6"/>
      <x/>
      <x/>
      <x/>
      <x v="2"/>
      <x v="85"/>
      <x/>
      <x/>
    </i>
    <i>
      <x v="4"/>
      <x v="1"/>
      <x/>
      <x v="6"/>
      <x/>
      <x/>
      <x v="1"/>
      <x v="85"/>
      <x/>
      <x/>
    </i>
    <i>
      <x v="5"/>
      <x v="2"/>
      <x/>
      <x/>
      <x v="12"/>
      <x/>
      <x v="1"/>
      <x v="85"/>
      <x/>
      <x/>
    </i>
    <i>
      <x v="6"/>
      <x v="3"/>
      <x/>
      <x/>
      <x/>
      <x v="106"/>
      <x/>
      <x v="37"/>
      <x v="79"/>
      <x v="58"/>
    </i>
    <i>
      <x v="7"/>
      <x v="3"/>
      <x/>
      <x/>
      <x/>
      <x v="71"/>
      <x/>
      <x v="51"/>
      <x v="80"/>
      <x v="59"/>
    </i>
    <i>
      <x v="8"/>
      <x v="3"/>
      <x/>
      <x/>
      <x/>
      <x v="40"/>
      <x v="2"/>
      <x v="82"/>
      <x v="81"/>
      <x v="60"/>
    </i>
    <i>
      <x v="9"/>
      <x v="1"/>
      <x/>
      <x v="2"/>
      <x/>
      <x/>
      <x v="2"/>
      <x v="85"/>
      <x/>
      <x/>
    </i>
    <i>
      <x v="10"/>
      <x v="2"/>
      <x/>
      <x/>
      <x v="2"/>
      <x/>
      <x v="2"/>
      <x v="85"/>
      <x/>
      <x/>
    </i>
    <i>
      <x v="11"/>
      <x v="3"/>
      <x/>
      <x/>
      <x/>
      <x v="23"/>
      <x v="2"/>
      <x v="40"/>
      <x v="82"/>
      <x v="61"/>
    </i>
    <i>
      <x v="12"/>
      <x v="3"/>
      <x/>
      <x/>
      <x/>
      <x v="93"/>
      <x v="2"/>
      <x v="19"/>
      <x v="83"/>
      <x v="62"/>
    </i>
    <i>
      <x v="13"/>
      <x v="3"/>
      <x/>
      <x/>
      <x/>
      <x v="25"/>
      <x v="2"/>
      <x v="37"/>
      <x v="84"/>
      <x v="63"/>
    </i>
    <i>
      <x v="14"/>
      <x v="1"/>
      <x/>
      <x v="10"/>
      <x/>
      <x/>
      <x v="2"/>
      <x v="85"/>
      <x/>
      <x/>
    </i>
    <i>
      <x v="15"/>
      <x v="2"/>
      <x/>
      <x/>
      <x v="13"/>
      <x/>
      <x v="2"/>
      <x v="85"/>
      <x/>
      <x/>
    </i>
    <i>
      <x v="16"/>
      <x v="3"/>
      <x/>
      <x/>
      <x/>
      <x v="15"/>
      <x v="2"/>
      <x v="37"/>
      <x v="82"/>
      <x v="61"/>
    </i>
    <i>
      <x v="17"/>
      <x v="3"/>
      <x/>
      <x/>
      <x/>
      <x v="21"/>
      <x v="2"/>
      <x v="20"/>
      <x/>
      <x/>
    </i>
    <i>
      <x v="18"/>
      <x v="3"/>
      <x/>
      <x/>
      <x/>
      <x v="20"/>
      <x v="2"/>
      <x v="2"/>
      <x/>
      <x/>
    </i>
    <i>
      <x v="19"/>
      <x v="2"/>
      <x/>
      <x/>
      <x v="28"/>
      <x/>
      <x v="2"/>
      <x v="85"/>
      <x/>
      <x/>
    </i>
    <i>
      <x v="20"/>
      <x v="3"/>
      <x/>
      <x/>
      <x/>
      <x v="100"/>
      <x v="2"/>
      <x v="77"/>
      <x v="85"/>
      <x v="64"/>
    </i>
    <i>
      <x v="21"/>
      <x v="2"/>
      <x/>
      <x/>
      <x v="21"/>
      <x/>
      <x v="2"/>
      <x v="85"/>
      <x/>
      <x/>
    </i>
    <i>
      <x v="22"/>
      <x v="3"/>
      <x/>
      <x/>
      <x/>
      <x v="103"/>
      <x v="2"/>
      <x v="2"/>
      <x/>
      <x/>
    </i>
    <i>
      <x v="23"/>
      <x v="3"/>
      <x/>
      <x/>
      <x/>
      <x v="98"/>
      <x v="2"/>
      <x v="2"/>
      <x/>
      <x/>
    </i>
    <i>
      <x v="24"/>
      <x v="1"/>
      <x/>
      <x v="9"/>
      <x/>
      <x/>
      <x v="2"/>
      <x v="85"/>
      <x/>
      <x/>
    </i>
    <i>
      <x v="25"/>
      <x v="2"/>
      <x/>
      <x/>
      <x v="17"/>
      <x/>
      <x v="2"/>
      <x v="85"/>
      <x/>
      <x/>
    </i>
    <i>
      <x v="26"/>
      <x v="3"/>
      <x/>
      <x/>
      <x/>
      <x v="66"/>
      <x v="2"/>
      <x v="19"/>
      <x v="86"/>
      <x v="40"/>
    </i>
    <i>
      <x v="27"/>
      <x v="3"/>
      <x/>
      <x/>
      <x/>
      <x v="39"/>
      <x v="2"/>
      <x v="46"/>
      <x v="87"/>
      <x v="65"/>
    </i>
    <i>
      <x v="28"/>
      <x v="3"/>
      <x/>
      <x/>
      <x/>
      <x v="26"/>
      <x v="2"/>
      <x v="20"/>
      <x v="80"/>
      <x v="59"/>
    </i>
    <i>
      <x v="29"/>
      <x v="1"/>
      <x/>
      <x v="17"/>
      <x/>
      <x/>
      <x v="2"/>
      <x v="85"/>
      <x/>
      <x/>
    </i>
    <i>
      <x v="30"/>
      <x v="2"/>
      <x/>
      <x/>
      <x v="3"/>
      <x/>
      <x v="2"/>
      <x v="85"/>
      <x/>
      <x/>
    </i>
    <i>
      <x v="31"/>
      <x v="3"/>
      <x/>
      <x/>
      <x/>
      <x v="87"/>
      <x v="2"/>
      <x v="65"/>
      <x v="82"/>
      <x v="61"/>
    </i>
    <i>
      <x v="32"/>
      <x v="3"/>
      <x/>
      <x/>
      <x/>
      <x v="72"/>
      <x v="2"/>
      <x v="55"/>
      <x v="86"/>
      <x v="40"/>
    </i>
    <i>
      <x v="33"/>
      <x v="3"/>
      <x/>
      <x/>
      <x/>
      <x v="76"/>
      <x v="2"/>
      <x v="56"/>
      <x v="88"/>
      <x v="66"/>
    </i>
    <i>
      <x v="34"/>
      <x v="3"/>
      <x/>
      <x/>
      <x/>
      <x v="73"/>
      <x v="2"/>
      <x v="55"/>
      <x v="89"/>
      <x v="67"/>
    </i>
    <i>
      <x v="35"/>
      <x v="3"/>
      <x/>
      <x/>
      <x/>
      <x v="76"/>
      <x v="2"/>
      <x v="56"/>
      <x v="90"/>
      <x v="68"/>
    </i>
    <i>
      <x v="36"/>
      <x v="3"/>
      <x/>
      <x/>
      <x/>
      <x v="75"/>
      <x v="2"/>
      <x v="55"/>
      <x v="83"/>
      <x v="62"/>
    </i>
    <i>
      <x v="37"/>
      <x v="3"/>
      <x/>
      <x/>
      <x/>
      <x v="76"/>
      <x v="2"/>
      <x v="56"/>
      <x v="91"/>
      <x v="12"/>
    </i>
    <i>
      <x v="38"/>
      <x v="3"/>
      <x/>
      <x/>
      <x/>
      <x v="74"/>
      <x v="2"/>
      <x v="55"/>
      <x v="92"/>
      <x v="69"/>
    </i>
    <i>
      <x v="39"/>
      <x v="3"/>
      <x/>
      <x/>
      <x/>
      <x v="76"/>
      <x v="2"/>
      <x v="56"/>
      <x v="93"/>
      <x v="70"/>
    </i>
    <i>
      <x v="40"/>
      <x v="3"/>
      <x/>
      <x/>
      <x/>
      <x v="14"/>
      <x v="2"/>
      <x v="15"/>
      <x v="82"/>
      <x v="61"/>
    </i>
    <i>
      <x v="41"/>
      <x v="1"/>
      <x/>
      <x v="8"/>
      <x/>
      <x/>
      <x v="2"/>
      <x v="85"/>
      <x/>
      <x/>
    </i>
    <i>
      <x v="42"/>
      <x v="3"/>
      <x/>
      <x/>
      <x/>
      <x v="104"/>
      <x v="2"/>
      <x v="78"/>
      <x v="94"/>
      <x v="71"/>
    </i>
    <i>
      <x v="43"/>
      <x v="1"/>
      <x/>
      <x v="16"/>
      <x/>
      <x/>
      <x v="2"/>
      <x v="85"/>
      <x/>
      <x/>
    </i>
    <i>
      <x v="44"/>
      <x v="3"/>
      <x/>
      <x/>
      <x/>
      <x v="63"/>
      <x v="2"/>
      <x v="83"/>
      <x v="95"/>
      <x v="72"/>
    </i>
    <i>
      <x v="45"/>
      <x v="3"/>
      <x/>
      <x/>
      <x/>
      <x v="46"/>
      <x v="2"/>
      <x v="83"/>
      <x v="96"/>
      <x v="73"/>
    </i>
    <i>
      <x v="46"/>
      <x v="3"/>
      <x/>
      <x/>
      <x/>
      <x v="42"/>
      <x v="2"/>
      <x v="83"/>
      <x v="97"/>
      <x v="74"/>
    </i>
    <i>
      <x v="47"/>
      <x v="3"/>
      <x/>
      <x/>
      <x/>
      <x v="44"/>
      <x v="2"/>
      <x v="83"/>
      <x v="98"/>
      <x v="75"/>
    </i>
    <i>
      <x v="48"/>
      <x/>
      <x v="4"/>
      <x/>
      <x/>
      <x/>
      <x v="2"/>
      <x v="85"/>
      <x/>
      <x/>
    </i>
    <i>
      <x v="49"/>
      <x v="1"/>
      <x/>
      <x v="4"/>
      <x/>
      <x/>
      <x v="2"/>
      <x v="85"/>
      <x/>
      <x/>
    </i>
    <i>
      <x v="50"/>
      <x v="2"/>
      <x/>
      <x/>
      <x v="15"/>
      <x/>
      <x v="2"/>
      <x v="85"/>
      <x/>
      <x/>
    </i>
    <i>
      <x v="51"/>
      <x v="3"/>
      <x/>
      <x/>
      <x/>
      <x v="19"/>
      <x v="2"/>
      <x v="3"/>
      <x/>
      <x/>
    </i>
    <i>
      <x v="52"/>
      <x v="1"/>
      <x/>
      <x v="13"/>
      <x/>
      <x/>
      <x v="2"/>
      <x v="85"/>
      <x/>
      <x/>
    </i>
    <i>
      <x v="53"/>
      <x v="2"/>
      <x/>
      <x/>
      <x v="8"/>
      <x/>
      <x v="2"/>
      <x v="85"/>
      <x/>
      <x/>
    </i>
    <i>
      <x v="54"/>
      <x v="3"/>
      <x/>
      <x/>
      <x/>
      <x v="32"/>
      <x v="2"/>
      <x v="70"/>
      <x v="82"/>
      <x v="61"/>
    </i>
    <i>
      <x v="55"/>
      <x v="3"/>
      <x/>
      <x/>
      <x/>
      <x v="53"/>
      <x v="2"/>
      <x v="53"/>
      <x v="84"/>
      <x v="63"/>
    </i>
    <i>
      <x v="56"/>
      <x v="3"/>
      <x/>
      <x/>
      <x/>
      <x v="81"/>
      <x v="2"/>
      <x v="53"/>
      <x v="84"/>
      <x v="63"/>
    </i>
    <i>
      <x v="57"/>
      <x v="1"/>
      <x/>
      <x v="3"/>
      <x/>
      <x/>
      <x v="2"/>
      <x v="85"/>
      <x/>
      <x/>
    </i>
    <i>
      <x v="58"/>
      <x v="2"/>
      <x/>
      <x/>
      <x v="9"/>
      <x/>
      <x v="2"/>
      <x v="85"/>
      <x/>
      <x/>
    </i>
    <i>
      <x v="59"/>
      <x v="3"/>
      <x/>
      <x/>
      <x/>
      <x v="107"/>
      <x v="2"/>
      <x v="67"/>
      <x v="79"/>
      <x v="58"/>
    </i>
    <i>
      <x v="60"/>
      <x v="3"/>
      <x/>
      <x/>
      <x/>
      <x v="108"/>
      <x v="2"/>
      <x v="67"/>
      <x v="79"/>
      <x v="58"/>
    </i>
    <i>
      <x v="61"/>
      <x v="2"/>
      <x/>
      <x/>
      <x v="16"/>
      <x/>
      <x v="2"/>
      <x v="85"/>
      <x/>
      <x/>
    </i>
    <i>
      <x v="62"/>
      <x v="3"/>
      <x/>
      <x/>
      <x/>
      <x v="109"/>
      <x v="2"/>
      <x v="67"/>
      <x v="99"/>
      <x v="76"/>
    </i>
    <i>
      <x v="63"/>
      <x v="3"/>
      <x/>
      <x/>
      <x/>
      <x v="110"/>
      <x v="2"/>
      <x v="67"/>
      <x v="99"/>
      <x v="76"/>
    </i>
    <i>
      <x v="64"/>
      <x v="3"/>
      <x/>
      <x/>
      <x/>
      <x v="59"/>
      <x v="2"/>
      <x v="66"/>
      <x v="84"/>
      <x v="63"/>
    </i>
    <i>
      <x v="65"/>
      <x v="3"/>
      <x/>
      <x/>
      <x/>
      <x v="101"/>
      <x v="2"/>
      <x v="45"/>
      <x v="100"/>
      <x/>
    </i>
    <i>
      <x v="66"/>
      <x v="3"/>
      <x/>
      <x/>
      <x/>
      <x v="56"/>
      <x v="2"/>
      <x v="68"/>
      <x v="80"/>
      <x v="59"/>
    </i>
    <i>
      <x v="67"/>
      <x v="3"/>
      <x/>
      <x/>
      <x/>
      <x v="111"/>
      <x v="2"/>
      <x v="68"/>
      <x v="101"/>
      <x v="77"/>
    </i>
    <i>
      <x v="68"/>
      <x v="2"/>
      <x/>
      <x/>
      <x v="4"/>
      <x/>
      <x v="2"/>
      <x v="68"/>
      <x v="102"/>
      <x v="78"/>
    </i>
    <i>
      <x v="69"/>
      <x v="2"/>
      <x/>
      <x/>
      <x v="25"/>
      <x/>
      <x v="2"/>
      <x v="85"/>
      <x/>
      <x/>
    </i>
    <i>
      <x v="70"/>
      <x v="3"/>
      <x/>
      <x/>
      <x/>
      <x v="67"/>
      <x v="2"/>
      <x v="67"/>
      <x v="80"/>
      <x v="59"/>
    </i>
    <i>
      <x v="71"/>
      <x v="3"/>
      <x/>
      <x/>
      <x/>
      <x v="31"/>
      <x v="2"/>
      <x v="67"/>
      <x v="94"/>
      <x v="71"/>
    </i>
    <i>
      <x v="72"/>
      <x v="3"/>
      <x/>
      <x/>
      <x/>
      <x v="38"/>
      <x v="2"/>
      <x v="67"/>
      <x v="94"/>
      <x v="71"/>
    </i>
    <i>
      <x v="73"/>
      <x v="3"/>
      <x/>
      <x/>
      <x/>
      <x v="60"/>
      <x v="2"/>
      <x v="39"/>
      <x v="94"/>
      <x v="71"/>
    </i>
    <i>
      <x v="74"/>
      <x v="3"/>
      <x/>
      <x/>
      <x/>
      <x v="94"/>
      <x v="2"/>
      <x v="76"/>
      <x v="103"/>
      <x v="79"/>
    </i>
    <i>
      <x v="75"/>
      <x v="3"/>
      <x/>
      <x/>
      <x/>
      <x v="112"/>
      <x v="2"/>
      <x v="68"/>
      <x v="104"/>
      <x v="80"/>
    </i>
    <i>
      <x v="76"/>
      <x v="3"/>
      <x/>
      <x/>
      <x/>
      <x v="58"/>
      <x v="2"/>
      <x v="48"/>
      <x v="89"/>
      <x v="67"/>
    </i>
    <i>
      <x v="77"/>
      <x v="3"/>
      <x/>
      <x/>
      <x/>
      <x v="54"/>
      <x v="2"/>
      <x v="48"/>
      <x v="89"/>
      <x v="67"/>
    </i>
    <i>
      <x v="78"/>
      <x v="1"/>
      <x/>
      <x v="11"/>
      <x/>
      <x/>
      <x v="2"/>
      <x v="85"/>
      <x/>
      <x/>
    </i>
    <i>
      <x v="79"/>
      <x v="2"/>
      <x/>
      <x/>
      <x v="6"/>
      <x/>
      <x v="2"/>
      <x v="85"/>
      <x/>
      <x/>
    </i>
    <i>
      <x v="80"/>
      <x v="3"/>
      <x/>
      <x/>
      <x/>
      <x v="37"/>
      <x v="2"/>
      <x v="36"/>
      <x v="105"/>
      <x v="81"/>
    </i>
    <i>
      <x v="81"/>
      <x v="3"/>
      <x/>
      <x/>
      <x/>
      <x v="12"/>
      <x v="2"/>
      <x v="36"/>
      <x v="106"/>
      <x v="82"/>
    </i>
    <i>
      <x v="82"/>
      <x v="3"/>
      <x/>
      <x/>
      <x/>
      <x v="7"/>
      <x v="2"/>
      <x v="36"/>
      <x v="107"/>
      <x v="83"/>
    </i>
    <i>
      <x v="83"/>
      <x v="3"/>
      <x/>
      <x/>
      <x/>
      <x v="9"/>
      <x v="2"/>
      <x v="36"/>
      <x v="108"/>
      <x v="84"/>
    </i>
    <i>
      <x v="84"/>
      <x v="3"/>
      <x/>
      <x/>
      <x/>
      <x v="11"/>
      <x v="2"/>
      <x v="36"/>
      <x v="109"/>
      <x v="85"/>
    </i>
    <i>
      <x v="85"/>
      <x v="3"/>
      <x/>
      <x/>
      <x/>
      <x v="6"/>
      <x v="2"/>
      <x v="36"/>
      <x v="110"/>
      <x v="86"/>
    </i>
    <i>
      <x v="86"/>
      <x v="3"/>
      <x/>
      <x/>
      <x/>
      <x v="8"/>
      <x v="2"/>
      <x v="36"/>
      <x v="111"/>
      <x v="87"/>
    </i>
    <i>
      <x v="87"/>
      <x v="3"/>
      <x/>
      <x/>
      <x/>
      <x v="10"/>
      <x v="2"/>
      <x v="36"/>
      <x v="112"/>
      <x v="88"/>
    </i>
    <i>
      <x v="88"/>
      <x v="3"/>
      <x/>
      <x/>
      <x/>
      <x v="13"/>
      <x v="2"/>
      <x v="36"/>
      <x v="113"/>
      <x v="89"/>
    </i>
    <i>
      <x v="89"/>
      <x v="3"/>
      <x/>
      <x/>
      <x/>
      <x v="1"/>
      <x v="2"/>
      <x v="36"/>
      <x v="114"/>
      <x v="90"/>
    </i>
    <i>
      <x v="90"/>
      <x v="2"/>
      <x/>
      <x/>
      <x v="29"/>
      <x/>
      <x v="2"/>
      <x v="85"/>
      <x/>
      <x/>
    </i>
    <i>
      <x v="91"/>
      <x v="3"/>
      <x/>
      <x/>
      <x/>
      <x v="37"/>
      <x v="2"/>
      <x v="35"/>
      <x v="115"/>
      <x v="91"/>
    </i>
    <i>
      <x v="92"/>
      <x v="3"/>
      <x/>
      <x/>
      <x/>
      <x v="12"/>
      <x v="2"/>
      <x v="35"/>
      <x v="116"/>
      <x v="92"/>
    </i>
    <i>
      <x v="93"/>
      <x v="3"/>
      <x/>
      <x/>
      <x/>
      <x v="7"/>
      <x v="2"/>
      <x v="35"/>
      <x v="117"/>
      <x v="93"/>
    </i>
    <i>
      <x v="94"/>
      <x v="3"/>
      <x/>
      <x/>
      <x/>
      <x v="9"/>
      <x v="2"/>
      <x v="35"/>
      <x v="118"/>
      <x v="94"/>
    </i>
    <i>
      <x v="95"/>
      <x v="3"/>
      <x/>
      <x/>
      <x/>
      <x v="11"/>
      <x v="2"/>
      <x v="35"/>
      <x v="119"/>
      <x v="95"/>
    </i>
    <i>
      <x v="96"/>
      <x v="3"/>
      <x/>
      <x/>
      <x/>
      <x v="6"/>
      <x v="2"/>
      <x v="35"/>
      <x v="120"/>
      <x v="96"/>
    </i>
    <i>
      <x v="97"/>
      <x v="3"/>
      <x/>
      <x/>
      <x/>
      <x v="8"/>
      <x v="2"/>
      <x v="35"/>
      <x v="121"/>
      <x v="97"/>
    </i>
    <i>
      <x v="98"/>
      <x v="3"/>
      <x/>
      <x/>
      <x/>
      <x v="10"/>
      <x v="2"/>
      <x v="35"/>
      <x v="122"/>
      <x v="98"/>
    </i>
    <i>
      <x v="99"/>
      <x v="3"/>
      <x/>
      <x/>
      <x/>
      <x v="13"/>
      <x v="2"/>
      <x v="35"/>
      <x v="123"/>
      <x v="99"/>
    </i>
    <i>
      <x v="100"/>
      <x v="3"/>
      <x/>
      <x/>
      <x/>
      <x v="1"/>
      <x v="2"/>
      <x v="35"/>
      <x v="124"/>
      <x v="100"/>
    </i>
    <i>
      <x v="101"/>
      <x v="2"/>
      <x/>
      <x/>
      <x v="10"/>
      <x/>
      <x v="2"/>
      <x v="85"/>
      <x/>
      <x/>
    </i>
    <i>
      <x v="102"/>
      <x v="3"/>
      <x/>
      <x/>
      <x/>
      <x v="54"/>
      <x v="2"/>
      <x v="33"/>
      <x v="89"/>
      <x v="67"/>
    </i>
    <i>
      <x v="103"/>
      <x v="3"/>
      <x/>
      <x/>
      <x/>
      <x v="49"/>
      <x v="2"/>
      <x v="29"/>
      <x v="125"/>
      <x v="101"/>
    </i>
    <i>
      <x v="104"/>
      <x v="3"/>
      <x/>
      <x/>
      <x/>
      <x v="51"/>
      <x v="2"/>
      <x v="30"/>
      <x v="89"/>
      <x v="67"/>
    </i>
    <i>
      <x v="105"/>
      <x v="3"/>
      <x/>
      <x/>
      <x/>
      <x v="48"/>
      <x v="2"/>
      <x v="29"/>
      <x v="125"/>
      <x v="101"/>
    </i>
    <i>
      <x v="106"/>
      <x v="3"/>
      <x/>
      <x/>
      <x/>
      <x v="50"/>
      <x v="2"/>
      <x v="31"/>
      <x v="89"/>
      <x v="67"/>
    </i>
    <i>
      <x v="107"/>
      <x v="3"/>
      <x/>
      <x/>
      <x/>
      <x v="3"/>
      <x v="2"/>
      <x v="69"/>
      <x v="82"/>
      <x v="61"/>
    </i>
    <i>
      <x v="108"/>
      <x v="3"/>
      <x/>
      <x/>
      <x/>
      <x v="82"/>
      <x v="2"/>
      <x v="58"/>
      <x v="89"/>
      <x v="67"/>
    </i>
    <i>
      <x v="109"/>
      <x v="3"/>
      <x/>
      <x/>
      <x/>
      <x v="95"/>
      <x v="2"/>
      <x v="73"/>
      <x v="89"/>
      <x v="67"/>
    </i>
    <i>
      <x v="110"/>
      <x v="3"/>
      <x/>
      <x/>
      <x/>
      <x v="83"/>
      <x v="2"/>
      <x v="23"/>
      <x v="126"/>
      <x v="102"/>
    </i>
    <i>
      <x v="111"/>
      <x v="2"/>
      <x/>
      <x/>
      <x v="18"/>
      <x/>
      <x v="2"/>
      <x v="85"/>
      <x/>
      <x/>
    </i>
    <i>
      <x v="112"/>
      <x v="3"/>
      <x/>
      <x/>
      <x/>
      <x v="52"/>
      <x v="2"/>
      <x v="49"/>
      <x v="82"/>
      <x v="61"/>
    </i>
    <i>
      <x v="113"/>
      <x v="3"/>
      <x/>
      <x/>
      <x/>
      <x v="24"/>
      <x v="2"/>
      <x v="20"/>
      <x v="89"/>
      <x v="67"/>
    </i>
    <i>
      <x v="114"/>
      <x v="3"/>
      <x/>
      <x/>
      <x/>
      <x v="77"/>
      <x v="2"/>
      <x v="13"/>
      <x v="127"/>
      <x v="103"/>
    </i>
    <i>
      <x v="115"/>
      <x v="3"/>
      <x/>
      <x/>
      <x/>
      <x v="29"/>
      <x v="2"/>
      <x v="14"/>
      <x v="89"/>
      <x v="67"/>
    </i>
    <i>
      <x v="116"/>
      <x v="3"/>
      <x/>
      <x/>
      <x/>
      <x v="22"/>
      <x v="2"/>
      <x v="47"/>
      <x v="91"/>
      <x v="12"/>
    </i>
    <i>
      <x v="117"/>
      <x v="2"/>
      <x/>
      <x/>
      <x v="11"/>
      <x/>
      <x v="2"/>
      <x v="85"/>
      <x/>
      <x/>
    </i>
    <i>
      <x v="118"/>
      <x v="3"/>
      <x/>
      <x/>
      <x/>
      <x v="78"/>
      <x v="2"/>
      <x v="68"/>
      <x v="128"/>
      <x v="104"/>
    </i>
    <i>
      <x v="119"/>
      <x v="3"/>
      <x/>
      <x/>
      <x/>
      <x v="79"/>
      <x v="2"/>
      <x v="44"/>
      <x v="129"/>
      <x v="105"/>
    </i>
    <i>
      <x v="120"/>
      <x v="3"/>
      <x/>
      <x/>
      <x/>
      <x v="80"/>
      <x v="2"/>
      <x v="44"/>
      <x v="130"/>
      <x v="106"/>
    </i>
    <i>
      <x v="121"/>
      <x/>
      <x v="2"/>
      <x/>
      <x/>
      <x/>
      <x v="2"/>
      <x v="85"/>
      <x/>
      <x/>
    </i>
    <i>
      <x v="122"/>
      <x v="2"/>
      <x/>
      <x/>
      <x v="20"/>
      <x/>
      <x v="2"/>
      <x v="85"/>
      <x/>
      <x/>
    </i>
    <i>
      <x v="123"/>
      <x v="3"/>
      <x/>
      <x/>
      <x/>
      <x v="62"/>
      <x v="2"/>
      <x v="1"/>
      <x/>
      <x/>
    </i>
    <i>
      <x v="124"/>
      <x v="3"/>
      <x/>
      <x/>
      <x/>
      <x v="45"/>
      <x v="2"/>
      <x v="1"/>
      <x v="131"/>
      <x v="107"/>
    </i>
    <i>
      <x v="125"/>
      <x v="3"/>
      <x/>
      <x/>
      <x/>
      <x v="43"/>
      <x v="2"/>
      <x v="1"/>
      <x v="132"/>
      <x v="108"/>
    </i>
    <i>
      <x v="126"/>
      <x v="3"/>
      <x/>
      <x/>
      <x/>
      <x v="41"/>
      <x v="2"/>
      <x v="1"/>
      <x v="133"/>
      <x v="109"/>
    </i>
    <i>
      <x v="127"/>
      <x/>
      <x v="1"/>
      <x/>
      <x/>
      <x/>
      <x v="2"/>
      <x v="85"/>
      <x/>
      <x/>
    </i>
    <i>
      <x v="128"/>
      <x v="1"/>
      <x/>
      <x v="1"/>
      <x/>
      <x/>
      <x v="2"/>
      <x v="85"/>
      <x/>
      <x/>
    </i>
    <i>
      <x v="129"/>
      <x v="2"/>
      <x/>
      <x/>
      <x v="5"/>
      <x/>
      <x v="2"/>
      <x v="85"/>
      <x/>
      <x/>
    </i>
    <i>
      <x v="130"/>
      <x v="3"/>
      <x/>
      <x/>
      <x/>
      <x v="30"/>
      <x v="2"/>
      <x v="63"/>
      <x v="90"/>
      <x v="68"/>
    </i>
    <i>
      <x v="131"/>
      <x v="2"/>
      <x/>
      <x/>
      <x v="19"/>
      <x/>
      <x v="2"/>
      <x v="85"/>
      <x/>
      <x/>
    </i>
    <i>
      <x v="132"/>
      <x v="3"/>
      <x/>
      <x/>
      <x/>
      <x v="5"/>
      <x v="2"/>
      <x v="54"/>
      <x v="90"/>
      <x v="68"/>
    </i>
    <i>
      <x v="133"/>
      <x v="3"/>
      <x/>
      <x/>
      <x/>
      <x v="113"/>
      <x v="2"/>
      <x v="16"/>
      <x v="91"/>
      <x v="12"/>
    </i>
    <i>
      <x v="134"/>
      <x v="3"/>
      <x/>
      <x/>
      <x/>
      <x v="102"/>
      <x v="2"/>
      <x v="20"/>
      <x v="91"/>
      <x v="12"/>
    </i>
    <i>
      <x v="135"/>
      <x v="3"/>
      <x/>
      <x/>
      <x/>
      <x v="97"/>
      <x v="2"/>
      <x v="75"/>
      <x v="91"/>
      <x v="12"/>
    </i>
    <i>
      <x v="136"/>
      <x v="2"/>
      <x/>
      <x/>
      <x v="1"/>
      <x/>
      <x v="2"/>
      <x v="85"/>
      <x/>
      <x/>
    </i>
    <i>
      <x v="137"/>
      <x v="3"/>
      <x/>
      <x/>
      <x/>
      <x v="89"/>
      <x v="2"/>
      <x v="20"/>
      <x v="83"/>
      <x v="62"/>
    </i>
    <i>
      <x v="139"/>
      <x v="3"/>
      <x/>
      <x/>
      <x/>
      <x v="88"/>
      <x v="2"/>
      <x v="72"/>
      <x v="83"/>
      <x v="62"/>
    </i>
    <i>
      <x v="140"/>
      <x v="2"/>
      <x/>
      <x/>
      <x v="27"/>
      <x/>
      <x v="2"/>
      <x v="85"/>
      <x/>
      <x/>
    </i>
    <i>
      <x v="141"/>
      <x v="3"/>
      <x/>
      <x/>
      <x/>
      <x v="86"/>
      <x v="2"/>
      <x v="26"/>
      <x v="134"/>
      <x v="110"/>
    </i>
    <i>
      <x v="142"/>
      <x v="3"/>
      <x/>
      <x/>
      <x/>
      <x v="114"/>
      <x v="2"/>
      <x v="84"/>
      <x/>
      <x/>
    </i>
    <i>
      <x v="143"/>
      <x v="3"/>
      <x/>
      <x/>
      <x/>
      <x v="69"/>
      <x v="2"/>
      <x v="4"/>
      <x/>
      <x/>
    </i>
    <i>
      <x v="144"/>
      <x v="3"/>
      <x/>
      <x/>
      <x/>
      <x v="4"/>
      <x v="2"/>
      <x v="5"/>
      <x/>
      <x/>
    </i>
    <i>
      <x v="146"/>
      <x/>
      <x v="3"/>
      <x/>
      <x/>
      <x/>
      <x v="2"/>
      <x v="85"/>
      <x/>
      <x/>
    </i>
    <i>
      <x v="147"/>
      <x v="1"/>
      <x/>
      <x v="15"/>
      <x/>
      <x/>
      <x v="2"/>
      <x v="85"/>
      <x/>
      <x/>
    </i>
    <i>
      <x v="148"/>
      <x v="2"/>
      <x/>
      <x/>
      <x v="14"/>
      <x/>
      <x v="2"/>
      <x v="2"/>
      <x/>
      <x/>
    </i>
    <i>
      <x v="149"/>
      <x v="3"/>
      <x/>
      <x/>
      <x/>
      <x v="27"/>
      <x v="2"/>
      <x v="2"/>
      <x/>
      <x/>
    </i>
    <i>
      <x v="150"/>
      <x v="3"/>
      <x/>
      <x/>
      <x/>
      <x v="57"/>
      <x v="2"/>
      <x v="2"/>
      <x/>
      <x/>
    </i>
    <i>
      <x v="151"/>
      <x v="3"/>
      <x/>
      <x/>
      <x/>
      <x v="18"/>
      <x v="2"/>
      <x v="2"/>
      <x/>
      <x/>
    </i>
    <i>
      <x v="152"/>
      <x v="2"/>
      <x/>
      <x/>
      <x v="24"/>
      <x/>
      <x v="2"/>
      <x v="85"/>
      <x/>
      <x/>
    </i>
    <i>
      <x v="153"/>
      <x v="3"/>
      <x/>
      <x/>
      <x/>
      <x v="17"/>
      <x v="2"/>
      <x v="17"/>
      <x v="94"/>
      <x v="71"/>
    </i>
    <i>
      <x v="154"/>
      <x v="6"/>
      <x/>
      <x/>
      <x/>
      <x v="115"/>
      <x v="2"/>
      <x v="24"/>
      <x v="91"/>
      <x v="12"/>
    </i>
    <i>
      <x v="155"/>
      <x v="3"/>
      <x/>
      <x/>
      <x/>
      <x v="70"/>
      <x v="2"/>
      <x v="50"/>
      <x v="94"/>
      <x v="71"/>
    </i>
    <i>
      <x v="156"/>
      <x v="3"/>
      <x/>
      <x/>
      <x/>
      <x v="33"/>
      <x v="2"/>
      <x v="25"/>
      <x v="94"/>
      <x v="71"/>
    </i>
    <i>
      <x v="157"/>
      <x v="7"/>
      <x/>
      <x/>
      <x/>
      <x v="116"/>
      <x v="2"/>
      <x v="11"/>
      <x v="92"/>
      <x v="69"/>
    </i>
    <i>
      <x v="158"/>
      <x v="3"/>
      <x/>
      <x/>
      <x/>
      <x v="85"/>
      <x v="2"/>
      <x v="64"/>
      <x v="80"/>
      <x v="59"/>
    </i>
    <i>
      <x v="159"/>
      <x v="1"/>
      <x/>
      <x v="7"/>
      <x/>
      <x/>
      <x v="2"/>
      <x v="85"/>
      <x/>
      <x/>
    </i>
    <i>
      <x v="160"/>
      <x v="2"/>
      <x/>
      <x/>
      <x v="26"/>
      <x/>
      <x v="2"/>
      <x v="6"/>
      <x/>
      <x/>
    </i>
    <i>
      <x v="161"/>
      <x v="3"/>
      <x/>
      <x/>
      <x/>
      <x v="61"/>
      <x v="2"/>
      <x v="6"/>
      <x/>
      <x/>
    </i>
    <i>
      <x v="162"/>
      <x v="3"/>
      <x/>
      <x/>
      <x/>
      <x v="64"/>
      <x v="2"/>
      <x v="6"/>
      <x/>
      <x/>
    </i>
    <i>
      <x v="163"/>
      <x v="3"/>
      <x/>
      <x/>
      <x/>
      <x v="96"/>
      <x v="2"/>
      <x v="6"/>
      <x/>
      <x/>
    </i>
    <i>
      <x v="164"/>
      <x v="2"/>
      <x/>
      <x/>
      <x v="23"/>
      <x/>
      <x v="2"/>
      <x v="85"/>
      <x/>
      <x/>
    </i>
    <i>
      <x v="165"/>
      <x v="3"/>
      <x/>
      <x/>
      <x/>
      <x v="90"/>
      <x v="2"/>
      <x v="38"/>
      <x v="94"/>
      <x v="71"/>
    </i>
    <i>
      <x v="166"/>
      <x v="5"/>
      <x/>
      <x/>
      <x/>
      <x v="117"/>
      <x v="2"/>
      <x v="10"/>
      <x v="80"/>
      <x v="59"/>
    </i>
    <i>
      <x v="167"/>
      <x v="3"/>
      <x/>
      <x/>
      <x/>
      <x v="91"/>
      <x v="2"/>
      <x v="85"/>
      <x/>
      <x/>
    </i>
    <i>
      <x v="168"/>
      <x/>
      <x v="7"/>
      <x/>
      <x/>
      <x/>
      <x v="2"/>
      <x v="85"/>
      <x/>
      <x/>
    </i>
    <i>
      <x v="169"/>
      <x v="1"/>
      <x/>
      <x v="14"/>
      <x/>
      <x/>
      <x v="2"/>
      <x v="85"/>
      <x/>
      <x/>
    </i>
    <i>
      <x v="170"/>
      <x v="2"/>
      <x/>
      <x/>
      <x v="22"/>
      <x/>
      <x v="2"/>
      <x v="85"/>
      <x/>
      <x/>
    </i>
    <i>
      <x v="171"/>
      <x v="3"/>
      <x/>
      <x/>
      <x/>
      <x v="84"/>
      <x v="2"/>
      <x v="62"/>
      <x v="84"/>
      <x v="63"/>
    </i>
    <i>
      <x v="172"/>
      <x v="3"/>
      <x/>
      <x/>
      <x/>
      <x v="105"/>
      <x v="2"/>
      <x v="79"/>
      <x v="84"/>
      <x v="63"/>
    </i>
    <i>
      <x v="173"/>
      <x v="3"/>
      <x/>
      <x/>
      <x/>
      <x v="55"/>
      <x v="2"/>
      <x v="34"/>
      <x v="84"/>
      <x v="63"/>
    </i>
    <i>
      <x v="209"/>
      <x/>
      <x v="5"/>
      <x/>
      <x/>
      <x/>
      <x v="2"/>
      <x v="85"/>
      <x/>
      <x/>
    </i>
    <i>
      <x v="210"/>
      <x v="1"/>
      <x/>
      <x v="5"/>
      <x/>
      <x/>
      <x v="2"/>
      <x v="85"/>
      <x/>
      <x/>
    </i>
    <i>
      <x v="211"/>
      <x v="3"/>
      <x/>
      <x/>
      <x/>
      <x v="36"/>
      <x v="2"/>
      <x v="27"/>
      <x v="135"/>
      <x/>
    </i>
    <i>
      <x v="212"/>
      <x/>
      <x v="8"/>
      <x/>
      <x/>
      <x/>
      <x v="2"/>
      <x v="85"/>
      <x/>
      <x/>
    </i>
    <i>
      <x v="213"/>
      <x v="3"/>
      <x/>
      <x/>
      <x/>
      <x v="99"/>
      <x v="2"/>
      <x v="22"/>
      <x v="136"/>
      <x/>
    </i>
    <i>
      <x v="218"/>
      <x/>
      <x/>
      <x/>
      <x/>
      <x/>
      <x v="2"/>
      <x v="85"/>
      <x v="139"/>
      <x v="111"/>
    </i>
  </rowItems>
  <colItems count="1">
    <i/>
  </colItems>
  <pageFields count="1">
    <pageField fld="6" item="1" hier="-1"/>
  </pageFields>
  <formats count="1610">
    <format dxfId="2302">
      <pivotArea field="20" type="button" dataOnly="0" labelOnly="1" outline="0" axis="axisRow" fieldPosition="2"/>
    </format>
    <format dxfId="2301">
      <pivotArea field="21" type="button" dataOnly="0" labelOnly="1" outline="0" axis="axisRow" fieldPosition="3"/>
    </format>
    <format dxfId="2300">
      <pivotArea field="22" type="button" dataOnly="0" labelOnly="1" outline="0" axis="axisRow" fieldPosition="4"/>
    </format>
    <format dxfId="2299">
      <pivotArea field="5" type="button" dataOnly="0" labelOnly="1" outline="0" axis="axisRow" fieldPosition="6"/>
    </format>
    <format dxfId="2298">
      <pivotArea field="1" type="button" dataOnly="0" labelOnly="1" outline="0" axis="axisRow" fieldPosition="0"/>
    </format>
    <format dxfId="2297">
      <pivotArea field="0" type="button" dataOnly="0" labelOnly="1" outline="0" axis="axisRow" fieldPosition="1"/>
    </format>
    <format dxfId="2296">
      <pivotArea field="20" type="button" dataOnly="0" labelOnly="1" outline="0" axis="axisRow" fieldPosition="2"/>
    </format>
    <format dxfId="2295">
      <pivotArea field="21" type="button" dataOnly="0" labelOnly="1" outline="0" axis="axisRow" fieldPosition="3"/>
    </format>
    <format dxfId="2294">
      <pivotArea field="22" type="button" dataOnly="0" labelOnly="1" outline="0" axis="axisRow" fieldPosition="4"/>
    </format>
    <format dxfId="2293">
      <pivotArea field="23" type="button" dataOnly="0" labelOnly="1" outline="0" axis="axisRow" fieldPosition="5"/>
    </format>
    <format dxfId="2292">
      <pivotArea field="5" type="button" dataOnly="0" labelOnly="1" outline="0" axis="axisRow" fieldPosition="6"/>
    </format>
    <format dxfId="2291">
      <pivotArea field="24" type="button" dataOnly="0" labelOnly="1" outline="0" axis="axisRow" fieldPosition="7"/>
    </format>
    <format dxfId="2290">
      <pivotArea field="13" type="button" dataOnly="0" labelOnly="1" outline="0" axis="axisRow" fieldPosition="8"/>
    </format>
    <format dxfId="2289">
      <pivotArea field="17" type="button" dataOnly="0" labelOnly="1" outline="0" axis="axisRow" fieldPosition="9"/>
    </format>
    <format dxfId="2288">
      <pivotArea field="1" type="button" dataOnly="0" labelOnly="1" outline="0" axis="axisRow" fieldPosition="0"/>
    </format>
    <format dxfId="2287">
      <pivotArea field="0" type="button" dataOnly="0" labelOnly="1" outline="0" axis="axisRow" fieldPosition="1"/>
    </format>
    <format dxfId="2286">
      <pivotArea field="20" type="button" dataOnly="0" labelOnly="1" outline="0" axis="axisRow" fieldPosition="2"/>
    </format>
    <format dxfId="2285">
      <pivotArea field="21" type="button" dataOnly="0" labelOnly="1" outline="0" axis="axisRow" fieldPosition="3"/>
    </format>
    <format dxfId="2284">
      <pivotArea field="22" type="button" dataOnly="0" labelOnly="1" outline="0" axis="axisRow" fieldPosition="4"/>
    </format>
    <format dxfId="2283">
      <pivotArea field="23" type="button" dataOnly="0" labelOnly="1" outline="0" axis="axisRow" fieldPosition="5"/>
    </format>
    <format dxfId="2282">
      <pivotArea field="5" type="button" dataOnly="0" labelOnly="1" outline="0" axis="axisRow" fieldPosition="6"/>
    </format>
    <format dxfId="2281">
      <pivotArea field="24" type="button" dataOnly="0" labelOnly="1" outline="0" axis="axisRow" fieldPosition="7"/>
    </format>
    <format dxfId="2280">
      <pivotArea field="13" type="button" dataOnly="0" labelOnly="1" outline="0" axis="axisRow" fieldPosition="8"/>
    </format>
    <format dxfId="2279">
      <pivotArea field="17" type="button" dataOnly="0" labelOnly="1" outline="0" axis="axisRow" fieldPosition="9"/>
    </format>
    <format dxfId="2278">
      <pivotArea field="1" type="button" dataOnly="0" labelOnly="1" outline="0" axis="axisRow" fieldPosition="0"/>
    </format>
    <format dxfId="2277">
      <pivotArea field="0" type="button" dataOnly="0" labelOnly="1" outline="0" axis="axisRow" fieldPosition="1"/>
    </format>
    <format dxfId="2276">
      <pivotArea field="20" type="button" dataOnly="0" labelOnly="1" outline="0" axis="axisRow" fieldPosition="2"/>
    </format>
    <format dxfId="2275">
      <pivotArea field="21" type="button" dataOnly="0" labelOnly="1" outline="0" axis="axisRow" fieldPosition="3"/>
    </format>
    <format dxfId="2274">
      <pivotArea field="22" type="button" dataOnly="0" labelOnly="1" outline="0" axis="axisRow" fieldPosition="4"/>
    </format>
    <format dxfId="2273">
      <pivotArea field="23" type="button" dataOnly="0" labelOnly="1" outline="0" axis="axisRow" fieldPosition="5"/>
    </format>
    <format dxfId="2272">
      <pivotArea field="5" type="button" dataOnly="0" labelOnly="1" outline="0" axis="axisRow" fieldPosition="6"/>
    </format>
    <format dxfId="2271">
      <pivotArea field="24" type="button" dataOnly="0" labelOnly="1" outline="0" axis="axisRow" fieldPosition="7"/>
    </format>
    <format dxfId="2270">
      <pivotArea field="13" type="button" dataOnly="0" labelOnly="1" outline="0" axis="axisRow" fieldPosition="8"/>
    </format>
    <format dxfId="2269">
      <pivotArea field="17" type="button" dataOnly="0" labelOnly="1" outline="0" axis="axisRow" fieldPosition="9"/>
    </format>
    <format dxfId="2268">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67">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66">
      <pivotArea dataOnly="0" labelOnly="1" outline="0"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9"/>
            <x v="140"/>
            <x v="141"/>
            <x v="142"/>
            <x v="143"/>
            <x v="144"/>
            <x v="146"/>
            <x v="147"/>
            <x v="148"/>
            <x v="149"/>
            <x v="150"/>
            <x v="151"/>
          </reference>
        </references>
      </pivotArea>
    </format>
    <format dxfId="2265">
      <pivotArea dataOnly="0" labelOnly="1" outline="0" fieldPosition="0">
        <references count="1">
          <reference field="1" count="27">
            <x v="152"/>
            <x v="153"/>
            <x v="154"/>
            <x v="155"/>
            <x v="156"/>
            <x v="157"/>
            <x v="158"/>
            <x v="159"/>
            <x v="160"/>
            <x v="161"/>
            <x v="162"/>
            <x v="163"/>
            <x v="164"/>
            <x v="165"/>
            <x v="166"/>
            <x v="167"/>
            <x v="168"/>
            <x v="169"/>
            <x v="170"/>
            <x v="171"/>
            <x v="172"/>
            <x v="173"/>
            <x v="209"/>
            <x v="210"/>
            <x v="211"/>
            <x v="212"/>
            <x v="213"/>
          </reference>
        </references>
      </pivotArea>
    </format>
    <format dxfId="2264">
      <pivotArea dataOnly="0" labelOnly="1" outline="0" fieldPosition="0">
        <references count="2">
          <reference field="0" count="1">
            <x v="0"/>
          </reference>
          <reference field="1" count="1" selected="0">
            <x v="0"/>
          </reference>
        </references>
      </pivotArea>
    </format>
    <format dxfId="2263">
      <pivotArea dataOnly="0" labelOnly="1" outline="0" fieldPosition="0">
        <references count="2">
          <reference field="0" count="1">
            <x v="1"/>
          </reference>
          <reference field="1" count="1" selected="0">
            <x v="1"/>
          </reference>
        </references>
      </pivotArea>
    </format>
    <format dxfId="2262">
      <pivotArea dataOnly="0" labelOnly="1" outline="0" fieldPosition="0">
        <references count="2">
          <reference field="0" count="1">
            <x v="0"/>
          </reference>
          <reference field="1" count="1" selected="0">
            <x v="3"/>
          </reference>
        </references>
      </pivotArea>
    </format>
    <format dxfId="2261">
      <pivotArea dataOnly="0" labelOnly="1" outline="0" fieldPosition="0">
        <references count="2">
          <reference field="0" count="1">
            <x v="1"/>
          </reference>
          <reference field="1" count="1" selected="0">
            <x v="4"/>
          </reference>
        </references>
      </pivotArea>
    </format>
    <format dxfId="2260">
      <pivotArea dataOnly="0" labelOnly="1" outline="0" fieldPosition="0">
        <references count="2">
          <reference field="0" count="1">
            <x v="2"/>
          </reference>
          <reference field="1" count="1" selected="0">
            <x v="5"/>
          </reference>
        </references>
      </pivotArea>
    </format>
    <format dxfId="2259">
      <pivotArea dataOnly="0" labelOnly="1" outline="0" fieldPosition="0">
        <references count="2">
          <reference field="0" count="1">
            <x v="3"/>
          </reference>
          <reference field="1" count="1" selected="0">
            <x v="6"/>
          </reference>
        </references>
      </pivotArea>
    </format>
    <format dxfId="2258">
      <pivotArea dataOnly="0" labelOnly="1" outline="0" fieldPosition="0">
        <references count="2">
          <reference field="0" count="1">
            <x v="1"/>
          </reference>
          <reference field="1" count="1" selected="0">
            <x v="9"/>
          </reference>
        </references>
      </pivotArea>
    </format>
    <format dxfId="2257">
      <pivotArea dataOnly="0" labelOnly="1" outline="0" fieldPosition="0">
        <references count="2">
          <reference field="0" count="1">
            <x v="2"/>
          </reference>
          <reference field="1" count="1" selected="0">
            <x v="10"/>
          </reference>
        </references>
      </pivotArea>
    </format>
    <format dxfId="2256">
      <pivotArea dataOnly="0" labelOnly="1" outline="0" fieldPosition="0">
        <references count="2">
          <reference field="0" count="1">
            <x v="3"/>
          </reference>
          <reference field="1" count="1" selected="0">
            <x v="11"/>
          </reference>
        </references>
      </pivotArea>
    </format>
    <format dxfId="2255">
      <pivotArea dataOnly="0" labelOnly="1" outline="0" fieldPosition="0">
        <references count="2">
          <reference field="0" count="1">
            <x v="1"/>
          </reference>
          <reference field="1" count="1" selected="0">
            <x v="14"/>
          </reference>
        </references>
      </pivotArea>
    </format>
    <format dxfId="2254">
      <pivotArea dataOnly="0" labelOnly="1" outline="0" fieldPosition="0">
        <references count="2">
          <reference field="0" count="1">
            <x v="2"/>
          </reference>
          <reference field="1" count="1" selected="0">
            <x v="15"/>
          </reference>
        </references>
      </pivotArea>
    </format>
    <format dxfId="2253">
      <pivotArea dataOnly="0" labelOnly="1" outline="0" fieldPosition="0">
        <references count="2">
          <reference field="0" count="1">
            <x v="3"/>
          </reference>
          <reference field="1" count="1" selected="0">
            <x v="16"/>
          </reference>
        </references>
      </pivotArea>
    </format>
    <format dxfId="2252">
      <pivotArea dataOnly="0" labelOnly="1" outline="0" fieldPosition="0">
        <references count="2">
          <reference field="0" count="1">
            <x v="2"/>
          </reference>
          <reference field="1" count="1" selected="0">
            <x v="19"/>
          </reference>
        </references>
      </pivotArea>
    </format>
    <format dxfId="2251">
      <pivotArea dataOnly="0" labelOnly="1" outline="0" fieldPosition="0">
        <references count="2">
          <reference field="0" count="1">
            <x v="3"/>
          </reference>
          <reference field="1" count="1" selected="0">
            <x v="20"/>
          </reference>
        </references>
      </pivotArea>
    </format>
    <format dxfId="2250">
      <pivotArea dataOnly="0" labelOnly="1" outline="0" fieldPosition="0">
        <references count="2">
          <reference field="0" count="1">
            <x v="2"/>
          </reference>
          <reference field="1" count="1" selected="0">
            <x v="21"/>
          </reference>
        </references>
      </pivotArea>
    </format>
    <format dxfId="2249">
      <pivotArea dataOnly="0" labelOnly="1" outline="0" fieldPosition="0">
        <references count="2">
          <reference field="0" count="1">
            <x v="3"/>
          </reference>
          <reference field="1" count="1" selected="0">
            <x v="22"/>
          </reference>
        </references>
      </pivotArea>
    </format>
    <format dxfId="2248">
      <pivotArea dataOnly="0" labelOnly="1" outline="0" fieldPosition="0">
        <references count="2">
          <reference field="0" count="1">
            <x v="1"/>
          </reference>
          <reference field="1" count="1" selected="0">
            <x v="24"/>
          </reference>
        </references>
      </pivotArea>
    </format>
    <format dxfId="2247">
      <pivotArea dataOnly="0" labelOnly="1" outline="0" fieldPosition="0">
        <references count="2">
          <reference field="0" count="1">
            <x v="2"/>
          </reference>
          <reference field="1" count="1" selected="0">
            <x v="25"/>
          </reference>
        </references>
      </pivotArea>
    </format>
    <format dxfId="2246">
      <pivotArea dataOnly="0" labelOnly="1" outline="0" fieldPosition="0">
        <references count="2">
          <reference field="0" count="1">
            <x v="3"/>
          </reference>
          <reference field="1" count="1" selected="0">
            <x v="26"/>
          </reference>
        </references>
      </pivotArea>
    </format>
    <format dxfId="2245">
      <pivotArea dataOnly="0" labelOnly="1" outline="0" fieldPosition="0">
        <references count="2">
          <reference field="0" count="1">
            <x v="1"/>
          </reference>
          <reference field="1" count="1" selected="0">
            <x v="29"/>
          </reference>
        </references>
      </pivotArea>
    </format>
    <format dxfId="2244">
      <pivotArea dataOnly="0" labelOnly="1" outline="0" fieldPosition="0">
        <references count="2">
          <reference field="0" count="1">
            <x v="2"/>
          </reference>
          <reference field="1" count="1" selected="0">
            <x v="30"/>
          </reference>
        </references>
      </pivotArea>
    </format>
    <format dxfId="2243">
      <pivotArea dataOnly="0" labelOnly="1" outline="0" fieldPosition="0">
        <references count="2">
          <reference field="0" count="1">
            <x v="3"/>
          </reference>
          <reference field="1" count="1" selected="0">
            <x v="31"/>
          </reference>
        </references>
      </pivotArea>
    </format>
    <format dxfId="2242">
      <pivotArea dataOnly="0" labelOnly="1" outline="0" fieldPosition="0">
        <references count="2">
          <reference field="0" count="1">
            <x v="1"/>
          </reference>
          <reference field="1" count="1" selected="0">
            <x v="41"/>
          </reference>
        </references>
      </pivotArea>
    </format>
    <format dxfId="2241">
      <pivotArea dataOnly="0" labelOnly="1" outline="0" fieldPosition="0">
        <references count="2">
          <reference field="0" count="1">
            <x v="3"/>
          </reference>
          <reference field="1" count="1" selected="0">
            <x v="42"/>
          </reference>
        </references>
      </pivotArea>
    </format>
    <format dxfId="2240">
      <pivotArea dataOnly="0" labelOnly="1" outline="0" fieldPosition="0">
        <references count="2">
          <reference field="0" count="1">
            <x v="1"/>
          </reference>
          <reference field="1" count="1" selected="0">
            <x v="43"/>
          </reference>
        </references>
      </pivotArea>
    </format>
    <format dxfId="2239">
      <pivotArea dataOnly="0" labelOnly="1" outline="0" fieldPosition="0">
        <references count="2">
          <reference field="0" count="1">
            <x v="3"/>
          </reference>
          <reference field="1" count="1" selected="0">
            <x v="44"/>
          </reference>
        </references>
      </pivotArea>
    </format>
    <format dxfId="2238">
      <pivotArea dataOnly="0" labelOnly="1" outline="0" fieldPosition="0">
        <references count="2">
          <reference field="0" count="1">
            <x v="0"/>
          </reference>
          <reference field="1" count="1" selected="0">
            <x v="48"/>
          </reference>
        </references>
      </pivotArea>
    </format>
    <format dxfId="2237">
      <pivotArea dataOnly="0" labelOnly="1" outline="0" fieldPosition="0">
        <references count="2">
          <reference field="0" count="1">
            <x v="1"/>
          </reference>
          <reference field="1" count="1" selected="0">
            <x v="49"/>
          </reference>
        </references>
      </pivotArea>
    </format>
    <format dxfId="2236">
      <pivotArea dataOnly="0" labelOnly="1" outline="0" fieldPosition="0">
        <references count="2">
          <reference field="0" count="1">
            <x v="2"/>
          </reference>
          <reference field="1" count="1" selected="0">
            <x v="50"/>
          </reference>
        </references>
      </pivotArea>
    </format>
    <format dxfId="2235">
      <pivotArea dataOnly="0" labelOnly="1" outline="0" fieldPosition="0">
        <references count="2">
          <reference field="0" count="1">
            <x v="3"/>
          </reference>
          <reference field="1" count="1" selected="0">
            <x v="51"/>
          </reference>
        </references>
      </pivotArea>
    </format>
    <format dxfId="2234">
      <pivotArea dataOnly="0" labelOnly="1" outline="0" fieldPosition="0">
        <references count="2">
          <reference field="0" count="1">
            <x v="1"/>
          </reference>
          <reference field="1" count="1" selected="0">
            <x v="52"/>
          </reference>
        </references>
      </pivotArea>
    </format>
    <format dxfId="2233">
      <pivotArea dataOnly="0" labelOnly="1" outline="0" fieldPosition="0">
        <references count="2">
          <reference field="0" count="1">
            <x v="2"/>
          </reference>
          <reference field="1" count="1" selected="0">
            <x v="53"/>
          </reference>
        </references>
      </pivotArea>
    </format>
    <format dxfId="2232">
      <pivotArea dataOnly="0" labelOnly="1" outline="0" fieldPosition="0">
        <references count="2">
          <reference field="0" count="1">
            <x v="3"/>
          </reference>
          <reference field="1" count="1" selected="0">
            <x v="54"/>
          </reference>
        </references>
      </pivotArea>
    </format>
    <format dxfId="2231">
      <pivotArea dataOnly="0" labelOnly="1" outline="0" fieldPosition="0">
        <references count="2">
          <reference field="0" count="1">
            <x v="1"/>
          </reference>
          <reference field="1" count="1" selected="0">
            <x v="57"/>
          </reference>
        </references>
      </pivotArea>
    </format>
    <format dxfId="2230">
      <pivotArea dataOnly="0" labelOnly="1" outline="0" fieldPosition="0">
        <references count="2">
          <reference field="0" count="1">
            <x v="2"/>
          </reference>
          <reference field="1" count="1" selected="0">
            <x v="58"/>
          </reference>
        </references>
      </pivotArea>
    </format>
    <format dxfId="2229">
      <pivotArea dataOnly="0" labelOnly="1" outline="0" fieldPosition="0">
        <references count="2">
          <reference field="0" count="1">
            <x v="3"/>
          </reference>
          <reference field="1" count="1" selected="0">
            <x v="59"/>
          </reference>
        </references>
      </pivotArea>
    </format>
    <format dxfId="2228">
      <pivotArea dataOnly="0" labelOnly="1" outline="0" fieldPosition="0">
        <references count="2">
          <reference field="0" count="1">
            <x v="2"/>
          </reference>
          <reference field="1" count="1" selected="0">
            <x v="61"/>
          </reference>
        </references>
      </pivotArea>
    </format>
    <format dxfId="2227">
      <pivotArea dataOnly="0" labelOnly="1" outline="0" fieldPosition="0">
        <references count="2">
          <reference field="0" count="1">
            <x v="3"/>
          </reference>
          <reference field="1" count="1" selected="0">
            <x v="62"/>
          </reference>
        </references>
      </pivotArea>
    </format>
    <format dxfId="2226">
      <pivotArea dataOnly="0" labelOnly="1" outline="0" fieldPosition="0">
        <references count="2">
          <reference field="0" count="1">
            <x v="2"/>
          </reference>
          <reference field="1" count="1" selected="0">
            <x v="68"/>
          </reference>
        </references>
      </pivotArea>
    </format>
    <format dxfId="2225">
      <pivotArea dataOnly="0" labelOnly="1" outline="0" fieldPosition="0">
        <references count="2">
          <reference field="0" count="1">
            <x v="3"/>
          </reference>
          <reference field="1" count="1" selected="0">
            <x v="70"/>
          </reference>
        </references>
      </pivotArea>
    </format>
    <format dxfId="2224">
      <pivotArea dataOnly="0" labelOnly="1" outline="0" fieldPosition="0">
        <references count="2">
          <reference field="0" count="1">
            <x v="1"/>
          </reference>
          <reference field="1" count="1" selected="0">
            <x v="78"/>
          </reference>
        </references>
      </pivotArea>
    </format>
    <format dxfId="2223">
      <pivotArea dataOnly="0" labelOnly="1" outline="0" fieldPosition="0">
        <references count="2">
          <reference field="0" count="1">
            <x v="2"/>
          </reference>
          <reference field="1" count="1" selected="0">
            <x v="79"/>
          </reference>
        </references>
      </pivotArea>
    </format>
    <format dxfId="2222">
      <pivotArea dataOnly="0" labelOnly="1" outline="0" fieldPosition="0">
        <references count="2">
          <reference field="0" count="1">
            <x v="3"/>
          </reference>
          <reference field="1" count="1" selected="0">
            <x v="80"/>
          </reference>
        </references>
      </pivotArea>
    </format>
    <format dxfId="2221">
      <pivotArea dataOnly="0" labelOnly="1" outline="0" fieldPosition="0">
        <references count="2">
          <reference field="0" count="1">
            <x v="2"/>
          </reference>
          <reference field="1" count="1" selected="0">
            <x v="90"/>
          </reference>
        </references>
      </pivotArea>
    </format>
    <format dxfId="2220">
      <pivotArea dataOnly="0" labelOnly="1" outline="0" fieldPosition="0">
        <references count="2">
          <reference field="0" count="1">
            <x v="3"/>
          </reference>
          <reference field="1" count="1" selected="0">
            <x v="91"/>
          </reference>
        </references>
      </pivotArea>
    </format>
    <format dxfId="2219">
      <pivotArea dataOnly="0" labelOnly="1" outline="0" fieldPosition="0">
        <references count="2">
          <reference field="0" count="1">
            <x v="2"/>
          </reference>
          <reference field="1" count="1" selected="0">
            <x v="101"/>
          </reference>
        </references>
      </pivotArea>
    </format>
    <format dxfId="2218">
      <pivotArea dataOnly="0" labelOnly="1" outline="0" fieldPosition="0">
        <references count="2">
          <reference field="0" count="1">
            <x v="3"/>
          </reference>
          <reference field="1" count="1" selected="0">
            <x v="102"/>
          </reference>
        </references>
      </pivotArea>
    </format>
    <format dxfId="2217">
      <pivotArea dataOnly="0" labelOnly="1" outline="0" fieldPosition="0">
        <references count="2">
          <reference field="0" count="1">
            <x v="2"/>
          </reference>
          <reference field="1" count="1" selected="0">
            <x v="111"/>
          </reference>
        </references>
      </pivotArea>
    </format>
    <format dxfId="2216">
      <pivotArea dataOnly="0" labelOnly="1" outline="0" fieldPosition="0">
        <references count="2">
          <reference field="0" count="1">
            <x v="3"/>
          </reference>
          <reference field="1" count="1" selected="0">
            <x v="112"/>
          </reference>
        </references>
      </pivotArea>
    </format>
    <format dxfId="2215">
      <pivotArea dataOnly="0" labelOnly="1" outline="0" fieldPosition="0">
        <references count="2">
          <reference field="0" count="1">
            <x v="2"/>
          </reference>
          <reference field="1" count="1" selected="0">
            <x v="117"/>
          </reference>
        </references>
      </pivotArea>
    </format>
    <format dxfId="2214">
      <pivotArea dataOnly="0" labelOnly="1" outline="0" fieldPosition="0">
        <references count="2">
          <reference field="0" count="1">
            <x v="3"/>
          </reference>
          <reference field="1" count="1" selected="0">
            <x v="118"/>
          </reference>
        </references>
      </pivotArea>
    </format>
    <format dxfId="2213">
      <pivotArea dataOnly="0" labelOnly="1" outline="0" fieldPosition="0">
        <references count="2">
          <reference field="0" count="1">
            <x v="0"/>
          </reference>
          <reference field="1" count="1" selected="0">
            <x v="121"/>
          </reference>
        </references>
      </pivotArea>
    </format>
    <format dxfId="2212">
      <pivotArea dataOnly="0" labelOnly="1" outline="0" fieldPosition="0">
        <references count="2">
          <reference field="0" count="1">
            <x v="2"/>
          </reference>
          <reference field="1" count="1" selected="0">
            <x v="122"/>
          </reference>
        </references>
      </pivotArea>
    </format>
    <format dxfId="2211">
      <pivotArea dataOnly="0" labelOnly="1" outline="0" fieldPosition="0">
        <references count="2">
          <reference field="0" count="1">
            <x v="3"/>
          </reference>
          <reference field="1" count="1" selected="0">
            <x v="123"/>
          </reference>
        </references>
      </pivotArea>
    </format>
    <format dxfId="2210">
      <pivotArea dataOnly="0" labelOnly="1" outline="0" fieldPosition="0">
        <references count="2">
          <reference field="0" count="1">
            <x v="0"/>
          </reference>
          <reference field="1" count="1" selected="0">
            <x v="127"/>
          </reference>
        </references>
      </pivotArea>
    </format>
    <format dxfId="2209">
      <pivotArea dataOnly="0" labelOnly="1" outline="0" fieldPosition="0">
        <references count="2">
          <reference field="0" count="1">
            <x v="1"/>
          </reference>
          <reference field="1" count="1" selected="0">
            <x v="128"/>
          </reference>
        </references>
      </pivotArea>
    </format>
    <format dxfId="2208">
      <pivotArea dataOnly="0" labelOnly="1" outline="0" fieldPosition="0">
        <references count="2">
          <reference field="0" count="1">
            <x v="2"/>
          </reference>
          <reference field="1" count="1" selected="0">
            <x v="129"/>
          </reference>
        </references>
      </pivotArea>
    </format>
    <format dxfId="2207">
      <pivotArea dataOnly="0" labelOnly="1" outline="0" fieldPosition="0">
        <references count="2">
          <reference field="0" count="1">
            <x v="3"/>
          </reference>
          <reference field="1" count="1" selected="0">
            <x v="130"/>
          </reference>
        </references>
      </pivotArea>
    </format>
    <format dxfId="2206">
      <pivotArea dataOnly="0" labelOnly="1" outline="0" fieldPosition="0">
        <references count="2">
          <reference field="0" count="1">
            <x v="2"/>
          </reference>
          <reference field="1" count="1" selected="0">
            <x v="131"/>
          </reference>
        </references>
      </pivotArea>
    </format>
    <format dxfId="2205">
      <pivotArea dataOnly="0" labelOnly="1" outline="0" fieldPosition="0">
        <references count="2">
          <reference field="0" count="1">
            <x v="3"/>
          </reference>
          <reference field="1" count="1" selected="0">
            <x v="132"/>
          </reference>
        </references>
      </pivotArea>
    </format>
    <format dxfId="2204">
      <pivotArea dataOnly="0" labelOnly="1" outline="0" fieldPosition="0">
        <references count="2">
          <reference field="0" count="1">
            <x v="2"/>
          </reference>
          <reference field="1" count="1" selected="0">
            <x v="136"/>
          </reference>
        </references>
      </pivotArea>
    </format>
    <format dxfId="2203">
      <pivotArea dataOnly="0" labelOnly="1" outline="0" fieldPosition="0">
        <references count="2">
          <reference field="0" count="1">
            <x v="3"/>
          </reference>
          <reference field="1" count="1" selected="0">
            <x v="137"/>
          </reference>
        </references>
      </pivotArea>
    </format>
    <format dxfId="2202">
      <pivotArea dataOnly="0" labelOnly="1" outline="0" fieldPosition="0">
        <references count="2">
          <reference field="0" count="1">
            <x v="2"/>
          </reference>
          <reference field="1" count="1" selected="0">
            <x v="140"/>
          </reference>
        </references>
      </pivotArea>
    </format>
    <format dxfId="2201">
      <pivotArea dataOnly="0" labelOnly="1" outline="0" fieldPosition="0">
        <references count="2">
          <reference field="0" count="1">
            <x v="3"/>
          </reference>
          <reference field="1" count="1" selected="0">
            <x v="141"/>
          </reference>
        </references>
      </pivotArea>
    </format>
    <format dxfId="2200">
      <pivotArea dataOnly="0" labelOnly="1" outline="0" fieldPosition="0">
        <references count="2">
          <reference field="0" count="1">
            <x v="0"/>
          </reference>
          <reference field="1" count="1" selected="0">
            <x v="146"/>
          </reference>
        </references>
      </pivotArea>
    </format>
    <format dxfId="2199">
      <pivotArea dataOnly="0" labelOnly="1" outline="0" fieldPosition="0">
        <references count="2">
          <reference field="0" count="1">
            <x v="1"/>
          </reference>
          <reference field="1" count="1" selected="0">
            <x v="147"/>
          </reference>
        </references>
      </pivotArea>
    </format>
    <format dxfId="2198">
      <pivotArea dataOnly="0" labelOnly="1" outline="0" fieldPosition="0">
        <references count="2">
          <reference field="0" count="1">
            <x v="2"/>
          </reference>
          <reference field="1" count="1" selected="0">
            <x v="148"/>
          </reference>
        </references>
      </pivotArea>
    </format>
    <format dxfId="2197">
      <pivotArea dataOnly="0" labelOnly="1" outline="0" fieldPosition="0">
        <references count="2">
          <reference field="0" count="1">
            <x v="3"/>
          </reference>
          <reference field="1" count="1" selected="0">
            <x v="149"/>
          </reference>
        </references>
      </pivotArea>
    </format>
    <format dxfId="2196">
      <pivotArea dataOnly="0" labelOnly="1" outline="0" fieldPosition="0">
        <references count="2">
          <reference field="0" count="1">
            <x v="2"/>
          </reference>
          <reference field="1" count="1" selected="0">
            <x v="152"/>
          </reference>
        </references>
      </pivotArea>
    </format>
    <format dxfId="2195">
      <pivotArea dataOnly="0" labelOnly="1" outline="0" fieldPosition="0">
        <references count="2">
          <reference field="0" count="1">
            <x v="3"/>
          </reference>
          <reference field="1" count="1" selected="0">
            <x v="153"/>
          </reference>
        </references>
      </pivotArea>
    </format>
    <format dxfId="2194">
      <pivotArea dataOnly="0" labelOnly="1" outline="0" fieldPosition="0">
        <references count="2">
          <reference field="0" count="1">
            <x v="6"/>
          </reference>
          <reference field="1" count="1" selected="0">
            <x v="154"/>
          </reference>
        </references>
      </pivotArea>
    </format>
    <format dxfId="2193">
      <pivotArea dataOnly="0" labelOnly="1" outline="0" fieldPosition="0">
        <references count="2">
          <reference field="0" count="1">
            <x v="3"/>
          </reference>
          <reference field="1" count="1" selected="0">
            <x v="155"/>
          </reference>
        </references>
      </pivotArea>
    </format>
    <format dxfId="2192">
      <pivotArea dataOnly="0" labelOnly="1" outline="0" fieldPosition="0">
        <references count="2">
          <reference field="0" count="1">
            <x v="7"/>
          </reference>
          <reference field="1" count="1" selected="0">
            <x v="157"/>
          </reference>
        </references>
      </pivotArea>
    </format>
    <format dxfId="2191">
      <pivotArea dataOnly="0" labelOnly="1" outline="0" fieldPosition="0">
        <references count="2">
          <reference field="0" count="1">
            <x v="3"/>
          </reference>
          <reference field="1" count="1" selected="0">
            <x v="158"/>
          </reference>
        </references>
      </pivotArea>
    </format>
    <format dxfId="2190">
      <pivotArea dataOnly="0" labelOnly="1" outline="0" fieldPosition="0">
        <references count="2">
          <reference field="0" count="1">
            <x v="1"/>
          </reference>
          <reference field="1" count="1" selected="0">
            <x v="159"/>
          </reference>
        </references>
      </pivotArea>
    </format>
    <format dxfId="2189">
      <pivotArea dataOnly="0" labelOnly="1" outline="0" fieldPosition="0">
        <references count="2">
          <reference field="0" count="1">
            <x v="2"/>
          </reference>
          <reference field="1" count="1" selected="0">
            <x v="160"/>
          </reference>
        </references>
      </pivotArea>
    </format>
    <format dxfId="2188">
      <pivotArea dataOnly="0" labelOnly="1" outline="0" fieldPosition="0">
        <references count="2">
          <reference field="0" count="1">
            <x v="3"/>
          </reference>
          <reference field="1" count="1" selected="0">
            <x v="161"/>
          </reference>
        </references>
      </pivotArea>
    </format>
    <format dxfId="2187">
      <pivotArea dataOnly="0" labelOnly="1" outline="0" fieldPosition="0">
        <references count="2">
          <reference field="0" count="1">
            <x v="2"/>
          </reference>
          <reference field="1" count="1" selected="0">
            <x v="164"/>
          </reference>
        </references>
      </pivotArea>
    </format>
    <format dxfId="2186">
      <pivotArea dataOnly="0" labelOnly="1" outline="0" fieldPosition="0">
        <references count="2">
          <reference field="0" count="1">
            <x v="3"/>
          </reference>
          <reference field="1" count="1" selected="0">
            <x v="165"/>
          </reference>
        </references>
      </pivotArea>
    </format>
    <format dxfId="2185">
      <pivotArea dataOnly="0" labelOnly="1" outline="0" fieldPosition="0">
        <references count="2">
          <reference field="0" count="1">
            <x v="5"/>
          </reference>
          <reference field="1" count="1" selected="0">
            <x v="166"/>
          </reference>
        </references>
      </pivotArea>
    </format>
    <format dxfId="2184">
      <pivotArea dataOnly="0" labelOnly="1" outline="0" fieldPosition="0">
        <references count="2">
          <reference field="0" count="1">
            <x v="3"/>
          </reference>
          <reference field="1" count="1" selected="0">
            <x v="167"/>
          </reference>
        </references>
      </pivotArea>
    </format>
    <format dxfId="2183">
      <pivotArea dataOnly="0" labelOnly="1" outline="0" fieldPosition="0">
        <references count="2">
          <reference field="0" count="1">
            <x v="0"/>
          </reference>
          <reference field="1" count="1" selected="0">
            <x v="168"/>
          </reference>
        </references>
      </pivotArea>
    </format>
    <format dxfId="2182">
      <pivotArea dataOnly="0" labelOnly="1" outline="0" fieldPosition="0">
        <references count="2">
          <reference field="0" count="1">
            <x v="1"/>
          </reference>
          <reference field="1" count="1" selected="0">
            <x v="169"/>
          </reference>
        </references>
      </pivotArea>
    </format>
    <format dxfId="2181">
      <pivotArea dataOnly="0" labelOnly="1" outline="0" fieldPosition="0">
        <references count="2">
          <reference field="0" count="1">
            <x v="2"/>
          </reference>
          <reference field="1" count="1" selected="0">
            <x v="170"/>
          </reference>
        </references>
      </pivotArea>
    </format>
    <format dxfId="2180">
      <pivotArea dataOnly="0" labelOnly="1" outline="0" fieldPosition="0">
        <references count="2">
          <reference field="0" count="1">
            <x v="3"/>
          </reference>
          <reference field="1" count="1" selected="0">
            <x v="171"/>
          </reference>
        </references>
      </pivotArea>
    </format>
    <format dxfId="2179">
      <pivotArea dataOnly="0" labelOnly="1" outline="0" fieldPosition="0">
        <references count="2">
          <reference field="0" count="1">
            <x v="0"/>
          </reference>
          <reference field="1" count="1" selected="0">
            <x v="209"/>
          </reference>
        </references>
      </pivotArea>
    </format>
    <format dxfId="2178">
      <pivotArea dataOnly="0" labelOnly="1" outline="0" fieldPosition="0">
        <references count="2">
          <reference field="0" count="1">
            <x v="1"/>
          </reference>
          <reference field="1" count="1" selected="0">
            <x v="210"/>
          </reference>
        </references>
      </pivotArea>
    </format>
    <format dxfId="2177">
      <pivotArea dataOnly="0" labelOnly="1" outline="0" fieldPosition="0">
        <references count="2">
          <reference field="0" count="1">
            <x v="3"/>
          </reference>
          <reference field="1" count="1" selected="0">
            <x v="211"/>
          </reference>
        </references>
      </pivotArea>
    </format>
    <format dxfId="2176">
      <pivotArea dataOnly="0" labelOnly="1" outline="0" fieldPosition="0">
        <references count="2">
          <reference field="0" count="1">
            <x v="0"/>
          </reference>
          <reference field="1" count="1" selected="0">
            <x v="212"/>
          </reference>
        </references>
      </pivotArea>
    </format>
    <format dxfId="2175">
      <pivotArea dataOnly="0" labelOnly="1" outline="0" fieldPosition="0">
        <references count="2">
          <reference field="0" count="1">
            <x v="3"/>
          </reference>
          <reference field="1" count="1" selected="0">
            <x v="213"/>
          </reference>
        </references>
      </pivotArea>
    </format>
    <format dxfId="2174">
      <pivotArea dataOnly="0" labelOnly="1" outline="0" fieldPosition="0">
        <references count="3">
          <reference field="0" count="1" selected="0">
            <x v="0"/>
          </reference>
          <reference field="1" count="1" selected="0">
            <x v="0"/>
          </reference>
          <reference field="20" count="1">
            <x v="9"/>
          </reference>
        </references>
      </pivotArea>
    </format>
    <format dxfId="2173">
      <pivotArea dataOnly="0" labelOnly="1" outline="0" fieldPosition="0">
        <references count="3">
          <reference field="0" count="1" selected="0">
            <x v="1"/>
          </reference>
          <reference field="1" count="1" selected="0">
            <x v="1"/>
          </reference>
          <reference field="20" count="1">
            <x v="0"/>
          </reference>
        </references>
      </pivotArea>
    </format>
    <format dxfId="2172">
      <pivotArea dataOnly="0" labelOnly="1" outline="0" fieldPosition="0">
        <references count="3">
          <reference field="0" count="1" selected="0">
            <x v="0"/>
          </reference>
          <reference field="1" count="1" selected="0">
            <x v="3"/>
          </reference>
          <reference field="20" count="1">
            <x v="6"/>
          </reference>
        </references>
      </pivotArea>
    </format>
    <format dxfId="2171">
      <pivotArea dataOnly="0" labelOnly="1" outline="0" fieldPosition="0">
        <references count="3">
          <reference field="0" count="1" selected="0">
            <x v="1"/>
          </reference>
          <reference field="1" count="1" selected="0">
            <x v="4"/>
          </reference>
          <reference field="20" count="1">
            <x v="0"/>
          </reference>
        </references>
      </pivotArea>
    </format>
    <format dxfId="2170">
      <pivotArea dataOnly="0" labelOnly="1" outline="0" fieldPosition="0">
        <references count="3">
          <reference field="0" count="1" selected="0">
            <x v="0"/>
          </reference>
          <reference field="1" count="1" selected="0">
            <x v="48"/>
          </reference>
          <reference field="20" count="1">
            <x v="4"/>
          </reference>
        </references>
      </pivotArea>
    </format>
    <format dxfId="2169">
      <pivotArea dataOnly="0" labelOnly="1" outline="0" fieldPosition="0">
        <references count="3">
          <reference field="0" count="1" selected="0">
            <x v="1"/>
          </reference>
          <reference field="1" count="1" selected="0">
            <x v="49"/>
          </reference>
          <reference field="20" count="1">
            <x v="0"/>
          </reference>
        </references>
      </pivotArea>
    </format>
    <format dxfId="2168">
      <pivotArea dataOnly="0" labelOnly="1" outline="0" fieldPosition="0">
        <references count="3">
          <reference field="0" count="1" selected="0">
            <x v="0"/>
          </reference>
          <reference field="1" count="1" selected="0">
            <x v="121"/>
          </reference>
          <reference field="20" count="1">
            <x v="2"/>
          </reference>
        </references>
      </pivotArea>
    </format>
    <format dxfId="2167">
      <pivotArea dataOnly="0" labelOnly="1" outline="0" fieldPosition="0">
        <references count="3">
          <reference field="0" count="1" selected="0">
            <x v="2"/>
          </reference>
          <reference field="1" count="1" selected="0">
            <x v="122"/>
          </reference>
          <reference field="20" count="1">
            <x v="0"/>
          </reference>
        </references>
      </pivotArea>
    </format>
    <format dxfId="2166">
      <pivotArea dataOnly="0" labelOnly="1" outline="0" fieldPosition="0">
        <references count="3">
          <reference field="0" count="1" selected="0">
            <x v="0"/>
          </reference>
          <reference field="1" count="1" selected="0">
            <x v="127"/>
          </reference>
          <reference field="20" count="1">
            <x v="1"/>
          </reference>
        </references>
      </pivotArea>
    </format>
    <format dxfId="2165">
      <pivotArea dataOnly="0" labelOnly="1" outline="0" fieldPosition="0">
        <references count="3">
          <reference field="0" count="1" selected="0">
            <x v="1"/>
          </reference>
          <reference field="1" count="1" selected="0">
            <x v="128"/>
          </reference>
          <reference field="20" count="1">
            <x v="0"/>
          </reference>
        </references>
      </pivotArea>
    </format>
    <format dxfId="2164">
      <pivotArea dataOnly="0" labelOnly="1" outline="0" fieldPosition="0">
        <references count="3">
          <reference field="0" count="1" selected="0">
            <x v="0"/>
          </reference>
          <reference field="1" count="1" selected="0">
            <x v="146"/>
          </reference>
          <reference field="20" count="1">
            <x v="3"/>
          </reference>
        </references>
      </pivotArea>
    </format>
    <format dxfId="2163">
      <pivotArea dataOnly="0" labelOnly="1" outline="0" fieldPosition="0">
        <references count="3">
          <reference field="0" count="1" selected="0">
            <x v="1"/>
          </reference>
          <reference field="1" count="1" selected="0">
            <x v="147"/>
          </reference>
          <reference field="20" count="1">
            <x v="0"/>
          </reference>
        </references>
      </pivotArea>
    </format>
    <format dxfId="2162">
      <pivotArea dataOnly="0" labelOnly="1" outline="0" fieldPosition="0">
        <references count="3">
          <reference field="0" count="1" selected="0">
            <x v="0"/>
          </reference>
          <reference field="1" count="1" selected="0">
            <x v="168"/>
          </reference>
          <reference field="20" count="1">
            <x v="7"/>
          </reference>
        </references>
      </pivotArea>
    </format>
    <format dxfId="2161">
      <pivotArea dataOnly="0" labelOnly="1" outline="0" fieldPosition="0">
        <references count="3">
          <reference field="0" count="1" selected="0">
            <x v="1"/>
          </reference>
          <reference field="1" count="1" selected="0">
            <x v="169"/>
          </reference>
          <reference field="20" count="1">
            <x v="0"/>
          </reference>
        </references>
      </pivotArea>
    </format>
    <format dxfId="2160">
      <pivotArea dataOnly="0" labelOnly="1" outline="0" fieldPosition="0">
        <references count="3">
          <reference field="0" count="1" selected="0">
            <x v="0"/>
          </reference>
          <reference field="1" count="1" selected="0">
            <x v="209"/>
          </reference>
          <reference field="20" count="1">
            <x v="5"/>
          </reference>
        </references>
      </pivotArea>
    </format>
    <format dxfId="2159">
      <pivotArea dataOnly="0" labelOnly="1" outline="0" fieldPosition="0">
        <references count="3">
          <reference field="0" count="1" selected="0">
            <x v="1"/>
          </reference>
          <reference field="1" count="1" selected="0">
            <x v="210"/>
          </reference>
          <reference field="20" count="1">
            <x v="0"/>
          </reference>
        </references>
      </pivotArea>
    </format>
    <format dxfId="2158">
      <pivotArea dataOnly="0" labelOnly="1" outline="0" fieldPosition="0">
        <references count="3">
          <reference field="0" count="1" selected="0">
            <x v="0"/>
          </reference>
          <reference field="1" count="1" selected="0">
            <x v="212"/>
          </reference>
          <reference field="20" count="1">
            <x v="8"/>
          </reference>
        </references>
      </pivotArea>
    </format>
    <format dxfId="2157">
      <pivotArea dataOnly="0" labelOnly="1" outline="0" fieldPosition="0">
        <references count="4">
          <reference field="0" count="1" selected="0">
            <x v="0"/>
          </reference>
          <reference field="1" count="1" selected="0">
            <x v="0"/>
          </reference>
          <reference field="20" count="1" selected="0">
            <x v="9"/>
          </reference>
          <reference field="21" count="1">
            <x v="0"/>
          </reference>
        </references>
      </pivotArea>
    </format>
    <format dxfId="2156">
      <pivotArea dataOnly="0" labelOnly="1" outline="0" fieldPosition="0">
        <references count="4">
          <reference field="0" count="1" selected="0">
            <x v="1"/>
          </reference>
          <reference field="1" count="1" selected="0">
            <x v="1"/>
          </reference>
          <reference field="20" count="1" selected="0">
            <x v="0"/>
          </reference>
          <reference field="21" count="1">
            <x v="12"/>
          </reference>
        </references>
      </pivotArea>
    </format>
    <format dxfId="2155">
      <pivotArea dataOnly="0" labelOnly="1" outline="0" fieldPosition="0">
        <references count="4">
          <reference field="0" count="1" selected="0">
            <x v="1"/>
          </reference>
          <reference field="1" count="1" selected="0">
            <x v="2"/>
          </reference>
          <reference field="20" count="1" selected="0">
            <x v="0"/>
          </reference>
          <reference field="21" count="1">
            <x v="18"/>
          </reference>
        </references>
      </pivotArea>
    </format>
    <format dxfId="2154">
      <pivotArea dataOnly="0" labelOnly="1" outline="0" fieldPosition="0">
        <references count="4">
          <reference field="0" count="1" selected="0">
            <x v="0"/>
          </reference>
          <reference field="1" count="1" selected="0">
            <x v="3"/>
          </reference>
          <reference field="20" count="1" selected="0">
            <x v="6"/>
          </reference>
          <reference field="21" count="1">
            <x v="0"/>
          </reference>
        </references>
      </pivotArea>
    </format>
    <format dxfId="2153">
      <pivotArea dataOnly="0" labelOnly="1" outline="0" fieldPosition="0">
        <references count="4">
          <reference field="0" count="1" selected="0">
            <x v="1"/>
          </reference>
          <reference field="1" count="1" selected="0">
            <x v="4"/>
          </reference>
          <reference field="20" count="1" selected="0">
            <x v="0"/>
          </reference>
          <reference field="21" count="1">
            <x v="6"/>
          </reference>
        </references>
      </pivotArea>
    </format>
    <format dxfId="2152">
      <pivotArea dataOnly="0" labelOnly="1" outline="0" fieldPosition="0">
        <references count="4">
          <reference field="0" count="1" selected="0">
            <x v="2"/>
          </reference>
          <reference field="1" count="1" selected="0">
            <x v="5"/>
          </reference>
          <reference field="20" count="1" selected="0">
            <x v="0"/>
          </reference>
          <reference field="21" count="1">
            <x v="0"/>
          </reference>
        </references>
      </pivotArea>
    </format>
    <format dxfId="2151">
      <pivotArea dataOnly="0" labelOnly="1" outline="0" fieldPosition="0">
        <references count="4">
          <reference field="0" count="1" selected="0">
            <x v="1"/>
          </reference>
          <reference field="1" count="1" selected="0">
            <x v="9"/>
          </reference>
          <reference field="20" count="1" selected="0">
            <x v="0"/>
          </reference>
          <reference field="21" count="1">
            <x v="2"/>
          </reference>
        </references>
      </pivotArea>
    </format>
    <format dxfId="2150">
      <pivotArea dataOnly="0" labelOnly="1" outline="0" fieldPosition="0">
        <references count="4">
          <reference field="0" count="1" selected="0">
            <x v="2"/>
          </reference>
          <reference field="1" count="1" selected="0">
            <x v="10"/>
          </reference>
          <reference field="20" count="1" selected="0">
            <x v="0"/>
          </reference>
          <reference field="21" count="1">
            <x v="0"/>
          </reference>
        </references>
      </pivotArea>
    </format>
    <format dxfId="2149">
      <pivotArea dataOnly="0" labelOnly="1" outline="0" fieldPosition="0">
        <references count="4">
          <reference field="0" count="1" selected="0">
            <x v="1"/>
          </reference>
          <reference field="1" count="1" selected="0">
            <x v="14"/>
          </reference>
          <reference field="20" count="1" selected="0">
            <x v="0"/>
          </reference>
          <reference field="21" count="1">
            <x v="10"/>
          </reference>
        </references>
      </pivotArea>
    </format>
    <format dxfId="2148">
      <pivotArea dataOnly="0" labelOnly="1" outline="0" fieldPosition="0">
        <references count="4">
          <reference field="0" count="1" selected="0">
            <x v="2"/>
          </reference>
          <reference field="1" count="1" selected="0">
            <x v="15"/>
          </reference>
          <reference field="20" count="1" selected="0">
            <x v="0"/>
          </reference>
          <reference field="21" count="1">
            <x v="0"/>
          </reference>
        </references>
      </pivotArea>
    </format>
    <format dxfId="2147">
      <pivotArea dataOnly="0" labelOnly="1" outline="0" fieldPosition="0">
        <references count="4">
          <reference field="0" count="1" selected="0">
            <x v="1"/>
          </reference>
          <reference field="1" count="1" selected="0">
            <x v="24"/>
          </reference>
          <reference field="20" count="1" selected="0">
            <x v="0"/>
          </reference>
          <reference field="21" count="1">
            <x v="9"/>
          </reference>
        </references>
      </pivotArea>
    </format>
    <format dxfId="2146">
      <pivotArea dataOnly="0" labelOnly="1" outline="0" fieldPosition="0">
        <references count="4">
          <reference field="0" count="1" selected="0">
            <x v="2"/>
          </reference>
          <reference field="1" count="1" selected="0">
            <x v="25"/>
          </reference>
          <reference field="20" count="1" selected="0">
            <x v="0"/>
          </reference>
          <reference field="21" count="1">
            <x v="0"/>
          </reference>
        </references>
      </pivotArea>
    </format>
    <format dxfId="2145">
      <pivotArea dataOnly="0" labelOnly="1" outline="0" fieldPosition="0">
        <references count="4">
          <reference field="0" count="1" selected="0">
            <x v="1"/>
          </reference>
          <reference field="1" count="1" selected="0">
            <x v="29"/>
          </reference>
          <reference field="20" count="1" selected="0">
            <x v="0"/>
          </reference>
          <reference field="21" count="1">
            <x v="17"/>
          </reference>
        </references>
      </pivotArea>
    </format>
    <format dxfId="2144">
      <pivotArea dataOnly="0" labelOnly="1" outline="0" fieldPosition="0">
        <references count="4">
          <reference field="0" count="1" selected="0">
            <x v="2"/>
          </reference>
          <reference field="1" count="1" selected="0">
            <x v="30"/>
          </reference>
          <reference field="20" count="1" selected="0">
            <x v="0"/>
          </reference>
          <reference field="21" count="1">
            <x v="0"/>
          </reference>
        </references>
      </pivotArea>
    </format>
    <format dxfId="2143">
      <pivotArea dataOnly="0" labelOnly="1" outline="0" fieldPosition="0">
        <references count="4">
          <reference field="0" count="1" selected="0">
            <x v="1"/>
          </reference>
          <reference field="1" count="1" selected="0">
            <x v="41"/>
          </reference>
          <reference field="20" count="1" selected="0">
            <x v="0"/>
          </reference>
          <reference field="21" count="1">
            <x v="8"/>
          </reference>
        </references>
      </pivotArea>
    </format>
    <format dxfId="2142">
      <pivotArea dataOnly="0" labelOnly="1" outline="0" fieldPosition="0">
        <references count="4">
          <reference field="0" count="1" selected="0">
            <x v="3"/>
          </reference>
          <reference field="1" count="1" selected="0">
            <x v="42"/>
          </reference>
          <reference field="20" count="1" selected="0">
            <x v="0"/>
          </reference>
          <reference field="21" count="1">
            <x v="0"/>
          </reference>
        </references>
      </pivotArea>
    </format>
    <format dxfId="2141">
      <pivotArea dataOnly="0" labelOnly="1" outline="0" fieldPosition="0">
        <references count="4">
          <reference field="0" count="1" selected="0">
            <x v="1"/>
          </reference>
          <reference field="1" count="1" selected="0">
            <x v="43"/>
          </reference>
          <reference field="20" count="1" selected="0">
            <x v="0"/>
          </reference>
          <reference field="21" count="1">
            <x v="16"/>
          </reference>
        </references>
      </pivotArea>
    </format>
    <format dxfId="2140">
      <pivotArea dataOnly="0" labelOnly="1" outline="0" fieldPosition="0">
        <references count="4">
          <reference field="0" count="1" selected="0">
            <x v="3"/>
          </reference>
          <reference field="1" count="1" selected="0">
            <x v="44"/>
          </reference>
          <reference field="20" count="1" selected="0">
            <x v="0"/>
          </reference>
          <reference field="21" count="1">
            <x v="0"/>
          </reference>
        </references>
      </pivotArea>
    </format>
    <format dxfId="2139">
      <pivotArea dataOnly="0" labelOnly="1" outline="0" fieldPosition="0">
        <references count="4">
          <reference field="0" count="1" selected="0">
            <x v="1"/>
          </reference>
          <reference field="1" count="1" selected="0">
            <x v="49"/>
          </reference>
          <reference field="20" count="1" selected="0">
            <x v="0"/>
          </reference>
          <reference field="21" count="1">
            <x v="4"/>
          </reference>
        </references>
      </pivotArea>
    </format>
    <format dxfId="2138">
      <pivotArea dataOnly="0" labelOnly="1" outline="0" fieldPosition="0">
        <references count="4">
          <reference field="0" count="1" selected="0">
            <x v="2"/>
          </reference>
          <reference field="1" count="1" selected="0">
            <x v="50"/>
          </reference>
          <reference field="20" count="1" selected="0">
            <x v="0"/>
          </reference>
          <reference field="21" count="1">
            <x v="0"/>
          </reference>
        </references>
      </pivotArea>
    </format>
    <format dxfId="2137">
      <pivotArea dataOnly="0" labelOnly="1" outline="0" fieldPosition="0">
        <references count="4">
          <reference field="0" count="1" selected="0">
            <x v="1"/>
          </reference>
          <reference field="1" count="1" selected="0">
            <x v="52"/>
          </reference>
          <reference field="20" count="1" selected="0">
            <x v="0"/>
          </reference>
          <reference field="21" count="1">
            <x v="13"/>
          </reference>
        </references>
      </pivotArea>
    </format>
    <format dxfId="2136">
      <pivotArea dataOnly="0" labelOnly="1" outline="0" fieldPosition="0">
        <references count="4">
          <reference field="0" count="1" selected="0">
            <x v="2"/>
          </reference>
          <reference field="1" count="1" selected="0">
            <x v="53"/>
          </reference>
          <reference field="20" count="1" selected="0">
            <x v="0"/>
          </reference>
          <reference field="21" count="1">
            <x v="0"/>
          </reference>
        </references>
      </pivotArea>
    </format>
    <format dxfId="2135">
      <pivotArea dataOnly="0" labelOnly="1" outline="0" fieldPosition="0">
        <references count="4">
          <reference field="0" count="1" selected="0">
            <x v="1"/>
          </reference>
          <reference field="1" count="1" selected="0">
            <x v="57"/>
          </reference>
          <reference field="20" count="1" selected="0">
            <x v="0"/>
          </reference>
          <reference field="21" count="1">
            <x v="3"/>
          </reference>
        </references>
      </pivotArea>
    </format>
    <format dxfId="2134">
      <pivotArea dataOnly="0" labelOnly="1" outline="0" fieldPosition="0">
        <references count="4">
          <reference field="0" count="1" selected="0">
            <x v="2"/>
          </reference>
          <reference field="1" count="1" selected="0">
            <x v="58"/>
          </reference>
          <reference field="20" count="1" selected="0">
            <x v="0"/>
          </reference>
          <reference field="21" count="1">
            <x v="0"/>
          </reference>
        </references>
      </pivotArea>
    </format>
    <format dxfId="2133">
      <pivotArea dataOnly="0" labelOnly="1" outline="0" fieldPosition="0">
        <references count="4">
          <reference field="0" count="1" selected="0">
            <x v="1"/>
          </reference>
          <reference field="1" count="1" selected="0">
            <x v="78"/>
          </reference>
          <reference field="20" count="1" selected="0">
            <x v="0"/>
          </reference>
          <reference field="21" count="1">
            <x v="11"/>
          </reference>
        </references>
      </pivotArea>
    </format>
    <format dxfId="2132">
      <pivotArea dataOnly="0" labelOnly="1" outline="0" fieldPosition="0">
        <references count="4">
          <reference field="0" count="1" selected="0">
            <x v="2"/>
          </reference>
          <reference field="1" count="1" selected="0">
            <x v="79"/>
          </reference>
          <reference field="20" count="1" selected="0">
            <x v="0"/>
          </reference>
          <reference field="21" count="1">
            <x v="0"/>
          </reference>
        </references>
      </pivotArea>
    </format>
    <format dxfId="2131">
      <pivotArea dataOnly="0" labelOnly="1" outline="0" fieldPosition="0">
        <references count="4">
          <reference field="0" count="1" selected="0">
            <x v="1"/>
          </reference>
          <reference field="1" count="1" selected="0">
            <x v="128"/>
          </reference>
          <reference field="20" count="1" selected="0">
            <x v="0"/>
          </reference>
          <reference field="21" count="1">
            <x v="1"/>
          </reference>
        </references>
      </pivotArea>
    </format>
    <format dxfId="2130">
      <pivotArea dataOnly="0" labelOnly="1" outline="0" fieldPosition="0">
        <references count="4">
          <reference field="0" count="1" selected="0">
            <x v="2"/>
          </reference>
          <reference field="1" count="1" selected="0">
            <x v="129"/>
          </reference>
          <reference field="20" count="1" selected="0">
            <x v="0"/>
          </reference>
          <reference field="21" count="1">
            <x v="0"/>
          </reference>
        </references>
      </pivotArea>
    </format>
    <format dxfId="2129">
      <pivotArea dataOnly="0" labelOnly="1" outline="0" fieldPosition="0">
        <references count="4">
          <reference field="0" count="1" selected="0">
            <x v="1"/>
          </reference>
          <reference field="1" count="1" selected="0">
            <x v="147"/>
          </reference>
          <reference field="20" count="1" selected="0">
            <x v="0"/>
          </reference>
          <reference field="21" count="1">
            <x v="15"/>
          </reference>
        </references>
      </pivotArea>
    </format>
    <format dxfId="2128">
      <pivotArea dataOnly="0" labelOnly="1" outline="0" fieldPosition="0">
        <references count="4">
          <reference field="0" count="1" selected="0">
            <x v="2"/>
          </reference>
          <reference field="1" count="1" selected="0">
            <x v="148"/>
          </reference>
          <reference field="20" count="1" selected="0">
            <x v="0"/>
          </reference>
          <reference field="21" count="1">
            <x v="0"/>
          </reference>
        </references>
      </pivotArea>
    </format>
    <format dxfId="2127">
      <pivotArea dataOnly="0" labelOnly="1" outline="0" fieldPosition="0">
        <references count="4">
          <reference field="0" count="1" selected="0">
            <x v="1"/>
          </reference>
          <reference field="1" count="1" selected="0">
            <x v="159"/>
          </reference>
          <reference field="20" count="1" selected="0">
            <x v="0"/>
          </reference>
          <reference field="21" count="1">
            <x v="7"/>
          </reference>
        </references>
      </pivotArea>
    </format>
    <format dxfId="2126">
      <pivotArea dataOnly="0" labelOnly="1" outline="0" fieldPosition="0">
        <references count="4">
          <reference field="0" count="1" selected="0">
            <x v="2"/>
          </reference>
          <reference field="1" count="1" selected="0">
            <x v="160"/>
          </reference>
          <reference field="20" count="1" selected="0">
            <x v="0"/>
          </reference>
          <reference field="21" count="1">
            <x v="0"/>
          </reference>
        </references>
      </pivotArea>
    </format>
    <format dxfId="2125">
      <pivotArea dataOnly="0" labelOnly="1" outline="0" fieldPosition="0">
        <references count="4">
          <reference field="0" count="1" selected="0">
            <x v="1"/>
          </reference>
          <reference field="1" count="1" selected="0">
            <x v="169"/>
          </reference>
          <reference field="20" count="1" selected="0">
            <x v="0"/>
          </reference>
          <reference field="21" count="1">
            <x v="14"/>
          </reference>
        </references>
      </pivotArea>
    </format>
    <format dxfId="2124">
      <pivotArea dataOnly="0" labelOnly="1" outline="0" fieldPosition="0">
        <references count="4">
          <reference field="0" count="1" selected="0">
            <x v="2"/>
          </reference>
          <reference field="1" count="1" selected="0">
            <x v="170"/>
          </reference>
          <reference field="20" count="1" selected="0">
            <x v="0"/>
          </reference>
          <reference field="21" count="1">
            <x v="0"/>
          </reference>
        </references>
      </pivotArea>
    </format>
    <format dxfId="2123">
      <pivotArea dataOnly="0" labelOnly="1" outline="0" fieldPosition="0">
        <references count="4">
          <reference field="0" count="1" selected="0">
            <x v="1"/>
          </reference>
          <reference field="1" count="1" selected="0">
            <x v="210"/>
          </reference>
          <reference field="20" count="1" selected="0">
            <x v="0"/>
          </reference>
          <reference field="21" count="1">
            <x v="5"/>
          </reference>
        </references>
      </pivotArea>
    </format>
    <format dxfId="2122">
      <pivotArea dataOnly="0" labelOnly="1" outline="0" fieldPosition="0">
        <references count="5">
          <reference field="0" count="1" selected="0">
            <x v="0"/>
          </reference>
          <reference field="1" count="1" selected="0">
            <x v="0"/>
          </reference>
          <reference field="20" count="1" selected="0">
            <x v="9"/>
          </reference>
          <reference field="21" count="1" selected="0">
            <x v="0"/>
          </reference>
          <reference field="22" count="1">
            <x v="0"/>
          </reference>
        </references>
      </pivotArea>
    </format>
    <format dxfId="2121">
      <pivotArea dataOnly="0" labelOnly="1" outline="0" fieldPosition="0">
        <references count="5">
          <reference field="0" count="1" selected="0">
            <x v="2"/>
          </reference>
          <reference field="1" count="1" selected="0">
            <x v="5"/>
          </reference>
          <reference field="20" count="1" selected="0">
            <x v="0"/>
          </reference>
          <reference field="21" count="1" selected="0">
            <x v="0"/>
          </reference>
          <reference field="22" count="1">
            <x v="12"/>
          </reference>
        </references>
      </pivotArea>
    </format>
    <format dxfId="2120">
      <pivotArea dataOnly="0" labelOnly="1" outline="0" fieldPosition="0">
        <references count="5">
          <reference field="0" count="1" selected="0">
            <x v="3"/>
          </reference>
          <reference field="1" count="1" selected="0">
            <x v="6"/>
          </reference>
          <reference field="20" count="1" selected="0">
            <x v="0"/>
          </reference>
          <reference field="21" count="1" selected="0">
            <x v="0"/>
          </reference>
          <reference field="22" count="1">
            <x v="0"/>
          </reference>
        </references>
      </pivotArea>
    </format>
    <format dxfId="2119">
      <pivotArea dataOnly="0" labelOnly="1" outline="0" fieldPosition="0">
        <references count="5">
          <reference field="0" count="1" selected="0">
            <x v="2"/>
          </reference>
          <reference field="1" count="1" selected="0">
            <x v="10"/>
          </reference>
          <reference field="20" count="1" selected="0">
            <x v="0"/>
          </reference>
          <reference field="21" count="1" selected="0">
            <x v="0"/>
          </reference>
          <reference field="22" count="1">
            <x v="2"/>
          </reference>
        </references>
      </pivotArea>
    </format>
    <format dxfId="2118">
      <pivotArea dataOnly="0" labelOnly="1" outline="0" fieldPosition="0">
        <references count="5">
          <reference field="0" count="1" selected="0">
            <x v="3"/>
          </reference>
          <reference field="1" count="1" selected="0">
            <x v="11"/>
          </reference>
          <reference field="20" count="1" selected="0">
            <x v="0"/>
          </reference>
          <reference field="21" count="1" selected="0">
            <x v="0"/>
          </reference>
          <reference field="22" count="1">
            <x v="0"/>
          </reference>
        </references>
      </pivotArea>
    </format>
    <format dxfId="2117">
      <pivotArea dataOnly="0" labelOnly="1" outline="0" fieldPosition="0">
        <references count="5">
          <reference field="0" count="1" selected="0">
            <x v="2"/>
          </reference>
          <reference field="1" count="1" selected="0">
            <x v="15"/>
          </reference>
          <reference field="20" count="1" selected="0">
            <x v="0"/>
          </reference>
          <reference field="21" count="1" selected="0">
            <x v="0"/>
          </reference>
          <reference field="22" count="1">
            <x v="13"/>
          </reference>
        </references>
      </pivotArea>
    </format>
    <format dxfId="2116">
      <pivotArea dataOnly="0" labelOnly="1" outline="0" fieldPosition="0">
        <references count="5">
          <reference field="0" count="1" selected="0">
            <x v="3"/>
          </reference>
          <reference field="1" count="1" selected="0">
            <x v="16"/>
          </reference>
          <reference field="20" count="1" selected="0">
            <x v="0"/>
          </reference>
          <reference field="21" count="1" selected="0">
            <x v="0"/>
          </reference>
          <reference field="22" count="1">
            <x v="0"/>
          </reference>
        </references>
      </pivotArea>
    </format>
    <format dxfId="2115">
      <pivotArea dataOnly="0" labelOnly="1" outline="0" fieldPosition="0">
        <references count="5">
          <reference field="0" count="1" selected="0">
            <x v="2"/>
          </reference>
          <reference field="1" count="1" selected="0">
            <x v="19"/>
          </reference>
          <reference field="20" count="1" selected="0">
            <x v="0"/>
          </reference>
          <reference field="21" count="1" selected="0">
            <x v="0"/>
          </reference>
          <reference field="22" count="1">
            <x v="28"/>
          </reference>
        </references>
      </pivotArea>
    </format>
    <format dxfId="2114">
      <pivotArea dataOnly="0" labelOnly="1" outline="0" fieldPosition="0">
        <references count="5">
          <reference field="0" count="1" selected="0">
            <x v="3"/>
          </reference>
          <reference field="1" count="1" selected="0">
            <x v="20"/>
          </reference>
          <reference field="20" count="1" selected="0">
            <x v="0"/>
          </reference>
          <reference field="21" count="1" selected="0">
            <x v="0"/>
          </reference>
          <reference field="22" count="1">
            <x v="0"/>
          </reference>
        </references>
      </pivotArea>
    </format>
    <format dxfId="2113">
      <pivotArea dataOnly="0" labelOnly="1" outline="0" fieldPosition="0">
        <references count="5">
          <reference field="0" count="1" selected="0">
            <x v="2"/>
          </reference>
          <reference field="1" count="1" selected="0">
            <x v="21"/>
          </reference>
          <reference field="20" count="1" selected="0">
            <x v="0"/>
          </reference>
          <reference field="21" count="1" selected="0">
            <x v="0"/>
          </reference>
          <reference field="22" count="1">
            <x v="21"/>
          </reference>
        </references>
      </pivotArea>
    </format>
    <format dxfId="2112">
      <pivotArea dataOnly="0" labelOnly="1" outline="0" fieldPosition="0">
        <references count="5">
          <reference field="0" count="1" selected="0">
            <x v="3"/>
          </reference>
          <reference field="1" count="1" selected="0">
            <x v="22"/>
          </reference>
          <reference field="20" count="1" selected="0">
            <x v="0"/>
          </reference>
          <reference field="21" count="1" selected="0">
            <x v="0"/>
          </reference>
          <reference field="22" count="1">
            <x v="0"/>
          </reference>
        </references>
      </pivotArea>
    </format>
    <format dxfId="2111">
      <pivotArea dataOnly="0" labelOnly="1" outline="0" fieldPosition="0">
        <references count="5">
          <reference field="0" count="1" selected="0">
            <x v="2"/>
          </reference>
          <reference field="1" count="1" selected="0">
            <x v="25"/>
          </reference>
          <reference field="20" count="1" selected="0">
            <x v="0"/>
          </reference>
          <reference field="21" count="1" selected="0">
            <x v="0"/>
          </reference>
          <reference field="22" count="1">
            <x v="17"/>
          </reference>
        </references>
      </pivotArea>
    </format>
    <format dxfId="2110">
      <pivotArea dataOnly="0" labelOnly="1" outline="0" fieldPosition="0">
        <references count="5">
          <reference field="0" count="1" selected="0">
            <x v="3"/>
          </reference>
          <reference field="1" count="1" selected="0">
            <x v="26"/>
          </reference>
          <reference field="20" count="1" selected="0">
            <x v="0"/>
          </reference>
          <reference field="21" count="1" selected="0">
            <x v="0"/>
          </reference>
          <reference field="22" count="1">
            <x v="0"/>
          </reference>
        </references>
      </pivotArea>
    </format>
    <format dxfId="2109">
      <pivotArea dataOnly="0" labelOnly="1" outline="0" fieldPosition="0">
        <references count="5">
          <reference field="0" count="1" selected="0">
            <x v="2"/>
          </reference>
          <reference field="1" count="1" selected="0">
            <x v="30"/>
          </reference>
          <reference field="20" count="1" selected="0">
            <x v="0"/>
          </reference>
          <reference field="21" count="1" selected="0">
            <x v="0"/>
          </reference>
          <reference field="22" count="1">
            <x v="3"/>
          </reference>
        </references>
      </pivotArea>
    </format>
    <format dxfId="2108">
      <pivotArea dataOnly="0" labelOnly="1" outline="0" fieldPosition="0">
        <references count="5">
          <reference field="0" count="1" selected="0">
            <x v="3"/>
          </reference>
          <reference field="1" count="1" selected="0">
            <x v="31"/>
          </reference>
          <reference field="20" count="1" selected="0">
            <x v="0"/>
          </reference>
          <reference field="21" count="1" selected="0">
            <x v="0"/>
          </reference>
          <reference field="22" count="1">
            <x v="0"/>
          </reference>
        </references>
      </pivotArea>
    </format>
    <format dxfId="2107">
      <pivotArea dataOnly="0" labelOnly="1" outline="0" fieldPosition="0">
        <references count="5">
          <reference field="0" count="1" selected="0">
            <x v="2"/>
          </reference>
          <reference field="1" count="1" selected="0">
            <x v="50"/>
          </reference>
          <reference field="20" count="1" selected="0">
            <x v="0"/>
          </reference>
          <reference field="21" count="1" selected="0">
            <x v="0"/>
          </reference>
          <reference field="22" count="1">
            <x v="15"/>
          </reference>
        </references>
      </pivotArea>
    </format>
    <format dxfId="2106">
      <pivotArea dataOnly="0" labelOnly="1" outline="0" fieldPosition="0">
        <references count="5">
          <reference field="0" count="1" selected="0">
            <x v="3"/>
          </reference>
          <reference field="1" count="1" selected="0">
            <x v="51"/>
          </reference>
          <reference field="20" count="1" selected="0">
            <x v="0"/>
          </reference>
          <reference field="21" count="1" selected="0">
            <x v="0"/>
          </reference>
          <reference field="22" count="1">
            <x v="0"/>
          </reference>
        </references>
      </pivotArea>
    </format>
    <format dxfId="2105">
      <pivotArea dataOnly="0" labelOnly="1" outline="0" fieldPosition="0">
        <references count="5">
          <reference field="0" count="1" selected="0">
            <x v="2"/>
          </reference>
          <reference field="1" count="1" selected="0">
            <x v="53"/>
          </reference>
          <reference field="20" count="1" selected="0">
            <x v="0"/>
          </reference>
          <reference field="21" count="1" selected="0">
            <x v="0"/>
          </reference>
          <reference field="22" count="1">
            <x v="8"/>
          </reference>
        </references>
      </pivotArea>
    </format>
    <format dxfId="2104">
      <pivotArea dataOnly="0" labelOnly="1" outline="0" fieldPosition="0">
        <references count="5">
          <reference field="0" count="1" selected="0">
            <x v="3"/>
          </reference>
          <reference field="1" count="1" selected="0">
            <x v="54"/>
          </reference>
          <reference field="20" count="1" selected="0">
            <x v="0"/>
          </reference>
          <reference field="21" count="1" selected="0">
            <x v="0"/>
          </reference>
          <reference field="22" count="1">
            <x v="0"/>
          </reference>
        </references>
      </pivotArea>
    </format>
    <format dxfId="2103">
      <pivotArea dataOnly="0" labelOnly="1" outline="0" fieldPosition="0">
        <references count="5">
          <reference field="0" count="1" selected="0">
            <x v="2"/>
          </reference>
          <reference field="1" count="1" selected="0">
            <x v="58"/>
          </reference>
          <reference field="20" count="1" selected="0">
            <x v="0"/>
          </reference>
          <reference field="21" count="1" selected="0">
            <x v="0"/>
          </reference>
          <reference field="22" count="1">
            <x v="9"/>
          </reference>
        </references>
      </pivotArea>
    </format>
    <format dxfId="2102">
      <pivotArea dataOnly="0" labelOnly="1" outline="0" fieldPosition="0">
        <references count="5">
          <reference field="0" count="1" selected="0">
            <x v="3"/>
          </reference>
          <reference field="1" count="1" selected="0">
            <x v="59"/>
          </reference>
          <reference field="20" count="1" selected="0">
            <x v="0"/>
          </reference>
          <reference field="21" count="1" selected="0">
            <x v="0"/>
          </reference>
          <reference field="22" count="1">
            <x v="0"/>
          </reference>
        </references>
      </pivotArea>
    </format>
    <format dxfId="2101">
      <pivotArea dataOnly="0" labelOnly="1" outline="0" fieldPosition="0">
        <references count="5">
          <reference field="0" count="1" selected="0">
            <x v="2"/>
          </reference>
          <reference field="1" count="1" selected="0">
            <x v="61"/>
          </reference>
          <reference field="20" count="1" selected="0">
            <x v="0"/>
          </reference>
          <reference field="21" count="1" selected="0">
            <x v="0"/>
          </reference>
          <reference field="22" count="1">
            <x v="16"/>
          </reference>
        </references>
      </pivotArea>
    </format>
    <format dxfId="2100">
      <pivotArea dataOnly="0" labelOnly="1" outline="0" fieldPosition="0">
        <references count="5">
          <reference field="0" count="1" selected="0">
            <x v="3"/>
          </reference>
          <reference field="1" count="1" selected="0">
            <x v="62"/>
          </reference>
          <reference field="20" count="1" selected="0">
            <x v="0"/>
          </reference>
          <reference field="21" count="1" selected="0">
            <x v="0"/>
          </reference>
          <reference field="22" count="1">
            <x v="0"/>
          </reference>
        </references>
      </pivotArea>
    </format>
    <format dxfId="2099">
      <pivotArea dataOnly="0" labelOnly="1" outline="0" fieldPosition="0">
        <references count="5">
          <reference field="0" count="1" selected="0">
            <x v="2"/>
          </reference>
          <reference field="1" count="1" selected="0">
            <x v="68"/>
          </reference>
          <reference field="20" count="1" selected="0">
            <x v="0"/>
          </reference>
          <reference field="21" count="1" selected="0">
            <x v="0"/>
          </reference>
          <reference field="22" count="1">
            <x v="4"/>
          </reference>
        </references>
      </pivotArea>
    </format>
    <format dxfId="2098">
      <pivotArea dataOnly="0" labelOnly="1" outline="0" fieldPosition="0">
        <references count="5">
          <reference field="0" count="1" selected="0">
            <x v="2"/>
          </reference>
          <reference field="1" count="1" selected="0">
            <x v="69"/>
          </reference>
          <reference field="20" count="1" selected="0">
            <x v="0"/>
          </reference>
          <reference field="21" count="1" selected="0">
            <x v="0"/>
          </reference>
          <reference field="22" count="1">
            <x v="25"/>
          </reference>
        </references>
      </pivotArea>
    </format>
    <format dxfId="2097">
      <pivotArea dataOnly="0" labelOnly="1" outline="0" fieldPosition="0">
        <references count="5">
          <reference field="0" count="1" selected="0">
            <x v="3"/>
          </reference>
          <reference field="1" count="1" selected="0">
            <x v="70"/>
          </reference>
          <reference field="20" count="1" selected="0">
            <x v="0"/>
          </reference>
          <reference field="21" count="1" selected="0">
            <x v="0"/>
          </reference>
          <reference field="22" count="1">
            <x v="0"/>
          </reference>
        </references>
      </pivotArea>
    </format>
    <format dxfId="2096">
      <pivotArea dataOnly="0" labelOnly="1" outline="0" fieldPosition="0">
        <references count="5">
          <reference field="0" count="1" selected="0">
            <x v="2"/>
          </reference>
          <reference field="1" count="1" selected="0">
            <x v="79"/>
          </reference>
          <reference field="20" count="1" selected="0">
            <x v="0"/>
          </reference>
          <reference field="21" count="1" selected="0">
            <x v="0"/>
          </reference>
          <reference field="22" count="1">
            <x v="6"/>
          </reference>
        </references>
      </pivotArea>
    </format>
    <format dxfId="2095">
      <pivotArea dataOnly="0" labelOnly="1" outline="0" fieldPosition="0">
        <references count="5">
          <reference field="0" count="1" selected="0">
            <x v="3"/>
          </reference>
          <reference field="1" count="1" selected="0">
            <x v="80"/>
          </reference>
          <reference field="20" count="1" selected="0">
            <x v="0"/>
          </reference>
          <reference field="21" count="1" selected="0">
            <x v="0"/>
          </reference>
          <reference field="22" count="1">
            <x v="0"/>
          </reference>
        </references>
      </pivotArea>
    </format>
    <format dxfId="2094">
      <pivotArea dataOnly="0" labelOnly="1" outline="0" fieldPosition="0">
        <references count="5">
          <reference field="0" count="1" selected="0">
            <x v="2"/>
          </reference>
          <reference field="1" count="1" selected="0">
            <x v="90"/>
          </reference>
          <reference field="20" count="1" selected="0">
            <x v="0"/>
          </reference>
          <reference field="21" count="1" selected="0">
            <x v="0"/>
          </reference>
          <reference field="22" count="1">
            <x v="29"/>
          </reference>
        </references>
      </pivotArea>
    </format>
    <format dxfId="2093">
      <pivotArea dataOnly="0" labelOnly="1" outline="0" fieldPosition="0">
        <references count="5">
          <reference field="0" count="1" selected="0">
            <x v="3"/>
          </reference>
          <reference field="1" count="1" selected="0">
            <x v="91"/>
          </reference>
          <reference field="20" count="1" selected="0">
            <x v="0"/>
          </reference>
          <reference field="21" count="1" selected="0">
            <x v="0"/>
          </reference>
          <reference field="22" count="1">
            <x v="0"/>
          </reference>
        </references>
      </pivotArea>
    </format>
    <format dxfId="2092">
      <pivotArea dataOnly="0" labelOnly="1" outline="0" fieldPosition="0">
        <references count="5">
          <reference field="0" count="1" selected="0">
            <x v="2"/>
          </reference>
          <reference field="1" count="1" selected="0">
            <x v="101"/>
          </reference>
          <reference field="20" count="1" selected="0">
            <x v="0"/>
          </reference>
          <reference field="21" count="1" selected="0">
            <x v="0"/>
          </reference>
          <reference field="22" count="1">
            <x v="10"/>
          </reference>
        </references>
      </pivotArea>
    </format>
    <format dxfId="2091">
      <pivotArea dataOnly="0" labelOnly="1" outline="0" fieldPosition="0">
        <references count="5">
          <reference field="0" count="1" selected="0">
            <x v="3"/>
          </reference>
          <reference field="1" count="1" selected="0">
            <x v="102"/>
          </reference>
          <reference field="20" count="1" selected="0">
            <x v="0"/>
          </reference>
          <reference field="21" count="1" selected="0">
            <x v="0"/>
          </reference>
          <reference field="22" count="1">
            <x v="0"/>
          </reference>
        </references>
      </pivotArea>
    </format>
    <format dxfId="2090">
      <pivotArea dataOnly="0" labelOnly="1" outline="0" fieldPosition="0">
        <references count="5">
          <reference field="0" count="1" selected="0">
            <x v="2"/>
          </reference>
          <reference field="1" count="1" selected="0">
            <x v="111"/>
          </reference>
          <reference field="20" count="1" selected="0">
            <x v="0"/>
          </reference>
          <reference field="21" count="1" selected="0">
            <x v="0"/>
          </reference>
          <reference field="22" count="1">
            <x v="18"/>
          </reference>
        </references>
      </pivotArea>
    </format>
    <format dxfId="2089">
      <pivotArea dataOnly="0" labelOnly="1" outline="0" fieldPosition="0">
        <references count="5">
          <reference field="0" count="1" selected="0">
            <x v="3"/>
          </reference>
          <reference field="1" count="1" selected="0">
            <x v="112"/>
          </reference>
          <reference field="20" count="1" selected="0">
            <x v="0"/>
          </reference>
          <reference field="21" count="1" selected="0">
            <x v="0"/>
          </reference>
          <reference field="22" count="1">
            <x v="0"/>
          </reference>
        </references>
      </pivotArea>
    </format>
    <format dxfId="2088">
      <pivotArea dataOnly="0" labelOnly="1" outline="0" fieldPosition="0">
        <references count="5">
          <reference field="0" count="1" selected="0">
            <x v="2"/>
          </reference>
          <reference field="1" count="1" selected="0">
            <x v="117"/>
          </reference>
          <reference field="20" count="1" selected="0">
            <x v="0"/>
          </reference>
          <reference field="21" count="1" selected="0">
            <x v="0"/>
          </reference>
          <reference field="22" count="1">
            <x v="11"/>
          </reference>
        </references>
      </pivotArea>
    </format>
    <format dxfId="2087">
      <pivotArea dataOnly="0" labelOnly="1" outline="0" fieldPosition="0">
        <references count="5">
          <reference field="0" count="1" selected="0">
            <x v="3"/>
          </reference>
          <reference field="1" count="1" selected="0">
            <x v="118"/>
          </reference>
          <reference field="20" count="1" selected="0">
            <x v="0"/>
          </reference>
          <reference field="21" count="1" selected="0">
            <x v="0"/>
          </reference>
          <reference field="22" count="1">
            <x v="0"/>
          </reference>
        </references>
      </pivotArea>
    </format>
    <format dxfId="2086">
      <pivotArea dataOnly="0" labelOnly="1" outline="0" fieldPosition="0">
        <references count="5">
          <reference field="0" count="1" selected="0">
            <x v="2"/>
          </reference>
          <reference field="1" count="1" selected="0">
            <x v="122"/>
          </reference>
          <reference field="20" count="1" selected="0">
            <x v="0"/>
          </reference>
          <reference field="21" count="1" selected="0">
            <x v="0"/>
          </reference>
          <reference field="22" count="1">
            <x v="20"/>
          </reference>
        </references>
      </pivotArea>
    </format>
    <format dxfId="2085">
      <pivotArea dataOnly="0" labelOnly="1" outline="0" fieldPosition="0">
        <references count="5">
          <reference field="0" count="1" selected="0">
            <x v="3"/>
          </reference>
          <reference field="1" count="1" selected="0">
            <x v="123"/>
          </reference>
          <reference field="20" count="1" selected="0">
            <x v="0"/>
          </reference>
          <reference field="21" count="1" selected="0">
            <x v="0"/>
          </reference>
          <reference field="22" count="1">
            <x v="0"/>
          </reference>
        </references>
      </pivotArea>
    </format>
    <format dxfId="2084">
      <pivotArea dataOnly="0" labelOnly="1" outline="0" fieldPosition="0">
        <references count="5">
          <reference field="0" count="1" selected="0">
            <x v="2"/>
          </reference>
          <reference field="1" count="1" selected="0">
            <x v="129"/>
          </reference>
          <reference field="20" count="1" selected="0">
            <x v="0"/>
          </reference>
          <reference field="21" count="1" selected="0">
            <x v="0"/>
          </reference>
          <reference field="22" count="1">
            <x v="5"/>
          </reference>
        </references>
      </pivotArea>
    </format>
    <format dxfId="2083">
      <pivotArea dataOnly="0" labelOnly="1" outline="0" fieldPosition="0">
        <references count="5">
          <reference field="0" count="1" selected="0">
            <x v="3"/>
          </reference>
          <reference field="1" count="1" selected="0">
            <x v="130"/>
          </reference>
          <reference field="20" count="1" selected="0">
            <x v="0"/>
          </reference>
          <reference field="21" count="1" selected="0">
            <x v="0"/>
          </reference>
          <reference field="22" count="1">
            <x v="0"/>
          </reference>
        </references>
      </pivotArea>
    </format>
    <format dxfId="2082">
      <pivotArea dataOnly="0" labelOnly="1" outline="0" fieldPosition="0">
        <references count="5">
          <reference field="0" count="1" selected="0">
            <x v="2"/>
          </reference>
          <reference field="1" count="1" selected="0">
            <x v="131"/>
          </reference>
          <reference field="20" count="1" selected="0">
            <x v="0"/>
          </reference>
          <reference field="21" count="1" selected="0">
            <x v="0"/>
          </reference>
          <reference field="22" count="1">
            <x v="19"/>
          </reference>
        </references>
      </pivotArea>
    </format>
    <format dxfId="2081">
      <pivotArea dataOnly="0" labelOnly="1" outline="0" fieldPosition="0">
        <references count="5">
          <reference field="0" count="1" selected="0">
            <x v="3"/>
          </reference>
          <reference field="1" count="1" selected="0">
            <x v="132"/>
          </reference>
          <reference field="20" count="1" selected="0">
            <x v="0"/>
          </reference>
          <reference field="21" count="1" selected="0">
            <x v="0"/>
          </reference>
          <reference field="22" count="1">
            <x v="0"/>
          </reference>
        </references>
      </pivotArea>
    </format>
    <format dxfId="2080">
      <pivotArea dataOnly="0" labelOnly="1" outline="0" fieldPosition="0">
        <references count="5">
          <reference field="0" count="1" selected="0">
            <x v="2"/>
          </reference>
          <reference field="1" count="1" selected="0">
            <x v="136"/>
          </reference>
          <reference field="20" count="1" selected="0">
            <x v="0"/>
          </reference>
          <reference field="21" count="1" selected="0">
            <x v="0"/>
          </reference>
          <reference field="22" count="1">
            <x v="1"/>
          </reference>
        </references>
      </pivotArea>
    </format>
    <format dxfId="2079">
      <pivotArea dataOnly="0" labelOnly="1" outline="0" fieldPosition="0">
        <references count="5">
          <reference field="0" count="1" selected="0">
            <x v="3"/>
          </reference>
          <reference field="1" count="1" selected="0">
            <x v="137"/>
          </reference>
          <reference field="20" count="1" selected="0">
            <x v="0"/>
          </reference>
          <reference field="21" count="1" selected="0">
            <x v="0"/>
          </reference>
          <reference field="22" count="1">
            <x v="0"/>
          </reference>
        </references>
      </pivotArea>
    </format>
    <format dxfId="2078">
      <pivotArea dataOnly="0" labelOnly="1" outline="0" fieldPosition="0">
        <references count="5">
          <reference field="0" count="1" selected="0">
            <x v="2"/>
          </reference>
          <reference field="1" count="1" selected="0">
            <x v="140"/>
          </reference>
          <reference field="20" count="1" selected="0">
            <x v="0"/>
          </reference>
          <reference field="21" count="1" selected="0">
            <x v="0"/>
          </reference>
          <reference field="22" count="1">
            <x v="27"/>
          </reference>
        </references>
      </pivotArea>
    </format>
    <format dxfId="2077">
      <pivotArea dataOnly="0" labelOnly="1" outline="0" fieldPosition="0">
        <references count="5">
          <reference field="0" count="1" selected="0">
            <x v="3"/>
          </reference>
          <reference field="1" count="1" selected="0">
            <x v="141"/>
          </reference>
          <reference field="20" count="1" selected="0">
            <x v="0"/>
          </reference>
          <reference field="21" count="1" selected="0">
            <x v="0"/>
          </reference>
          <reference field="22" count="1">
            <x v="0"/>
          </reference>
        </references>
      </pivotArea>
    </format>
    <format dxfId="2076">
      <pivotArea dataOnly="0" labelOnly="1" outline="0" fieldPosition="0">
        <references count="5">
          <reference field="0" count="1" selected="0">
            <x v="2"/>
          </reference>
          <reference field="1" count="1" selected="0">
            <x v="148"/>
          </reference>
          <reference field="20" count="1" selected="0">
            <x v="0"/>
          </reference>
          <reference field="21" count="1" selected="0">
            <x v="0"/>
          </reference>
          <reference field="22" count="1">
            <x v="14"/>
          </reference>
        </references>
      </pivotArea>
    </format>
    <format dxfId="2075">
      <pivotArea dataOnly="0" labelOnly="1" outline="0" fieldPosition="0">
        <references count="5">
          <reference field="0" count="1" selected="0">
            <x v="3"/>
          </reference>
          <reference field="1" count="1" selected="0">
            <x v="149"/>
          </reference>
          <reference field="20" count="1" selected="0">
            <x v="0"/>
          </reference>
          <reference field="21" count="1" selected="0">
            <x v="0"/>
          </reference>
          <reference field="22" count="1">
            <x v="0"/>
          </reference>
        </references>
      </pivotArea>
    </format>
    <format dxfId="2074">
      <pivotArea dataOnly="0" labelOnly="1" outline="0" fieldPosition="0">
        <references count="5">
          <reference field="0" count="1" selected="0">
            <x v="2"/>
          </reference>
          <reference field="1" count="1" selected="0">
            <x v="152"/>
          </reference>
          <reference field="20" count="1" selected="0">
            <x v="0"/>
          </reference>
          <reference field="21" count="1" selected="0">
            <x v="0"/>
          </reference>
          <reference field="22" count="1">
            <x v="24"/>
          </reference>
        </references>
      </pivotArea>
    </format>
    <format dxfId="2073">
      <pivotArea dataOnly="0" labelOnly="1" outline="0" fieldPosition="0">
        <references count="5">
          <reference field="0" count="1" selected="0">
            <x v="3"/>
          </reference>
          <reference field="1" count="1" selected="0">
            <x v="153"/>
          </reference>
          <reference field="20" count="1" selected="0">
            <x v="0"/>
          </reference>
          <reference field="21" count="1" selected="0">
            <x v="0"/>
          </reference>
          <reference field="22" count="1">
            <x v="0"/>
          </reference>
        </references>
      </pivotArea>
    </format>
    <format dxfId="2072">
      <pivotArea dataOnly="0" labelOnly="1" outline="0" fieldPosition="0">
        <references count="5">
          <reference field="0" count="1" selected="0">
            <x v="2"/>
          </reference>
          <reference field="1" count="1" selected="0">
            <x v="160"/>
          </reference>
          <reference field="20" count="1" selected="0">
            <x v="0"/>
          </reference>
          <reference field="21" count="1" selected="0">
            <x v="0"/>
          </reference>
          <reference field="22" count="1">
            <x v="26"/>
          </reference>
        </references>
      </pivotArea>
    </format>
    <format dxfId="2071">
      <pivotArea dataOnly="0" labelOnly="1" outline="0" fieldPosition="0">
        <references count="5">
          <reference field="0" count="1" selected="0">
            <x v="3"/>
          </reference>
          <reference field="1" count="1" selected="0">
            <x v="161"/>
          </reference>
          <reference field="20" count="1" selected="0">
            <x v="0"/>
          </reference>
          <reference field="21" count="1" selected="0">
            <x v="0"/>
          </reference>
          <reference field="22" count="1">
            <x v="0"/>
          </reference>
        </references>
      </pivotArea>
    </format>
    <format dxfId="2070">
      <pivotArea dataOnly="0" labelOnly="1" outline="0" fieldPosition="0">
        <references count="5">
          <reference field="0" count="1" selected="0">
            <x v="2"/>
          </reference>
          <reference field="1" count="1" selected="0">
            <x v="164"/>
          </reference>
          <reference field="20" count="1" selected="0">
            <x v="0"/>
          </reference>
          <reference field="21" count="1" selected="0">
            <x v="0"/>
          </reference>
          <reference field="22" count="1">
            <x v="23"/>
          </reference>
        </references>
      </pivotArea>
    </format>
    <format dxfId="2069">
      <pivotArea dataOnly="0" labelOnly="1" outline="0" fieldPosition="0">
        <references count="5">
          <reference field="0" count="1" selected="0">
            <x v="3"/>
          </reference>
          <reference field="1" count="1" selected="0">
            <x v="165"/>
          </reference>
          <reference field="20" count="1" selected="0">
            <x v="0"/>
          </reference>
          <reference field="21" count="1" selected="0">
            <x v="0"/>
          </reference>
          <reference field="22" count="1">
            <x v="0"/>
          </reference>
        </references>
      </pivotArea>
    </format>
    <format dxfId="2068">
      <pivotArea dataOnly="0" labelOnly="1" outline="0" fieldPosition="0">
        <references count="5">
          <reference field="0" count="1" selected="0">
            <x v="2"/>
          </reference>
          <reference field="1" count="1" selected="0">
            <x v="170"/>
          </reference>
          <reference field="20" count="1" selected="0">
            <x v="0"/>
          </reference>
          <reference field="21" count="1" selected="0">
            <x v="0"/>
          </reference>
          <reference field="22" count="1">
            <x v="22"/>
          </reference>
        </references>
      </pivotArea>
    </format>
    <format dxfId="2067">
      <pivotArea dataOnly="0" labelOnly="1" outline="0" fieldPosition="0">
        <references count="6">
          <reference field="0" count="1" selected="0">
            <x v="0"/>
          </reference>
          <reference field="1" count="1" selected="0">
            <x v="0"/>
          </reference>
          <reference field="20" count="1" selected="0">
            <x v="9"/>
          </reference>
          <reference field="21" count="1" selected="0">
            <x v="0"/>
          </reference>
          <reference field="22" count="1" selected="0">
            <x v="0"/>
          </reference>
          <reference field="23" count="1">
            <x v="0"/>
          </reference>
        </references>
      </pivotArea>
    </format>
    <format dxfId="2066">
      <pivotArea dataOnly="0" labelOnly="1" outline="0" fieldPosition="0">
        <references count="6">
          <reference field="0" count="1" selected="0">
            <x v="3"/>
          </reference>
          <reference field="1" count="1" selected="0">
            <x v="6"/>
          </reference>
          <reference field="20" count="1" selected="0">
            <x v="0"/>
          </reference>
          <reference field="21" count="1" selected="0">
            <x v="0"/>
          </reference>
          <reference field="22" count="1" selected="0">
            <x v="0"/>
          </reference>
          <reference field="23" count="1">
            <x v="106"/>
          </reference>
        </references>
      </pivotArea>
    </format>
    <format dxfId="2065">
      <pivotArea dataOnly="0" labelOnly="1" outline="0" fieldPosition="0">
        <references count="6">
          <reference field="0" count="1" selected="0">
            <x v="3"/>
          </reference>
          <reference field="1" count="1" selected="0">
            <x v="7"/>
          </reference>
          <reference field="20" count="1" selected="0">
            <x v="0"/>
          </reference>
          <reference field="21" count="1" selected="0">
            <x v="0"/>
          </reference>
          <reference field="22" count="1" selected="0">
            <x v="0"/>
          </reference>
          <reference field="23" count="1">
            <x v="71"/>
          </reference>
        </references>
      </pivotArea>
    </format>
    <format dxfId="2064">
      <pivotArea dataOnly="0" labelOnly="1" outline="0" fieldPosition="0">
        <references count="6">
          <reference field="0" count="1" selected="0">
            <x v="3"/>
          </reference>
          <reference field="1" count="1" selected="0">
            <x v="8"/>
          </reference>
          <reference field="20" count="1" selected="0">
            <x v="0"/>
          </reference>
          <reference field="21" count="1" selected="0">
            <x v="0"/>
          </reference>
          <reference field="22" count="1" selected="0">
            <x v="0"/>
          </reference>
          <reference field="23" count="1">
            <x v="40"/>
          </reference>
        </references>
      </pivotArea>
    </format>
    <format dxfId="2063">
      <pivotArea dataOnly="0" labelOnly="1" outline="0" fieldPosition="0">
        <references count="6">
          <reference field="0" count="1" selected="0">
            <x v="1"/>
          </reference>
          <reference field="1" count="1" selected="0">
            <x v="9"/>
          </reference>
          <reference field="20" count="1" selected="0">
            <x v="0"/>
          </reference>
          <reference field="21" count="1" selected="0">
            <x v="2"/>
          </reference>
          <reference field="22" count="1" selected="0">
            <x v="0"/>
          </reference>
          <reference field="23" count="1">
            <x v="0"/>
          </reference>
        </references>
      </pivotArea>
    </format>
    <format dxfId="2062">
      <pivotArea dataOnly="0" labelOnly="1" outline="0" fieldPosition="0">
        <references count="6">
          <reference field="0" count="1" selected="0">
            <x v="3"/>
          </reference>
          <reference field="1" count="1" selected="0">
            <x v="11"/>
          </reference>
          <reference field="20" count="1" selected="0">
            <x v="0"/>
          </reference>
          <reference field="21" count="1" selected="0">
            <x v="0"/>
          </reference>
          <reference field="22" count="1" selected="0">
            <x v="0"/>
          </reference>
          <reference field="23" count="1">
            <x v="23"/>
          </reference>
        </references>
      </pivotArea>
    </format>
    <format dxfId="2061">
      <pivotArea dataOnly="0" labelOnly="1" outline="0" fieldPosition="0">
        <references count="6">
          <reference field="0" count="1" selected="0">
            <x v="3"/>
          </reference>
          <reference field="1" count="1" selected="0">
            <x v="12"/>
          </reference>
          <reference field="20" count="1" selected="0">
            <x v="0"/>
          </reference>
          <reference field="21" count="1" selected="0">
            <x v="0"/>
          </reference>
          <reference field="22" count="1" selected="0">
            <x v="0"/>
          </reference>
          <reference field="23" count="1">
            <x v="93"/>
          </reference>
        </references>
      </pivotArea>
    </format>
    <format dxfId="2060">
      <pivotArea dataOnly="0" labelOnly="1" outline="0" fieldPosition="0">
        <references count="6">
          <reference field="0" count="1" selected="0">
            <x v="3"/>
          </reference>
          <reference field="1" count="1" selected="0">
            <x v="13"/>
          </reference>
          <reference field="20" count="1" selected="0">
            <x v="0"/>
          </reference>
          <reference field="21" count="1" selected="0">
            <x v="0"/>
          </reference>
          <reference field="22" count="1" selected="0">
            <x v="0"/>
          </reference>
          <reference field="23" count="1">
            <x v="25"/>
          </reference>
        </references>
      </pivotArea>
    </format>
    <format dxfId="2059">
      <pivotArea dataOnly="0" labelOnly="1" outline="0" fieldPosition="0">
        <references count="6">
          <reference field="0" count="1" selected="0">
            <x v="1"/>
          </reference>
          <reference field="1" count="1" selected="0">
            <x v="14"/>
          </reference>
          <reference field="20" count="1" selected="0">
            <x v="0"/>
          </reference>
          <reference field="21" count="1" selected="0">
            <x v="10"/>
          </reference>
          <reference field="22" count="1" selected="0">
            <x v="0"/>
          </reference>
          <reference field="23" count="1">
            <x v="0"/>
          </reference>
        </references>
      </pivotArea>
    </format>
    <format dxfId="2058">
      <pivotArea dataOnly="0" labelOnly="1" outline="0" fieldPosition="0">
        <references count="6">
          <reference field="0" count="1" selected="0">
            <x v="3"/>
          </reference>
          <reference field="1" count="1" selected="0">
            <x v="16"/>
          </reference>
          <reference field="20" count="1" selected="0">
            <x v="0"/>
          </reference>
          <reference field="21" count="1" selected="0">
            <x v="0"/>
          </reference>
          <reference field="22" count="1" selected="0">
            <x v="0"/>
          </reference>
          <reference field="23" count="1">
            <x v="15"/>
          </reference>
        </references>
      </pivotArea>
    </format>
    <format dxfId="2057">
      <pivotArea dataOnly="0" labelOnly="1" outline="0" fieldPosition="0">
        <references count="6">
          <reference field="0" count="1" selected="0">
            <x v="3"/>
          </reference>
          <reference field="1" count="1" selected="0">
            <x v="17"/>
          </reference>
          <reference field="20" count="1" selected="0">
            <x v="0"/>
          </reference>
          <reference field="21" count="1" selected="0">
            <x v="0"/>
          </reference>
          <reference field="22" count="1" selected="0">
            <x v="0"/>
          </reference>
          <reference field="23" count="1">
            <x v="21"/>
          </reference>
        </references>
      </pivotArea>
    </format>
    <format dxfId="2056">
      <pivotArea dataOnly="0" labelOnly="1" outline="0" fieldPosition="0">
        <references count="6">
          <reference field="0" count="1" selected="0">
            <x v="3"/>
          </reference>
          <reference field="1" count="1" selected="0">
            <x v="18"/>
          </reference>
          <reference field="20" count="1" selected="0">
            <x v="0"/>
          </reference>
          <reference field="21" count="1" selected="0">
            <x v="0"/>
          </reference>
          <reference field="22" count="1" selected="0">
            <x v="0"/>
          </reference>
          <reference field="23" count="1">
            <x v="20"/>
          </reference>
        </references>
      </pivotArea>
    </format>
    <format dxfId="2055">
      <pivotArea dataOnly="0" labelOnly="1" outline="0" fieldPosition="0">
        <references count="6">
          <reference field="0" count="1" selected="0">
            <x v="2"/>
          </reference>
          <reference field="1" count="1" selected="0">
            <x v="19"/>
          </reference>
          <reference field="20" count="1" selected="0">
            <x v="0"/>
          </reference>
          <reference field="21" count="1" selected="0">
            <x v="0"/>
          </reference>
          <reference field="22" count="1" selected="0">
            <x v="28"/>
          </reference>
          <reference field="23" count="1">
            <x v="0"/>
          </reference>
        </references>
      </pivotArea>
    </format>
    <format dxfId="2054">
      <pivotArea dataOnly="0" labelOnly="1" outline="0" fieldPosition="0">
        <references count="6">
          <reference field="0" count="1" selected="0">
            <x v="3"/>
          </reference>
          <reference field="1" count="1" selected="0">
            <x v="20"/>
          </reference>
          <reference field="20" count="1" selected="0">
            <x v="0"/>
          </reference>
          <reference field="21" count="1" selected="0">
            <x v="0"/>
          </reference>
          <reference field="22" count="1" selected="0">
            <x v="0"/>
          </reference>
          <reference field="23" count="1">
            <x v="100"/>
          </reference>
        </references>
      </pivotArea>
    </format>
    <format dxfId="2053">
      <pivotArea dataOnly="0" labelOnly="1" outline="0" fieldPosition="0">
        <references count="6">
          <reference field="0" count="1" selected="0">
            <x v="2"/>
          </reference>
          <reference field="1" count="1" selected="0">
            <x v="21"/>
          </reference>
          <reference field="20" count="1" selected="0">
            <x v="0"/>
          </reference>
          <reference field="21" count="1" selected="0">
            <x v="0"/>
          </reference>
          <reference field="22" count="1" selected="0">
            <x v="21"/>
          </reference>
          <reference field="23" count="1">
            <x v="0"/>
          </reference>
        </references>
      </pivotArea>
    </format>
    <format dxfId="2052">
      <pivotArea dataOnly="0" labelOnly="1" outline="0" fieldPosition="0">
        <references count="6">
          <reference field="0" count="1" selected="0">
            <x v="3"/>
          </reference>
          <reference field="1" count="1" selected="0">
            <x v="22"/>
          </reference>
          <reference field="20" count="1" selected="0">
            <x v="0"/>
          </reference>
          <reference field="21" count="1" selected="0">
            <x v="0"/>
          </reference>
          <reference field="22" count="1" selected="0">
            <x v="0"/>
          </reference>
          <reference field="23" count="1">
            <x v="103"/>
          </reference>
        </references>
      </pivotArea>
    </format>
    <format dxfId="2051">
      <pivotArea dataOnly="0" labelOnly="1" outline="0" fieldPosition="0">
        <references count="6">
          <reference field="0" count="1" selected="0">
            <x v="3"/>
          </reference>
          <reference field="1" count="1" selected="0">
            <x v="23"/>
          </reference>
          <reference field="20" count="1" selected="0">
            <x v="0"/>
          </reference>
          <reference field="21" count="1" selected="0">
            <x v="0"/>
          </reference>
          <reference field="22" count="1" selected="0">
            <x v="0"/>
          </reference>
          <reference field="23" count="1">
            <x v="98"/>
          </reference>
        </references>
      </pivotArea>
    </format>
    <format dxfId="2050">
      <pivotArea dataOnly="0" labelOnly="1" outline="0" fieldPosition="0">
        <references count="6">
          <reference field="0" count="1" selected="0">
            <x v="1"/>
          </reference>
          <reference field="1" count="1" selected="0">
            <x v="24"/>
          </reference>
          <reference field="20" count="1" selected="0">
            <x v="0"/>
          </reference>
          <reference field="21" count="1" selected="0">
            <x v="9"/>
          </reference>
          <reference field="22" count="1" selected="0">
            <x v="0"/>
          </reference>
          <reference field="23" count="1">
            <x v="0"/>
          </reference>
        </references>
      </pivotArea>
    </format>
    <format dxfId="2049">
      <pivotArea dataOnly="0" labelOnly="1" outline="0" fieldPosition="0">
        <references count="6">
          <reference field="0" count="1" selected="0">
            <x v="3"/>
          </reference>
          <reference field="1" count="1" selected="0">
            <x v="26"/>
          </reference>
          <reference field="20" count="1" selected="0">
            <x v="0"/>
          </reference>
          <reference field="21" count="1" selected="0">
            <x v="0"/>
          </reference>
          <reference field="22" count="1" selected="0">
            <x v="0"/>
          </reference>
          <reference field="23" count="1">
            <x v="66"/>
          </reference>
        </references>
      </pivotArea>
    </format>
    <format dxfId="2048">
      <pivotArea dataOnly="0" labelOnly="1" outline="0" fieldPosition="0">
        <references count="6">
          <reference field="0" count="1" selected="0">
            <x v="3"/>
          </reference>
          <reference field="1" count="1" selected="0">
            <x v="27"/>
          </reference>
          <reference field="20" count="1" selected="0">
            <x v="0"/>
          </reference>
          <reference field="21" count="1" selected="0">
            <x v="0"/>
          </reference>
          <reference field="22" count="1" selected="0">
            <x v="0"/>
          </reference>
          <reference field="23" count="1">
            <x v="39"/>
          </reference>
        </references>
      </pivotArea>
    </format>
    <format dxfId="2047">
      <pivotArea dataOnly="0" labelOnly="1" outline="0" fieldPosition="0">
        <references count="6">
          <reference field="0" count="1" selected="0">
            <x v="3"/>
          </reference>
          <reference field="1" count="1" selected="0">
            <x v="28"/>
          </reference>
          <reference field="20" count="1" selected="0">
            <x v="0"/>
          </reference>
          <reference field="21" count="1" selected="0">
            <x v="0"/>
          </reference>
          <reference field="22" count="1" selected="0">
            <x v="0"/>
          </reference>
          <reference field="23" count="1">
            <x v="26"/>
          </reference>
        </references>
      </pivotArea>
    </format>
    <format dxfId="2046">
      <pivotArea dataOnly="0" labelOnly="1" outline="0" fieldPosition="0">
        <references count="6">
          <reference field="0" count="1" selected="0">
            <x v="1"/>
          </reference>
          <reference field="1" count="1" selected="0">
            <x v="29"/>
          </reference>
          <reference field="20" count="1" selected="0">
            <x v="0"/>
          </reference>
          <reference field="21" count="1" selected="0">
            <x v="17"/>
          </reference>
          <reference field="22" count="1" selected="0">
            <x v="0"/>
          </reference>
          <reference field="23" count="1">
            <x v="0"/>
          </reference>
        </references>
      </pivotArea>
    </format>
    <format dxfId="2045">
      <pivotArea dataOnly="0" labelOnly="1" outline="0" fieldPosition="0">
        <references count="6">
          <reference field="0" count="1" selected="0">
            <x v="3"/>
          </reference>
          <reference field="1" count="1" selected="0">
            <x v="31"/>
          </reference>
          <reference field="20" count="1" selected="0">
            <x v="0"/>
          </reference>
          <reference field="21" count="1" selected="0">
            <x v="0"/>
          </reference>
          <reference field="22" count="1" selected="0">
            <x v="0"/>
          </reference>
          <reference field="23" count="1">
            <x v="87"/>
          </reference>
        </references>
      </pivotArea>
    </format>
    <format dxfId="2044">
      <pivotArea dataOnly="0" labelOnly="1" outline="0" fieldPosition="0">
        <references count="6">
          <reference field="0" count="1" selected="0">
            <x v="3"/>
          </reference>
          <reference field="1" count="1" selected="0">
            <x v="32"/>
          </reference>
          <reference field="20" count="1" selected="0">
            <x v="0"/>
          </reference>
          <reference field="21" count="1" selected="0">
            <x v="0"/>
          </reference>
          <reference field="22" count="1" selected="0">
            <x v="0"/>
          </reference>
          <reference field="23" count="1">
            <x v="72"/>
          </reference>
        </references>
      </pivotArea>
    </format>
    <format dxfId="2043">
      <pivotArea dataOnly="0" labelOnly="1" outline="0" fieldPosition="0">
        <references count="6">
          <reference field="0" count="1" selected="0">
            <x v="3"/>
          </reference>
          <reference field="1" count="1" selected="0">
            <x v="33"/>
          </reference>
          <reference field="20" count="1" selected="0">
            <x v="0"/>
          </reference>
          <reference field="21" count="1" selected="0">
            <x v="0"/>
          </reference>
          <reference field="22" count="1" selected="0">
            <x v="0"/>
          </reference>
          <reference field="23" count="1">
            <x v="76"/>
          </reference>
        </references>
      </pivotArea>
    </format>
    <format dxfId="2042">
      <pivotArea dataOnly="0" labelOnly="1" outline="0" fieldPosition="0">
        <references count="6">
          <reference field="0" count="1" selected="0">
            <x v="3"/>
          </reference>
          <reference field="1" count="1" selected="0">
            <x v="34"/>
          </reference>
          <reference field="20" count="1" selected="0">
            <x v="0"/>
          </reference>
          <reference field="21" count="1" selected="0">
            <x v="0"/>
          </reference>
          <reference field="22" count="1" selected="0">
            <x v="0"/>
          </reference>
          <reference field="23" count="1">
            <x v="73"/>
          </reference>
        </references>
      </pivotArea>
    </format>
    <format dxfId="2041">
      <pivotArea dataOnly="0" labelOnly="1" outline="0" fieldPosition="0">
        <references count="6">
          <reference field="0" count="1" selected="0">
            <x v="3"/>
          </reference>
          <reference field="1" count="1" selected="0">
            <x v="35"/>
          </reference>
          <reference field="20" count="1" selected="0">
            <x v="0"/>
          </reference>
          <reference field="21" count="1" selected="0">
            <x v="0"/>
          </reference>
          <reference field="22" count="1" selected="0">
            <x v="0"/>
          </reference>
          <reference field="23" count="1">
            <x v="76"/>
          </reference>
        </references>
      </pivotArea>
    </format>
    <format dxfId="2040">
      <pivotArea dataOnly="0" labelOnly="1" outline="0" fieldPosition="0">
        <references count="6">
          <reference field="0" count="1" selected="0">
            <x v="3"/>
          </reference>
          <reference field="1" count="1" selected="0">
            <x v="36"/>
          </reference>
          <reference field="20" count="1" selected="0">
            <x v="0"/>
          </reference>
          <reference field="21" count="1" selected="0">
            <x v="0"/>
          </reference>
          <reference field="22" count="1" selected="0">
            <x v="0"/>
          </reference>
          <reference field="23" count="1">
            <x v="75"/>
          </reference>
        </references>
      </pivotArea>
    </format>
    <format dxfId="2039">
      <pivotArea dataOnly="0" labelOnly="1" outline="0" fieldPosition="0">
        <references count="6">
          <reference field="0" count="1" selected="0">
            <x v="3"/>
          </reference>
          <reference field="1" count="1" selected="0">
            <x v="37"/>
          </reference>
          <reference field="20" count="1" selected="0">
            <x v="0"/>
          </reference>
          <reference field="21" count="1" selected="0">
            <x v="0"/>
          </reference>
          <reference field="22" count="1" selected="0">
            <x v="0"/>
          </reference>
          <reference field="23" count="1">
            <x v="76"/>
          </reference>
        </references>
      </pivotArea>
    </format>
    <format dxfId="2038">
      <pivotArea dataOnly="0" labelOnly="1" outline="0" fieldPosition="0">
        <references count="6">
          <reference field="0" count="1" selected="0">
            <x v="3"/>
          </reference>
          <reference field="1" count="1" selected="0">
            <x v="38"/>
          </reference>
          <reference field="20" count="1" selected="0">
            <x v="0"/>
          </reference>
          <reference field="21" count="1" selected="0">
            <x v="0"/>
          </reference>
          <reference field="22" count="1" selected="0">
            <x v="0"/>
          </reference>
          <reference field="23" count="1">
            <x v="74"/>
          </reference>
        </references>
      </pivotArea>
    </format>
    <format dxfId="2037">
      <pivotArea dataOnly="0" labelOnly="1" outline="0" fieldPosition="0">
        <references count="6">
          <reference field="0" count="1" selected="0">
            <x v="3"/>
          </reference>
          <reference field="1" count="1" selected="0">
            <x v="39"/>
          </reference>
          <reference field="20" count="1" selected="0">
            <x v="0"/>
          </reference>
          <reference field="21" count="1" selected="0">
            <x v="0"/>
          </reference>
          <reference field="22" count="1" selected="0">
            <x v="0"/>
          </reference>
          <reference field="23" count="1">
            <x v="76"/>
          </reference>
        </references>
      </pivotArea>
    </format>
    <format dxfId="2036">
      <pivotArea dataOnly="0" labelOnly="1" outline="0" fieldPosition="0">
        <references count="6">
          <reference field="0" count="1" selected="0">
            <x v="3"/>
          </reference>
          <reference field="1" count="1" selected="0">
            <x v="40"/>
          </reference>
          <reference field="20" count="1" selected="0">
            <x v="0"/>
          </reference>
          <reference field="21" count="1" selected="0">
            <x v="0"/>
          </reference>
          <reference field="22" count="1" selected="0">
            <x v="0"/>
          </reference>
          <reference field="23" count="1">
            <x v="14"/>
          </reference>
        </references>
      </pivotArea>
    </format>
    <format dxfId="2035">
      <pivotArea dataOnly="0" labelOnly="1" outline="0" fieldPosition="0">
        <references count="6">
          <reference field="0" count="1" selected="0">
            <x v="1"/>
          </reference>
          <reference field="1" count="1" selected="0">
            <x v="41"/>
          </reference>
          <reference field="20" count="1" selected="0">
            <x v="0"/>
          </reference>
          <reference field="21" count="1" selected="0">
            <x v="8"/>
          </reference>
          <reference field="22" count="1" selected="0">
            <x v="0"/>
          </reference>
          <reference field="23" count="1">
            <x v="0"/>
          </reference>
        </references>
      </pivotArea>
    </format>
    <format dxfId="2034">
      <pivotArea dataOnly="0" labelOnly="1" outline="0" fieldPosition="0">
        <references count="6">
          <reference field="0" count="1" selected="0">
            <x v="3"/>
          </reference>
          <reference field="1" count="1" selected="0">
            <x v="42"/>
          </reference>
          <reference field="20" count="1" selected="0">
            <x v="0"/>
          </reference>
          <reference field="21" count="1" selected="0">
            <x v="0"/>
          </reference>
          <reference field="22" count="1" selected="0">
            <x v="0"/>
          </reference>
          <reference field="23" count="1">
            <x v="104"/>
          </reference>
        </references>
      </pivotArea>
    </format>
    <format dxfId="2033">
      <pivotArea dataOnly="0" labelOnly="1" outline="0" fieldPosition="0">
        <references count="6">
          <reference field="0" count="1" selected="0">
            <x v="1"/>
          </reference>
          <reference field="1" count="1" selected="0">
            <x v="43"/>
          </reference>
          <reference field="20" count="1" selected="0">
            <x v="0"/>
          </reference>
          <reference field="21" count="1" selected="0">
            <x v="16"/>
          </reference>
          <reference field="22" count="1" selected="0">
            <x v="0"/>
          </reference>
          <reference field="23" count="1">
            <x v="0"/>
          </reference>
        </references>
      </pivotArea>
    </format>
    <format dxfId="2032">
      <pivotArea dataOnly="0" labelOnly="1" outline="0" fieldPosition="0">
        <references count="6">
          <reference field="0" count="1" selected="0">
            <x v="3"/>
          </reference>
          <reference field="1" count="1" selected="0">
            <x v="44"/>
          </reference>
          <reference field="20" count="1" selected="0">
            <x v="0"/>
          </reference>
          <reference field="21" count="1" selected="0">
            <x v="0"/>
          </reference>
          <reference field="22" count="1" selected="0">
            <x v="0"/>
          </reference>
          <reference field="23" count="1">
            <x v="63"/>
          </reference>
        </references>
      </pivotArea>
    </format>
    <format dxfId="2031">
      <pivotArea dataOnly="0" labelOnly="1" outline="0" fieldPosition="0">
        <references count="6">
          <reference field="0" count="1" selected="0">
            <x v="3"/>
          </reference>
          <reference field="1" count="1" selected="0">
            <x v="45"/>
          </reference>
          <reference field="20" count="1" selected="0">
            <x v="0"/>
          </reference>
          <reference field="21" count="1" selected="0">
            <x v="0"/>
          </reference>
          <reference field="22" count="1" selected="0">
            <x v="0"/>
          </reference>
          <reference field="23" count="1">
            <x v="46"/>
          </reference>
        </references>
      </pivotArea>
    </format>
    <format dxfId="2030">
      <pivotArea dataOnly="0" labelOnly="1" outline="0" fieldPosition="0">
        <references count="6">
          <reference field="0" count="1" selected="0">
            <x v="3"/>
          </reference>
          <reference field="1" count="1" selected="0">
            <x v="46"/>
          </reference>
          <reference field="20" count="1" selected="0">
            <x v="0"/>
          </reference>
          <reference field="21" count="1" selected="0">
            <x v="0"/>
          </reference>
          <reference field="22" count="1" selected="0">
            <x v="0"/>
          </reference>
          <reference field="23" count="1">
            <x v="42"/>
          </reference>
        </references>
      </pivotArea>
    </format>
    <format dxfId="2029">
      <pivotArea dataOnly="0" labelOnly="1" outline="0" fieldPosition="0">
        <references count="6">
          <reference field="0" count="1" selected="0">
            <x v="3"/>
          </reference>
          <reference field="1" count="1" selected="0">
            <x v="47"/>
          </reference>
          <reference field="20" count="1" selected="0">
            <x v="0"/>
          </reference>
          <reference field="21" count="1" selected="0">
            <x v="0"/>
          </reference>
          <reference field="22" count="1" selected="0">
            <x v="0"/>
          </reference>
          <reference field="23" count="1">
            <x v="44"/>
          </reference>
        </references>
      </pivotArea>
    </format>
    <format dxfId="2028">
      <pivotArea dataOnly="0" labelOnly="1" outline="0" fieldPosition="0">
        <references count="6">
          <reference field="0" count="1" selected="0">
            <x v="0"/>
          </reference>
          <reference field="1" count="1" selected="0">
            <x v="48"/>
          </reference>
          <reference field="20" count="1" selected="0">
            <x v="4"/>
          </reference>
          <reference field="21" count="1" selected="0">
            <x v="0"/>
          </reference>
          <reference field="22" count="1" selected="0">
            <x v="0"/>
          </reference>
          <reference field="23" count="1">
            <x v="0"/>
          </reference>
        </references>
      </pivotArea>
    </format>
    <format dxfId="2027">
      <pivotArea dataOnly="0" labelOnly="1" outline="0" fieldPosition="0">
        <references count="6">
          <reference field="0" count="1" selected="0">
            <x v="3"/>
          </reference>
          <reference field="1" count="1" selected="0">
            <x v="51"/>
          </reference>
          <reference field="20" count="1" selected="0">
            <x v="0"/>
          </reference>
          <reference field="21" count="1" selected="0">
            <x v="0"/>
          </reference>
          <reference field="22" count="1" selected="0">
            <x v="0"/>
          </reference>
          <reference field="23" count="1">
            <x v="19"/>
          </reference>
        </references>
      </pivotArea>
    </format>
    <format dxfId="2026">
      <pivotArea dataOnly="0" labelOnly="1" outline="0" fieldPosition="0">
        <references count="6">
          <reference field="0" count="1" selected="0">
            <x v="1"/>
          </reference>
          <reference field="1" count="1" selected="0">
            <x v="52"/>
          </reference>
          <reference field="20" count="1" selected="0">
            <x v="0"/>
          </reference>
          <reference field="21" count="1" selected="0">
            <x v="13"/>
          </reference>
          <reference field="22" count="1" selected="0">
            <x v="0"/>
          </reference>
          <reference field="23" count="1">
            <x v="0"/>
          </reference>
        </references>
      </pivotArea>
    </format>
    <format dxfId="2025">
      <pivotArea dataOnly="0" labelOnly="1" outline="0" fieldPosition="0">
        <references count="6">
          <reference field="0" count="1" selected="0">
            <x v="3"/>
          </reference>
          <reference field="1" count="1" selected="0">
            <x v="54"/>
          </reference>
          <reference field="20" count="1" selected="0">
            <x v="0"/>
          </reference>
          <reference field="21" count="1" selected="0">
            <x v="0"/>
          </reference>
          <reference field="22" count="1" selected="0">
            <x v="0"/>
          </reference>
          <reference field="23" count="1">
            <x v="32"/>
          </reference>
        </references>
      </pivotArea>
    </format>
    <format dxfId="2024">
      <pivotArea dataOnly="0" labelOnly="1" outline="0" fieldPosition="0">
        <references count="6">
          <reference field="0" count="1" selected="0">
            <x v="3"/>
          </reference>
          <reference field="1" count="1" selected="0">
            <x v="55"/>
          </reference>
          <reference field="20" count="1" selected="0">
            <x v="0"/>
          </reference>
          <reference field="21" count="1" selected="0">
            <x v="0"/>
          </reference>
          <reference field="22" count="1" selected="0">
            <x v="0"/>
          </reference>
          <reference field="23" count="1">
            <x v="53"/>
          </reference>
        </references>
      </pivotArea>
    </format>
    <format dxfId="2023">
      <pivotArea dataOnly="0" labelOnly="1" outline="0" fieldPosition="0">
        <references count="6">
          <reference field="0" count="1" selected="0">
            <x v="3"/>
          </reference>
          <reference field="1" count="1" selected="0">
            <x v="56"/>
          </reference>
          <reference field="20" count="1" selected="0">
            <x v="0"/>
          </reference>
          <reference field="21" count="1" selected="0">
            <x v="0"/>
          </reference>
          <reference field="22" count="1" selected="0">
            <x v="0"/>
          </reference>
          <reference field="23" count="1">
            <x v="81"/>
          </reference>
        </references>
      </pivotArea>
    </format>
    <format dxfId="2022">
      <pivotArea dataOnly="0" labelOnly="1" outline="0" fieldPosition="0">
        <references count="6">
          <reference field="0" count="1" selected="0">
            <x v="1"/>
          </reference>
          <reference field="1" count="1" selected="0">
            <x v="57"/>
          </reference>
          <reference field="20" count="1" selected="0">
            <x v="0"/>
          </reference>
          <reference field="21" count="1" selected="0">
            <x v="3"/>
          </reference>
          <reference field="22" count="1" selected="0">
            <x v="0"/>
          </reference>
          <reference field="23" count="1">
            <x v="0"/>
          </reference>
        </references>
      </pivotArea>
    </format>
    <format dxfId="2021">
      <pivotArea dataOnly="0" labelOnly="1" outline="0" fieldPosition="0">
        <references count="6">
          <reference field="0" count="1" selected="0">
            <x v="3"/>
          </reference>
          <reference field="1" count="1" selected="0">
            <x v="59"/>
          </reference>
          <reference field="20" count="1" selected="0">
            <x v="0"/>
          </reference>
          <reference field="21" count="1" selected="0">
            <x v="0"/>
          </reference>
          <reference field="22" count="1" selected="0">
            <x v="0"/>
          </reference>
          <reference field="23" count="1">
            <x v="107"/>
          </reference>
        </references>
      </pivotArea>
    </format>
    <format dxfId="2020">
      <pivotArea dataOnly="0" labelOnly="1" outline="0" fieldPosition="0">
        <references count="6">
          <reference field="0" count="1" selected="0">
            <x v="3"/>
          </reference>
          <reference field="1" count="1" selected="0">
            <x v="60"/>
          </reference>
          <reference field="20" count="1" selected="0">
            <x v="0"/>
          </reference>
          <reference field="21" count="1" selected="0">
            <x v="0"/>
          </reference>
          <reference field="22" count="1" selected="0">
            <x v="0"/>
          </reference>
          <reference field="23" count="1">
            <x v="108"/>
          </reference>
        </references>
      </pivotArea>
    </format>
    <format dxfId="2019">
      <pivotArea dataOnly="0" labelOnly="1" outline="0" fieldPosition="0">
        <references count="6">
          <reference field="0" count="1" selected="0">
            <x v="2"/>
          </reference>
          <reference field="1" count="1" selected="0">
            <x v="61"/>
          </reference>
          <reference field="20" count="1" selected="0">
            <x v="0"/>
          </reference>
          <reference field="21" count="1" selected="0">
            <x v="0"/>
          </reference>
          <reference field="22" count="1" selected="0">
            <x v="16"/>
          </reference>
          <reference field="23" count="1">
            <x v="0"/>
          </reference>
        </references>
      </pivotArea>
    </format>
    <format dxfId="2018">
      <pivotArea dataOnly="0" labelOnly="1" outline="0" fieldPosition="0">
        <references count="6">
          <reference field="0" count="1" selected="0">
            <x v="3"/>
          </reference>
          <reference field="1" count="1" selected="0">
            <x v="62"/>
          </reference>
          <reference field="20" count="1" selected="0">
            <x v="0"/>
          </reference>
          <reference field="21" count="1" selected="0">
            <x v="0"/>
          </reference>
          <reference field="22" count="1" selected="0">
            <x v="0"/>
          </reference>
          <reference field="23" count="1">
            <x v="109"/>
          </reference>
        </references>
      </pivotArea>
    </format>
    <format dxfId="2017">
      <pivotArea dataOnly="0" labelOnly="1" outline="0" fieldPosition="0">
        <references count="6">
          <reference field="0" count="1" selected="0">
            <x v="3"/>
          </reference>
          <reference field="1" count="1" selected="0">
            <x v="63"/>
          </reference>
          <reference field="20" count="1" selected="0">
            <x v="0"/>
          </reference>
          <reference field="21" count="1" selected="0">
            <x v="0"/>
          </reference>
          <reference field="22" count="1" selected="0">
            <x v="0"/>
          </reference>
          <reference field="23" count="1">
            <x v="110"/>
          </reference>
        </references>
      </pivotArea>
    </format>
    <format dxfId="2016">
      <pivotArea dataOnly="0" labelOnly="1" outline="0" fieldPosition="0">
        <references count="6">
          <reference field="0" count="1" selected="0">
            <x v="3"/>
          </reference>
          <reference field="1" count="1" selected="0">
            <x v="64"/>
          </reference>
          <reference field="20" count="1" selected="0">
            <x v="0"/>
          </reference>
          <reference field="21" count="1" selected="0">
            <x v="0"/>
          </reference>
          <reference field="22" count="1" selected="0">
            <x v="0"/>
          </reference>
          <reference field="23" count="1">
            <x v="59"/>
          </reference>
        </references>
      </pivotArea>
    </format>
    <format dxfId="2015">
      <pivotArea dataOnly="0" labelOnly="1" outline="0" fieldPosition="0">
        <references count="6">
          <reference field="0" count="1" selected="0">
            <x v="3"/>
          </reference>
          <reference field="1" count="1" selected="0">
            <x v="65"/>
          </reference>
          <reference field="20" count="1" selected="0">
            <x v="0"/>
          </reference>
          <reference field="21" count="1" selected="0">
            <x v="0"/>
          </reference>
          <reference field="22" count="1" selected="0">
            <x v="0"/>
          </reference>
          <reference field="23" count="1">
            <x v="101"/>
          </reference>
        </references>
      </pivotArea>
    </format>
    <format dxfId="2014">
      <pivotArea dataOnly="0" labelOnly="1" outline="0" fieldPosition="0">
        <references count="6">
          <reference field="0" count="1" selected="0">
            <x v="3"/>
          </reference>
          <reference field="1" count="1" selected="0">
            <x v="66"/>
          </reference>
          <reference field="20" count="1" selected="0">
            <x v="0"/>
          </reference>
          <reference field="21" count="1" selected="0">
            <x v="0"/>
          </reference>
          <reference field="22" count="1" selected="0">
            <x v="0"/>
          </reference>
          <reference field="23" count="1">
            <x v="56"/>
          </reference>
        </references>
      </pivotArea>
    </format>
    <format dxfId="2013">
      <pivotArea dataOnly="0" labelOnly="1" outline="0" fieldPosition="0">
        <references count="6">
          <reference field="0" count="1" selected="0">
            <x v="3"/>
          </reference>
          <reference field="1" count="1" selected="0">
            <x v="67"/>
          </reference>
          <reference field="20" count="1" selected="0">
            <x v="0"/>
          </reference>
          <reference field="21" count="1" selected="0">
            <x v="0"/>
          </reference>
          <reference field="22" count="1" selected="0">
            <x v="0"/>
          </reference>
          <reference field="23" count="1">
            <x v="111"/>
          </reference>
        </references>
      </pivotArea>
    </format>
    <format dxfId="2012">
      <pivotArea dataOnly="0" labelOnly="1" outline="0" fieldPosition="0">
        <references count="6">
          <reference field="0" count="1" selected="0">
            <x v="2"/>
          </reference>
          <reference field="1" count="1" selected="0">
            <x v="68"/>
          </reference>
          <reference field="20" count="1" selected="0">
            <x v="0"/>
          </reference>
          <reference field="21" count="1" selected="0">
            <x v="0"/>
          </reference>
          <reference field="22" count="1" selected="0">
            <x v="4"/>
          </reference>
          <reference field="23" count="1">
            <x v="0"/>
          </reference>
        </references>
      </pivotArea>
    </format>
    <format dxfId="2011">
      <pivotArea dataOnly="0" labelOnly="1" outline="0" fieldPosition="0">
        <references count="6">
          <reference field="0" count="1" selected="0">
            <x v="3"/>
          </reference>
          <reference field="1" count="1" selected="0">
            <x v="70"/>
          </reference>
          <reference field="20" count="1" selected="0">
            <x v="0"/>
          </reference>
          <reference field="21" count="1" selected="0">
            <x v="0"/>
          </reference>
          <reference field="22" count="1" selected="0">
            <x v="0"/>
          </reference>
          <reference field="23" count="1">
            <x v="67"/>
          </reference>
        </references>
      </pivotArea>
    </format>
    <format dxfId="2010">
      <pivotArea dataOnly="0" labelOnly="1" outline="0" fieldPosition="0">
        <references count="6">
          <reference field="0" count="1" selected="0">
            <x v="3"/>
          </reference>
          <reference field="1" count="1" selected="0">
            <x v="71"/>
          </reference>
          <reference field="20" count="1" selected="0">
            <x v="0"/>
          </reference>
          <reference field="21" count="1" selected="0">
            <x v="0"/>
          </reference>
          <reference field="22" count="1" selected="0">
            <x v="0"/>
          </reference>
          <reference field="23" count="1">
            <x v="31"/>
          </reference>
        </references>
      </pivotArea>
    </format>
    <format dxfId="2009">
      <pivotArea dataOnly="0" labelOnly="1" outline="0" fieldPosition="0">
        <references count="6">
          <reference field="0" count="1" selected="0">
            <x v="3"/>
          </reference>
          <reference field="1" count="1" selected="0">
            <x v="72"/>
          </reference>
          <reference field="20" count="1" selected="0">
            <x v="0"/>
          </reference>
          <reference field="21" count="1" selected="0">
            <x v="0"/>
          </reference>
          <reference field="22" count="1" selected="0">
            <x v="0"/>
          </reference>
          <reference field="23" count="1">
            <x v="38"/>
          </reference>
        </references>
      </pivotArea>
    </format>
    <format dxfId="2008">
      <pivotArea dataOnly="0" labelOnly="1" outline="0" fieldPosition="0">
        <references count="6">
          <reference field="0" count="1" selected="0">
            <x v="3"/>
          </reference>
          <reference field="1" count="1" selected="0">
            <x v="73"/>
          </reference>
          <reference field="20" count="1" selected="0">
            <x v="0"/>
          </reference>
          <reference field="21" count="1" selected="0">
            <x v="0"/>
          </reference>
          <reference field="22" count="1" selected="0">
            <x v="0"/>
          </reference>
          <reference field="23" count="1">
            <x v="60"/>
          </reference>
        </references>
      </pivotArea>
    </format>
    <format dxfId="2007">
      <pivotArea dataOnly="0" labelOnly="1" outline="0" fieldPosition="0">
        <references count="6">
          <reference field="0" count="1" selected="0">
            <x v="3"/>
          </reference>
          <reference field="1" count="1" selected="0">
            <x v="74"/>
          </reference>
          <reference field="20" count="1" selected="0">
            <x v="0"/>
          </reference>
          <reference field="21" count="1" selected="0">
            <x v="0"/>
          </reference>
          <reference field="22" count="1" selected="0">
            <x v="0"/>
          </reference>
          <reference field="23" count="1">
            <x v="94"/>
          </reference>
        </references>
      </pivotArea>
    </format>
    <format dxfId="2006">
      <pivotArea dataOnly="0" labelOnly="1" outline="0" fieldPosition="0">
        <references count="6">
          <reference field="0" count="1" selected="0">
            <x v="3"/>
          </reference>
          <reference field="1" count="1" selected="0">
            <x v="75"/>
          </reference>
          <reference field="20" count="1" selected="0">
            <x v="0"/>
          </reference>
          <reference field="21" count="1" selected="0">
            <x v="0"/>
          </reference>
          <reference field="22" count="1" selected="0">
            <x v="0"/>
          </reference>
          <reference field="23" count="1">
            <x v="112"/>
          </reference>
        </references>
      </pivotArea>
    </format>
    <format dxfId="2005">
      <pivotArea dataOnly="0" labelOnly="1" outline="0" fieldPosition="0">
        <references count="6">
          <reference field="0" count="1" selected="0">
            <x v="3"/>
          </reference>
          <reference field="1" count="1" selected="0">
            <x v="76"/>
          </reference>
          <reference field="20" count="1" selected="0">
            <x v="0"/>
          </reference>
          <reference field="21" count="1" selected="0">
            <x v="0"/>
          </reference>
          <reference field="22" count="1" selected="0">
            <x v="0"/>
          </reference>
          <reference field="23" count="1">
            <x v="58"/>
          </reference>
        </references>
      </pivotArea>
    </format>
    <format dxfId="2004">
      <pivotArea dataOnly="0" labelOnly="1" outline="0" fieldPosition="0">
        <references count="6">
          <reference field="0" count="1" selected="0">
            <x v="3"/>
          </reference>
          <reference field="1" count="1" selected="0">
            <x v="77"/>
          </reference>
          <reference field="20" count="1" selected="0">
            <x v="0"/>
          </reference>
          <reference field="21" count="1" selected="0">
            <x v="0"/>
          </reference>
          <reference field="22" count="1" selected="0">
            <x v="0"/>
          </reference>
          <reference field="23" count="1">
            <x v="54"/>
          </reference>
        </references>
      </pivotArea>
    </format>
    <format dxfId="2003">
      <pivotArea dataOnly="0" labelOnly="1" outline="0" fieldPosition="0">
        <references count="6">
          <reference field="0" count="1" selected="0">
            <x v="1"/>
          </reference>
          <reference field="1" count="1" selected="0">
            <x v="78"/>
          </reference>
          <reference field="20" count="1" selected="0">
            <x v="0"/>
          </reference>
          <reference field="21" count="1" selected="0">
            <x v="11"/>
          </reference>
          <reference field="22" count="1" selected="0">
            <x v="0"/>
          </reference>
          <reference field="23" count="1">
            <x v="0"/>
          </reference>
        </references>
      </pivotArea>
    </format>
    <format dxfId="2002">
      <pivotArea dataOnly="0" labelOnly="1" outline="0" fieldPosition="0">
        <references count="6">
          <reference field="0" count="1" selected="0">
            <x v="3"/>
          </reference>
          <reference field="1" count="1" selected="0">
            <x v="80"/>
          </reference>
          <reference field="20" count="1" selected="0">
            <x v="0"/>
          </reference>
          <reference field="21" count="1" selected="0">
            <x v="0"/>
          </reference>
          <reference field="22" count="1" selected="0">
            <x v="0"/>
          </reference>
          <reference field="23" count="1">
            <x v="37"/>
          </reference>
        </references>
      </pivotArea>
    </format>
    <format dxfId="2001">
      <pivotArea dataOnly="0" labelOnly="1" outline="0" fieldPosition="0">
        <references count="6">
          <reference field="0" count="1" selected="0">
            <x v="3"/>
          </reference>
          <reference field="1" count="1" selected="0">
            <x v="81"/>
          </reference>
          <reference field="20" count="1" selected="0">
            <x v="0"/>
          </reference>
          <reference field="21" count="1" selected="0">
            <x v="0"/>
          </reference>
          <reference field="22" count="1" selected="0">
            <x v="0"/>
          </reference>
          <reference field="23" count="1">
            <x v="12"/>
          </reference>
        </references>
      </pivotArea>
    </format>
    <format dxfId="2000">
      <pivotArea dataOnly="0" labelOnly="1" outline="0" fieldPosition="0">
        <references count="6">
          <reference field="0" count="1" selected="0">
            <x v="3"/>
          </reference>
          <reference field="1" count="1" selected="0">
            <x v="82"/>
          </reference>
          <reference field="20" count="1" selected="0">
            <x v="0"/>
          </reference>
          <reference field="21" count="1" selected="0">
            <x v="0"/>
          </reference>
          <reference field="22" count="1" selected="0">
            <x v="0"/>
          </reference>
          <reference field="23" count="1">
            <x v="7"/>
          </reference>
        </references>
      </pivotArea>
    </format>
    <format dxfId="1999">
      <pivotArea dataOnly="0" labelOnly="1" outline="0" fieldPosition="0">
        <references count="6">
          <reference field="0" count="1" selected="0">
            <x v="3"/>
          </reference>
          <reference field="1" count="1" selected="0">
            <x v="83"/>
          </reference>
          <reference field="20" count="1" selected="0">
            <x v="0"/>
          </reference>
          <reference field="21" count="1" selected="0">
            <x v="0"/>
          </reference>
          <reference field="22" count="1" selected="0">
            <x v="0"/>
          </reference>
          <reference field="23" count="1">
            <x v="9"/>
          </reference>
        </references>
      </pivotArea>
    </format>
    <format dxfId="1998">
      <pivotArea dataOnly="0" labelOnly="1" outline="0" fieldPosition="0">
        <references count="6">
          <reference field="0" count="1" selected="0">
            <x v="3"/>
          </reference>
          <reference field="1" count="1" selected="0">
            <x v="84"/>
          </reference>
          <reference field="20" count="1" selected="0">
            <x v="0"/>
          </reference>
          <reference field="21" count="1" selected="0">
            <x v="0"/>
          </reference>
          <reference field="22" count="1" selected="0">
            <x v="0"/>
          </reference>
          <reference field="23" count="1">
            <x v="11"/>
          </reference>
        </references>
      </pivotArea>
    </format>
    <format dxfId="1997">
      <pivotArea dataOnly="0" labelOnly="1" outline="0" fieldPosition="0">
        <references count="6">
          <reference field="0" count="1" selected="0">
            <x v="3"/>
          </reference>
          <reference field="1" count="1" selected="0">
            <x v="85"/>
          </reference>
          <reference field="20" count="1" selected="0">
            <x v="0"/>
          </reference>
          <reference field="21" count="1" selected="0">
            <x v="0"/>
          </reference>
          <reference field="22" count="1" selected="0">
            <x v="0"/>
          </reference>
          <reference field="23" count="1">
            <x v="6"/>
          </reference>
        </references>
      </pivotArea>
    </format>
    <format dxfId="1996">
      <pivotArea dataOnly="0" labelOnly="1" outline="0" fieldPosition="0">
        <references count="6">
          <reference field="0" count="1" selected="0">
            <x v="3"/>
          </reference>
          <reference field="1" count="1" selected="0">
            <x v="86"/>
          </reference>
          <reference field="20" count="1" selected="0">
            <x v="0"/>
          </reference>
          <reference field="21" count="1" selected="0">
            <x v="0"/>
          </reference>
          <reference field="22" count="1" selected="0">
            <x v="0"/>
          </reference>
          <reference field="23" count="1">
            <x v="8"/>
          </reference>
        </references>
      </pivotArea>
    </format>
    <format dxfId="1995">
      <pivotArea dataOnly="0" labelOnly="1" outline="0" fieldPosition="0">
        <references count="6">
          <reference field="0" count="1" selected="0">
            <x v="3"/>
          </reference>
          <reference field="1" count="1" selected="0">
            <x v="87"/>
          </reference>
          <reference field="20" count="1" selected="0">
            <x v="0"/>
          </reference>
          <reference field="21" count="1" selected="0">
            <x v="0"/>
          </reference>
          <reference field="22" count="1" selected="0">
            <x v="0"/>
          </reference>
          <reference field="23" count="1">
            <x v="10"/>
          </reference>
        </references>
      </pivotArea>
    </format>
    <format dxfId="1994">
      <pivotArea dataOnly="0" labelOnly="1" outline="0" fieldPosition="0">
        <references count="6">
          <reference field="0" count="1" selected="0">
            <x v="3"/>
          </reference>
          <reference field="1" count="1" selected="0">
            <x v="88"/>
          </reference>
          <reference field="20" count="1" selected="0">
            <x v="0"/>
          </reference>
          <reference field="21" count="1" selected="0">
            <x v="0"/>
          </reference>
          <reference field="22" count="1" selected="0">
            <x v="0"/>
          </reference>
          <reference field="23" count="1">
            <x v="13"/>
          </reference>
        </references>
      </pivotArea>
    </format>
    <format dxfId="1993">
      <pivotArea dataOnly="0" labelOnly="1" outline="0" fieldPosition="0">
        <references count="6">
          <reference field="0" count="1" selected="0">
            <x v="3"/>
          </reference>
          <reference field="1" count="1" selected="0">
            <x v="89"/>
          </reference>
          <reference field="20" count="1" selected="0">
            <x v="0"/>
          </reference>
          <reference field="21" count="1" selected="0">
            <x v="0"/>
          </reference>
          <reference field="22" count="1" selected="0">
            <x v="0"/>
          </reference>
          <reference field="23" count="1">
            <x v="1"/>
          </reference>
        </references>
      </pivotArea>
    </format>
    <format dxfId="1992">
      <pivotArea dataOnly="0" labelOnly="1" outline="0" fieldPosition="0">
        <references count="6">
          <reference field="0" count="1" selected="0">
            <x v="2"/>
          </reference>
          <reference field="1" count="1" selected="0">
            <x v="90"/>
          </reference>
          <reference field="20" count="1" selected="0">
            <x v="0"/>
          </reference>
          <reference field="21" count="1" selected="0">
            <x v="0"/>
          </reference>
          <reference field="22" count="1" selected="0">
            <x v="29"/>
          </reference>
          <reference field="23" count="1">
            <x v="0"/>
          </reference>
        </references>
      </pivotArea>
    </format>
    <format dxfId="1991">
      <pivotArea dataOnly="0" labelOnly="1" outline="0" fieldPosition="0">
        <references count="6">
          <reference field="0" count="1" selected="0">
            <x v="3"/>
          </reference>
          <reference field="1" count="1" selected="0">
            <x v="91"/>
          </reference>
          <reference field="20" count="1" selected="0">
            <x v="0"/>
          </reference>
          <reference field="21" count="1" selected="0">
            <x v="0"/>
          </reference>
          <reference field="22" count="1" selected="0">
            <x v="0"/>
          </reference>
          <reference field="23" count="1">
            <x v="37"/>
          </reference>
        </references>
      </pivotArea>
    </format>
    <format dxfId="1990">
      <pivotArea dataOnly="0" labelOnly="1" outline="0" fieldPosition="0">
        <references count="6">
          <reference field="0" count="1" selected="0">
            <x v="3"/>
          </reference>
          <reference field="1" count="1" selected="0">
            <x v="92"/>
          </reference>
          <reference field="20" count="1" selected="0">
            <x v="0"/>
          </reference>
          <reference field="21" count="1" selected="0">
            <x v="0"/>
          </reference>
          <reference field="22" count="1" selected="0">
            <x v="0"/>
          </reference>
          <reference field="23" count="1">
            <x v="12"/>
          </reference>
        </references>
      </pivotArea>
    </format>
    <format dxfId="1989">
      <pivotArea dataOnly="0" labelOnly="1" outline="0" fieldPosition="0">
        <references count="6">
          <reference field="0" count="1" selected="0">
            <x v="3"/>
          </reference>
          <reference field="1" count="1" selected="0">
            <x v="93"/>
          </reference>
          <reference field="20" count="1" selected="0">
            <x v="0"/>
          </reference>
          <reference field="21" count="1" selected="0">
            <x v="0"/>
          </reference>
          <reference field="22" count="1" selected="0">
            <x v="0"/>
          </reference>
          <reference field="23" count="1">
            <x v="7"/>
          </reference>
        </references>
      </pivotArea>
    </format>
    <format dxfId="1988">
      <pivotArea dataOnly="0" labelOnly="1" outline="0" fieldPosition="0">
        <references count="6">
          <reference field="0" count="1" selected="0">
            <x v="3"/>
          </reference>
          <reference field="1" count="1" selected="0">
            <x v="94"/>
          </reference>
          <reference field="20" count="1" selected="0">
            <x v="0"/>
          </reference>
          <reference field="21" count="1" selected="0">
            <x v="0"/>
          </reference>
          <reference field="22" count="1" selected="0">
            <x v="0"/>
          </reference>
          <reference field="23" count="1">
            <x v="9"/>
          </reference>
        </references>
      </pivotArea>
    </format>
    <format dxfId="1987">
      <pivotArea dataOnly="0" labelOnly="1" outline="0" fieldPosition="0">
        <references count="6">
          <reference field="0" count="1" selected="0">
            <x v="3"/>
          </reference>
          <reference field="1" count="1" selected="0">
            <x v="95"/>
          </reference>
          <reference field="20" count="1" selected="0">
            <x v="0"/>
          </reference>
          <reference field="21" count="1" selected="0">
            <x v="0"/>
          </reference>
          <reference field="22" count="1" selected="0">
            <x v="0"/>
          </reference>
          <reference field="23" count="1">
            <x v="11"/>
          </reference>
        </references>
      </pivotArea>
    </format>
    <format dxfId="1986">
      <pivotArea dataOnly="0" labelOnly="1" outline="0" fieldPosition="0">
        <references count="6">
          <reference field="0" count="1" selected="0">
            <x v="3"/>
          </reference>
          <reference field="1" count="1" selected="0">
            <x v="96"/>
          </reference>
          <reference field="20" count="1" selected="0">
            <x v="0"/>
          </reference>
          <reference field="21" count="1" selected="0">
            <x v="0"/>
          </reference>
          <reference field="22" count="1" selected="0">
            <x v="0"/>
          </reference>
          <reference field="23" count="1">
            <x v="6"/>
          </reference>
        </references>
      </pivotArea>
    </format>
    <format dxfId="1985">
      <pivotArea dataOnly="0" labelOnly="1" outline="0" fieldPosition="0">
        <references count="6">
          <reference field="0" count="1" selected="0">
            <x v="3"/>
          </reference>
          <reference field="1" count="1" selected="0">
            <x v="97"/>
          </reference>
          <reference field="20" count="1" selected="0">
            <x v="0"/>
          </reference>
          <reference field="21" count="1" selected="0">
            <x v="0"/>
          </reference>
          <reference field="22" count="1" selected="0">
            <x v="0"/>
          </reference>
          <reference field="23" count="1">
            <x v="8"/>
          </reference>
        </references>
      </pivotArea>
    </format>
    <format dxfId="1984">
      <pivotArea dataOnly="0" labelOnly="1" outline="0" fieldPosition="0">
        <references count="6">
          <reference field="0" count="1" selected="0">
            <x v="3"/>
          </reference>
          <reference field="1" count="1" selected="0">
            <x v="98"/>
          </reference>
          <reference field="20" count="1" selected="0">
            <x v="0"/>
          </reference>
          <reference field="21" count="1" selected="0">
            <x v="0"/>
          </reference>
          <reference field="22" count="1" selected="0">
            <x v="0"/>
          </reference>
          <reference field="23" count="1">
            <x v="10"/>
          </reference>
        </references>
      </pivotArea>
    </format>
    <format dxfId="1983">
      <pivotArea dataOnly="0" labelOnly="1" outline="0" fieldPosition="0">
        <references count="6">
          <reference field="0" count="1" selected="0">
            <x v="3"/>
          </reference>
          <reference field="1" count="1" selected="0">
            <x v="99"/>
          </reference>
          <reference field="20" count="1" selected="0">
            <x v="0"/>
          </reference>
          <reference field="21" count="1" selected="0">
            <x v="0"/>
          </reference>
          <reference field="22" count="1" selected="0">
            <x v="0"/>
          </reference>
          <reference field="23" count="1">
            <x v="13"/>
          </reference>
        </references>
      </pivotArea>
    </format>
    <format dxfId="1982">
      <pivotArea dataOnly="0" labelOnly="1" outline="0" fieldPosition="0">
        <references count="6">
          <reference field="0" count="1" selected="0">
            <x v="3"/>
          </reference>
          <reference field="1" count="1" selected="0">
            <x v="100"/>
          </reference>
          <reference field="20" count="1" selected="0">
            <x v="0"/>
          </reference>
          <reference field="21" count="1" selected="0">
            <x v="0"/>
          </reference>
          <reference field="22" count="1" selected="0">
            <x v="0"/>
          </reference>
          <reference field="23" count="1">
            <x v="1"/>
          </reference>
        </references>
      </pivotArea>
    </format>
    <format dxfId="1981">
      <pivotArea dataOnly="0" labelOnly="1" outline="0" fieldPosition="0">
        <references count="6">
          <reference field="0" count="1" selected="0">
            <x v="2"/>
          </reference>
          <reference field="1" count="1" selected="0">
            <x v="101"/>
          </reference>
          <reference field="20" count="1" selected="0">
            <x v="0"/>
          </reference>
          <reference field="21" count="1" selected="0">
            <x v="0"/>
          </reference>
          <reference field="22" count="1" selected="0">
            <x v="10"/>
          </reference>
          <reference field="23" count="1">
            <x v="0"/>
          </reference>
        </references>
      </pivotArea>
    </format>
    <format dxfId="1980">
      <pivotArea dataOnly="0" labelOnly="1" outline="0" fieldPosition="0">
        <references count="6">
          <reference field="0" count="1" selected="0">
            <x v="3"/>
          </reference>
          <reference field="1" count="1" selected="0">
            <x v="102"/>
          </reference>
          <reference field="20" count="1" selected="0">
            <x v="0"/>
          </reference>
          <reference field="21" count="1" selected="0">
            <x v="0"/>
          </reference>
          <reference field="22" count="1" selected="0">
            <x v="0"/>
          </reference>
          <reference field="23" count="1">
            <x v="54"/>
          </reference>
        </references>
      </pivotArea>
    </format>
    <format dxfId="1979">
      <pivotArea dataOnly="0" labelOnly="1" outline="0" fieldPosition="0">
        <references count="6">
          <reference field="0" count="1" selected="0">
            <x v="3"/>
          </reference>
          <reference field="1" count="1" selected="0">
            <x v="103"/>
          </reference>
          <reference field="20" count="1" selected="0">
            <x v="0"/>
          </reference>
          <reference field="21" count="1" selected="0">
            <x v="0"/>
          </reference>
          <reference field="22" count="1" selected="0">
            <x v="0"/>
          </reference>
          <reference field="23" count="1">
            <x v="49"/>
          </reference>
        </references>
      </pivotArea>
    </format>
    <format dxfId="1978">
      <pivotArea dataOnly="0" labelOnly="1" outline="0" fieldPosition="0">
        <references count="6">
          <reference field="0" count="1" selected="0">
            <x v="3"/>
          </reference>
          <reference field="1" count="1" selected="0">
            <x v="104"/>
          </reference>
          <reference field="20" count="1" selected="0">
            <x v="0"/>
          </reference>
          <reference field="21" count="1" selected="0">
            <x v="0"/>
          </reference>
          <reference field="22" count="1" selected="0">
            <x v="0"/>
          </reference>
          <reference field="23" count="1">
            <x v="51"/>
          </reference>
        </references>
      </pivotArea>
    </format>
    <format dxfId="1977">
      <pivotArea dataOnly="0" labelOnly="1" outline="0" fieldPosition="0">
        <references count="6">
          <reference field="0" count="1" selected="0">
            <x v="3"/>
          </reference>
          <reference field="1" count="1" selected="0">
            <x v="105"/>
          </reference>
          <reference field="20" count="1" selected="0">
            <x v="0"/>
          </reference>
          <reference field="21" count="1" selected="0">
            <x v="0"/>
          </reference>
          <reference field="22" count="1" selected="0">
            <x v="0"/>
          </reference>
          <reference field="23" count="1">
            <x v="48"/>
          </reference>
        </references>
      </pivotArea>
    </format>
    <format dxfId="1976">
      <pivotArea dataOnly="0" labelOnly="1" outline="0" fieldPosition="0">
        <references count="6">
          <reference field="0" count="1" selected="0">
            <x v="3"/>
          </reference>
          <reference field="1" count="1" selected="0">
            <x v="106"/>
          </reference>
          <reference field="20" count="1" selected="0">
            <x v="0"/>
          </reference>
          <reference field="21" count="1" selected="0">
            <x v="0"/>
          </reference>
          <reference field="22" count="1" selected="0">
            <x v="0"/>
          </reference>
          <reference field="23" count="1">
            <x v="50"/>
          </reference>
        </references>
      </pivotArea>
    </format>
    <format dxfId="1975">
      <pivotArea dataOnly="0" labelOnly="1" outline="0" fieldPosition="0">
        <references count="6">
          <reference field="0" count="1" selected="0">
            <x v="3"/>
          </reference>
          <reference field="1" count="1" selected="0">
            <x v="107"/>
          </reference>
          <reference field="20" count="1" selected="0">
            <x v="0"/>
          </reference>
          <reference field="21" count="1" selected="0">
            <x v="0"/>
          </reference>
          <reference field="22" count="1" selected="0">
            <x v="0"/>
          </reference>
          <reference field="23" count="1">
            <x v="3"/>
          </reference>
        </references>
      </pivotArea>
    </format>
    <format dxfId="1974">
      <pivotArea dataOnly="0" labelOnly="1" outline="0" fieldPosition="0">
        <references count="6">
          <reference field="0" count="1" selected="0">
            <x v="3"/>
          </reference>
          <reference field="1" count="1" selected="0">
            <x v="108"/>
          </reference>
          <reference field="20" count="1" selected="0">
            <x v="0"/>
          </reference>
          <reference field="21" count="1" selected="0">
            <x v="0"/>
          </reference>
          <reference field="22" count="1" selected="0">
            <x v="0"/>
          </reference>
          <reference field="23" count="1">
            <x v="82"/>
          </reference>
        </references>
      </pivotArea>
    </format>
    <format dxfId="1973">
      <pivotArea dataOnly="0" labelOnly="1" outline="0" fieldPosition="0">
        <references count="6">
          <reference field="0" count="1" selected="0">
            <x v="3"/>
          </reference>
          <reference field="1" count="1" selected="0">
            <x v="109"/>
          </reference>
          <reference field="20" count="1" selected="0">
            <x v="0"/>
          </reference>
          <reference field="21" count="1" selected="0">
            <x v="0"/>
          </reference>
          <reference field="22" count="1" selected="0">
            <x v="0"/>
          </reference>
          <reference field="23" count="1">
            <x v="95"/>
          </reference>
        </references>
      </pivotArea>
    </format>
    <format dxfId="1972">
      <pivotArea dataOnly="0" labelOnly="1" outline="0" fieldPosition="0">
        <references count="6">
          <reference field="0" count="1" selected="0">
            <x v="3"/>
          </reference>
          <reference field="1" count="1" selected="0">
            <x v="110"/>
          </reference>
          <reference field="20" count="1" selected="0">
            <x v="0"/>
          </reference>
          <reference field="21" count="1" selected="0">
            <x v="0"/>
          </reference>
          <reference field="22" count="1" selected="0">
            <x v="0"/>
          </reference>
          <reference field="23" count="1">
            <x v="83"/>
          </reference>
        </references>
      </pivotArea>
    </format>
    <format dxfId="1971">
      <pivotArea dataOnly="0" labelOnly="1" outline="0" fieldPosition="0">
        <references count="6">
          <reference field="0" count="1" selected="0">
            <x v="2"/>
          </reference>
          <reference field="1" count="1" selected="0">
            <x v="111"/>
          </reference>
          <reference field="20" count="1" selected="0">
            <x v="0"/>
          </reference>
          <reference field="21" count="1" selected="0">
            <x v="0"/>
          </reference>
          <reference field="22" count="1" selected="0">
            <x v="18"/>
          </reference>
          <reference field="23" count="1">
            <x v="0"/>
          </reference>
        </references>
      </pivotArea>
    </format>
    <format dxfId="1970">
      <pivotArea dataOnly="0" labelOnly="1" outline="0" fieldPosition="0">
        <references count="6">
          <reference field="0" count="1" selected="0">
            <x v="3"/>
          </reference>
          <reference field="1" count="1" selected="0">
            <x v="112"/>
          </reference>
          <reference field="20" count="1" selected="0">
            <x v="0"/>
          </reference>
          <reference field="21" count="1" selected="0">
            <x v="0"/>
          </reference>
          <reference field="22" count="1" selected="0">
            <x v="0"/>
          </reference>
          <reference field="23" count="1">
            <x v="52"/>
          </reference>
        </references>
      </pivotArea>
    </format>
    <format dxfId="1969">
      <pivotArea dataOnly="0" labelOnly="1" outline="0" fieldPosition="0">
        <references count="6">
          <reference field="0" count="1" selected="0">
            <x v="3"/>
          </reference>
          <reference field="1" count="1" selected="0">
            <x v="113"/>
          </reference>
          <reference field="20" count="1" selected="0">
            <x v="0"/>
          </reference>
          <reference field="21" count="1" selected="0">
            <x v="0"/>
          </reference>
          <reference field="22" count="1" selected="0">
            <x v="0"/>
          </reference>
          <reference field="23" count="1">
            <x v="24"/>
          </reference>
        </references>
      </pivotArea>
    </format>
    <format dxfId="1968">
      <pivotArea dataOnly="0" labelOnly="1" outline="0" fieldPosition="0">
        <references count="6">
          <reference field="0" count="1" selected="0">
            <x v="3"/>
          </reference>
          <reference field="1" count="1" selected="0">
            <x v="114"/>
          </reference>
          <reference field="20" count="1" selected="0">
            <x v="0"/>
          </reference>
          <reference field="21" count="1" selected="0">
            <x v="0"/>
          </reference>
          <reference field="22" count="1" selected="0">
            <x v="0"/>
          </reference>
          <reference field="23" count="1">
            <x v="77"/>
          </reference>
        </references>
      </pivotArea>
    </format>
    <format dxfId="1967">
      <pivotArea dataOnly="0" labelOnly="1" outline="0" fieldPosition="0">
        <references count="6">
          <reference field="0" count="1" selected="0">
            <x v="3"/>
          </reference>
          <reference field="1" count="1" selected="0">
            <x v="115"/>
          </reference>
          <reference field="20" count="1" selected="0">
            <x v="0"/>
          </reference>
          <reference field="21" count="1" selected="0">
            <x v="0"/>
          </reference>
          <reference field="22" count="1" selected="0">
            <x v="0"/>
          </reference>
          <reference field="23" count="1">
            <x v="29"/>
          </reference>
        </references>
      </pivotArea>
    </format>
    <format dxfId="1966">
      <pivotArea dataOnly="0" labelOnly="1" outline="0" fieldPosition="0">
        <references count="6">
          <reference field="0" count="1" selected="0">
            <x v="3"/>
          </reference>
          <reference field="1" count="1" selected="0">
            <x v="116"/>
          </reference>
          <reference field="20" count="1" selected="0">
            <x v="0"/>
          </reference>
          <reference field="21" count="1" selected="0">
            <x v="0"/>
          </reference>
          <reference field="22" count="1" selected="0">
            <x v="0"/>
          </reference>
          <reference field="23" count="1">
            <x v="22"/>
          </reference>
        </references>
      </pivotArea>
    </format>
    <format dxfId="1965">
      <pivotArea dataOnly="0" labelOnly="1" outline="0" fieldPosition="0">
        <references count="6">
          <reference field="0" count="1" selected="0">
            <x v="2"/>
          </reference>
          <reference field="1" count="1" selected="0">
            <x v="117"/>
          </reference>
          <reference field="20" count="1" selected="0">
            <x v="0"/>
          </reference>
          <reference field="21" count="1" selected="0">
            <x v="0"/>
          </reference>
          <reference field="22" count="1" selected="0">
            <x v="11"/>
          </reference>
          <reference field="23" count="1">
            <x v="0"/>
          </reference>
        </references>
      </pivotArea>
    </format>
    <format dxfId="1964">
      <pivotArea dataOnly="0" labelOnly="1" outline="0" fieldPosition="0">
        <references count="6">
          <reference field="0" count="1" selected="0">
            <x v="3"/>
          </reference>
          <reference field="1" count="1" selected="0">
            <x v="118"/>
          </reference>
          <reference field="20" count="1" selected="0">
            <x v="0"/>
          </reference>
          <reference field="21" count="1" selected="0">
            <x v="0"/>
          </reference>
          <reference field="22" count="1" selected="0">
            <x v="0"/>
          </reference>
          <reference field="23" count="1">
            <x v="78"/>
          </reference>
        </references>
      </pivotArea>
    </format>
    <format dxfId="1963">
      <pivotArea dataOnly="0" labelOnly="1" outline="0" fieldPosition="0">
        <references count="6">
          <reference field="0" count="1" selected="0">
            <x v="3"/>
          </reference>
          <reference field="1" count="1" selected="0">
            <x v="119"/>
          </reference>
          <reference field="20" count="1" selected="0">
            <x v="0"/>
          </reference>
          <reference field="21" count="1" selected="0">
            <x v="0"/>
          </reference>
          <reference field="22" count="1" selected="0">
            <x v="0"/>
          </reference>
          <reference field="23" count="1">
            <x v="79"/>
          </reference>
        </references>
      </pivotArea>
    </format>
    <format dxfId="1962">
      <pivotArea dataOnly="0" labelOnly="1" outline="0" fieldPosition="0">
        <references count="6">
          <reference field="0" count="1" selected="0">
            <x v="3"/>
          </reference>
          <reference field="1" count="1" selected="0">
            <x v="120"/>
          </reference>
          <reference field="20" count="1" selected="0">
            <x v="0"/>
          </reference>
          <reference field="21" count="1" selected="0">
            <x v="0"/>
          </reference>
          <reference field="22" count="1" selected="0">
            <x v="0"/>
          </reference>
          <reference field="23" count="1">
            <x v="80"/>
          </reference>
        </references>
      </pivotArea>
    </format>
    <format dxfId="1961">
      <pivotArea dataOnly="0" labelOnly="1" outline="0" fieldPosition="0">
        <references count="6">
          <reference field="0" count="1" selected="0">
            <x v="0"/>
          </reference>
          <reference field="1" count="1" selected="0">
            <x v="121"/>
          </reference>
          <reference field="20" count="1" selected="0">
            <x v="2"/>
          </reference>
          <reference field="21" count="1" selected="0">
            <x v="0"/>
          </reference>
          <reference field="22" count="1" selected="0">
            <x v="0"/>
          </reference>
          <reference field="23" count="1">
            <x v="0"/>
          </reference>
        </references>
      </pivotArea>
    </format>
    <format dxfId="1960">
      <pivotArea dataOnly="0" labelOnly="1" outline="0" fieldPosition="0">
        <references count="6">
          <reference field="0" count="1" selected="0">
            <x v="3"/>
          </reference>
          <reference field="1" count="1" selected="0">
            <x v="123"/>
          </reference>
          <reference field="20" count="1" selected="0">
            <x v="0"/>
          </reference>
          <reference field="21" count="1" selected="0">
            <x v="0"/>
          </reference>
          <reference field="22" count="1" selected="0">
            <x v="0"/>
          </reference>
          <reference field="23" count="1">
            <x v="62"/>
          </reference>
        </references>
      </pivotArea>
    </format>
    <format dxfId="1959">
      <pivotArea dataOnly="0" labelOnly="1" outline="0" fieldPosition="0">
        <references count="6">
          <reference field="0" count="1" selected="0">
            <x v="3"/>
          </reference>
          <reference field="1" count="1" selected="0">
            <x v="124"/>
          </reference>
          <reference field="20" count="1" selected="0">
            <x v="0"/>
          </reference>
          <reference field="21" count="1" selected="0">
            <x v="0"/>
          </reference>
          <reference field="22" count="1" selected="0">
            <x v="0"/>
          </reference>
          <reference field="23" count="1">
            <x v="45"/>
          </reference>
        </references>
      </pivotArea>
    </format>
    <format dxfId="1958">
      <pivotArea dataOnly="0" labelOnly="1" outline="0" fieldPosition="0">
        <references count="6">
          <reference field="0" count="1" selected="0">
            <x v="3"/>
          </reference>
          <reference field="1" count="1" selected="0">
            <x v="125"/>
          </reference>
          <reference field="20" count="1" selected="0">
            <x v="0"/>
          </reference>
          <reference field="21" count="1" selected="0">
            <x v="0"/>
          </reference>
          <reference field="22" count="1" selected="0">
            <x v="0"/>
          </reference>
          <reference field="23" count="1">
            <x v="43"/>
          </reference>
        </references>
      </pivotArea>
    </format>
    <format dxfId="1957">
      <pivotArea dataOnly="0" labelOnly="1" outline="0" fieldPosition="0">
        <references count="6">
          <reference field="0" count="1" selected="0">
            <x v="3"/>
          </reference>
          <reference field="1" count="1" selected="0">
            <x v="126"/>
          </reference>
          <reference field="20" count="1" selected="0">
            <x v="0"/>
          </reference>
          <reference field="21" count="1" selected="0">
            <x v="0"/>
          </reference>
          <reference field="22" count="1" selected="0">
            <x v="0"/>
          </reference>
          <reference field="23" count="1">
            <x v="41"/>
          </reference>
        </references>
      </pivotArea>
    </format>
    <format dxfId="1956">
      <pivotArea dataOnly="0" labelOnly="1" outline="0" fieldPosition="0">
        <references count="6">
          <reference field="0" count="1" selected="0">
            <x v="0"/>
          </reference>
          <reference field="1" count="1" selected="0">
            <x v="127"/>
          </reference>
          <reference field="20" count="1" selected="0">
            <x v="1"/>
          </reference>
          <reference field="21" count="1" selected="0">
            <x v="0"/>
          </reference>
          <reference field="22" count="1" selected="0">
            <x v="0"/>
          </reference>
          <reference field="23" count="1">
            <x v="0"/>
          </reference>
        </references>
      </pivotArea>
    </format>
    <format dxfId="1955">
      <pivotArea dataOnly="0" labelOnly="1" outline="0" fieldPosition="0">
        <references count="6">
          <reference field="0" count="1" selected="0">
            <x v="3"/>
          </reference>
          <reference field="1" count="1" selected="0">
            <x v="130"/>
          </reference>
          <reference field="20" count="1" selected="0">
            <x v="0"/>
          </reference>
          <reference field="21" count="1" selected="0">
            <x v="0"/>
          </reference>
          <reference field="22" count="1" selected="0">
            <x v="0"/>
          </reference>
          <reference field="23" count="1">
            <x v="30"/>
          </reference>
        </references>
      </pivotArea>
    </format>
    <format dxfId="1954">
      <pivotArea dataOnly="0" labelOnly="1" outline="0" fieldPosition="0">
        <references count="6">
          <reference field="0" count="1" selected="0">
            <x v="2"/>
          </reference>
          <reference field="1" count="1" selected="0">
            <x v="131"/>
          </reference>
          <reference field="20" count="1" selected="0">
            <x v="0"/>
          </reference>
          <reference field="21" count="1" selected="0">
            <x v="0"/>
          </reference>
          <reference field="22" count="1" selected="0">
            <x v="19"/>
          </reference>
          <reference field="23" count="1">
            <x v="0"/>
          </reference>
        </references>
      </pivotArea>
    </format>
    <format dxfId="1953">
      <pivotArea dataOnly="0" labelOnly="1" outline="0" fieldPosition="0">
        <references count="6">
          <reference field="0" count="1" selected="0">
            <x v="3"/>
          </reference>
          <reference field="1" count="1" selected="0">
            <x v="132"/>
          </reference>
          <reference field="20" count="1" selected="0">
            <x v="0"/>
          </reference>
          <reference field="21" count="1" selected="0">
            <x v="0"/>
          </reference>
          <reference field="22" count="1" selected="0">
            <x v="0"/>
          </reference>
          <reference field="23" count="1">
            <x v="5"/>
          </reference>
        </references>
      </pivotArea>
    </format>
    <format dxfId="1952">
      <pivotArea dataOnly="0" labelOnly="1" outline="0" fieldPosition="0">
        <references count="6">
          <reference field="0" count="1" selected="0">
            <x v="3"/>
          </reference>
          <reference field="1" count="1" selected="0">
            <x v="133"/>
          </reference>
          <reference field="20" count="1" selected="0">
            <x v="0"/>
          </reference>
          <reference field="21" count="1" selected="0">
            <x v="0"/>
          </reference>
          <reference field="22" count="1" selected="0">
            <x v="0"/>
          </reference>
          <reference field="23" count="1">
            <x v="113"/>
          </reference>
        </references>
      </pivotArea>
    </format>
    <format dxfId="1951">
      <pivotArea dataOnly="0" labelOnly="1" outline="0" fieldPosition="0">
        <references count="6">
          <reference field="0" count="1" selected="0">
            <x v="3"/>
          </reference>
          <reference field="1" count="1" selected="0">
            <x v="134"/>
          </reference>
          <reference field="20" count="1" selected="0">
            <x v="0"/>
          </reference>
          <reference field="21" count="1" selected="0">
            <x v="0"/>
          </reference>
          <reference field="22" count="1" selected="0">
            <x v="0"/>
          </reference>
          <reference field="23" count="1">
            <x v="102"/>
          </reference>
        </references>
      </pivotArea>
    </format>
    <format dxfId="1950">
      <pivotArea dataOnly="0" labelOnly="1" outline="0" fieldPosition="0">
        <references count="6">
          <reference field="0" count="1" selected="0">
            <x v="3"/>
          </reference>
          <reference field="1" count="1" selected="0">
            <x v="135"/>
          </reference>
          <reference field="20" count="1" selected="0">
            <x v="0"/>
          </reference>
          <reference field="21" count="1" selected="0">
            <x v="0"/>
          </reference>
          <reference field="22" count="1" selected="0">
            <x v="0"/>
          </reference>
          <reference field="23" count="1">
            <x v="97"/>
          </reference>
        </references>
      </pivotArea>
    </format>
    <format dxfId="1949">
      <pivotArea dataOnly="0" labelOnly="1" outline="0" fieldPosition="0">
        <references count="6">
          <reference field="0" count="1" selected="0">
            <x v="2"/>
          </reference>
          <reference field="1" count="1" selected="0">
            <x v="136"/>
          </reference>
          <reference field="20" count="1" selected="0">
            <x v="0"/>
          </reference>
          <reference field="21" count="1" selected="0">
            <x v="0"/>
          </reference>
          <reference field="22" count="1" selected="0">
            <x v="1"/>
          </reference>
          <reference field="23" count="1">
            <x v="0"/>
          </reference>
        </references>
      </pivotArea>
    </format>
    <format dxfId="1948">
      <pivotArea dataOnly="0" labelOnly="1" outline="0" fieldPosition="0">
        <references count="6">
          <reference field="0" count="1" selected="0">
            <x v="3"/>
          </reference>
          <reference field="1" count="1" selected="0">
            <x v="137"/>
          </reference>
          <reference field="20" count="1" selected="0">
            <x v="0"/>
          </reference>
          <reference field="21" count="1" selected="0">
            <x v="0"/>
          </reference>
          <reference field="22" count="1" selected="0">
            <x v="0"/>
          </reference>
          <reference field="23" count="1">
            <x v="89"/>
          </reference>
        </references>
      </pivotArea>
    </format>
    <format dxfId="1947">
      <pivotArea dataOnly="0" labelOnly="1" outline="0" fieldPosition="0">
        <references count="6">
          <reference field="0" count="1" selected="0">
            <x v="3"/>
          </reference>
          <reference field="1" count="1" selected="0">
            <x v="139"/>
          </reference>
          <reference field="20" count="1" selected="0">
            <x v="0"/>
          </reference>
          <reference field="21" count="1" selected="0">
            <x v="0"/>
          </reference>
          <reference field="22" count="1" selected="0">
            <x v="0"/>
          </reference>
          <reference field="23" count="1">
            <x v="88"/>
          </reference>
        </references>
      </pivotArea>
    </format>
    <format dxfId="1946">
      <pivotArea dataOnly="0" labelOnly="1" outline="0" fieldPosition="0">
        <references count="6">
          <reference field="0" count="1" selected="0">
            <x v="2"/>
          </reference>
          <reference field="1" count="1" selected="0">
            <x v="140"/>
          </reference>
          <reference field="20" count="1" selected="0">
            <x v="0"/>
          </reference>
          <reference field="21" count="1" selected="0">
            <x v="0"/>
          </reference>
          <reference field="22" count="1" selected="0">
            <x v="27"/>
          </reference>
          <reference field="23" count="1">
            <x v="0"/>
          </reference>
        </references>
      </pivotArea>
    </format>
    <format dxfId="1945">
      <pivotArea dataOnly="0" labelOnly="1" outline="0" fieldPosition="0">
        <references count="6">
          <reference field="0" count="1" selected="0">
            <x v="3"/>
          </reference>
          <reference field="1" count="1" selected="0">
            <x v="141"/>
          </reference>
          <reference field="20" count="1" selected="0">
            <x v="0"/>
          </reference>
          <reference field="21" count="1" selected="0">
            <x v="0"/>
          </reference>
          <reference field="22" count="1" selected="0">
            <x v="0"/>
          </reference>
          <reference field="23" count="1">
            <x v="86"/>
          </reference>
        </references>
      </pivotArea>
    </format>
    <format dxfId="1944">
      <pivotArea dataOnly="0" labelOnly="1" outline="0" fieldPosition="0">
        <references count="6">
          <reference field="0" count="1" selected="0">
            <x v="3"/>
          </reference>
          <reference field="1" count="1" selected="0">
            <x v="142"/>
          </reference>
          <reference field="20" count="1" selected="0">
            <x v="0"/>
          </reference>
          <reference field="21" count="1" selected="0">
            <x v="0"/>
          </reference>
          <reference field="22" count="1" selected="0">
            <x v="0"/>
          </reference>
          <reference field="23" count="1">
            <x v="114"/>
          </reference>
        </references>
      </pivotArea>
    </format>
    <format dxfId="1943">
      <pivotArea dataOnly="0" labelOnly="1" outline="0" fieldPosition="0">
        <references count="6">
          <reference field="0" count="1" selected="0">
            <x v="3"/>
          </reference>
          <reference field="1" count="1" selected="0">
            <x v="143"/>
          </reference>
          <reference field="20" count="1" selected="0">
            <x v="0"/>
          </reference>
          <reference field="21" count="1" selected="0">
            <x v="0"/>
          </reference>
          <reference field="22" count="1" selected="0">
            <x v="0"/>
          </reference>
          <reference field="23" count="1">
            <x v="69"/>
          </reference>
        </references>
      </pivotArea>
    </format>
    <format dxfId="1942">
      <pivotArea dataOnly="0" labelOnly="1" outline="0" fieldPosition="0">
        <references count="6">
          <reference field="0" count="1" selected="0">
            <x v="3"/>
          </reference>
          <reference field="1" count="1" selected="0">
            <x v="144"/>
          </reference>
          <reference field="20" count="1" selected="0">
            <x v="0"/>
          </reference>
          <reference field="21" count="1" selected="0">
            <x v="0"/>
          </reference>
          <reference field="22" count="1" selected="0">
            <x v="0"/>
          </reference>
          <reference field="23" count="1">
            <x v="4"/>
          </reference>
        </references>
      </pivotArea>
    </format>
    <format dxfId="1941">
      <pivotArea dataOnly="0" labelOnly="1" outline="0" fieldPosition="0">
        <references count="6">
          <reference field="0" count="1" selected="0">
            <x v="0"/>
          </reference>
          <reference field="1" count="1" selected="0">
            <x v="146"/>
          </reference>
          <reference field="20" count="1" selected="0">
            <x v="3"/>
          </reference>
          <reference field="21" count="1" selected="0">
            <x v="0"/>
          </reference>
          <reference field="22" count="1" selected="0">
            <x v="0"/>
          </reference>
          <reference field="23" count="1">
            <x v="0"/>
          </reference>
        </references>
      </pivotArea>
    </format>
    <format dxfId="1940">
      <pivotArea dataOnly="0" labelOnly="1" outline="0" fieldPosition="0">
        <references count="6">
          <reference field="0" count="1" selected="0">
            <x v="3"/>
          </reference>
          <reference field="1" count="1" selected="0">
            <x v="149"/>
          </reference>
          <reference field="20" count="1" selected="0">
            <x v="0"/>
          </reference>
          <reference field="21" count="1" selected="0">
            <x v="0"/>
          </reference>
          <reference field="22" count="1" selected="0">
            <x v="0"/>
          </reference>
          <reference field="23" count="1">
            <x v="27"/>
          </reference>
        </references>
      </pivotArea>
    </format>
    <format dxfId="1939">
      <pivotArea dataOnly="0" labelOnly="1" outline="0" fieldPosition="0">
        <references count="6">
          <reference field="0" count="1" selected="0">
            <x v="3"/>
          </reference>
          <reference field="1" count="1" selected="0">
            <x v="150"/>
          </reference>
          <reference field="20" count="1" selected="0">
            <x v="0"/>
          </reference>
          <reference field="21" count="1" selected="0">
            <x v="0"/>
          </reference>
          <reference field="22" count="1" selected="0">
            <x v="0"/>
          </reference>
          <reference field="23" count="1">
            <x v="57"/>
          </reference>
        </references>
      </pivotArea>
    </format>
    <format dxfId="1938">
      <pivotArea dataOnly="0" labelOnly="1" outline="0" fieldPosition="0">
        <references count="6">
          <reference field="0" count="1" selected="0">
            <x v="3"/>
          </reference>
          <reference field="1" count="1" selected="0">
            <x v="151"/>
          </reference>
          <reference field="20" count="1" selected="0">
            <x v="0"/>
          </reference>
          <reference field="21" count="1" selected="0">
            <x v="0"/>
          </reference>
          <reference field="22" count="1" selected="0">
            <x v="0"/>
          </reference>
          <reference field="23" count="1">
            <x v="18"/>
          </reference>
        </references>
      </pivotArea>
    </format>
    <format dxfId="1937">
      <pivotArea dataOnly="0" labelOnly="1" outline="0" fieldPosition="0">
        <references count="6">
          <reference field="0" count="1" selected="0">
            <x v="2"/>
          </reference>
          <reference field="1" count="1" selected="0">
            <x v="152"/>
          </reference>
          <reference field="20" count="1" selected="0">
            <x v="0"/>
          </reference>
          <reference field="21" count="1" selected="0">
            <x v="0"/>
          </reference>
          <reference field="22" count="1" selected="0">
            <x v="24"/>
          </reference>
          <reference field="23" count="1">
            <x v="0"/>
          </reference>
        </references>
      </pivotArea>
    </format>
    <format dxfId="1936">
      <pivotArea dataOnly="0" labelOnly="1" outline="0" fieldPosition="0">
        <references count="6">
          <reference field="0" count="1" selected="0">
            <x v="3"/>
          </reference>
          <reference field="1" count="1" selected="0">
            <x v="153"/>
          </reference>
          <reference field="20" count="1" selected="0">
            <x v="0"/>
          </reference>
          <reference field="21" count="1" selected="0">
            <x v="0"/>
          </reference>
          <reference field="22" count="1" selected="0">
            <x v="0"/>
          </reference>
          <reference field="23" count="1">
            <x v="17"/>
          </reference>
        </references>
      </pivotArea>
    </format>
    <format dxfId="1935">
      <pivotArea dataOnly="0" labelOnly="1" outline="0" fieldPosition="0">
        <references count="6">
          <reference field="0" count="1" selected="0">
            <x v="6"/>
          </reference>
          <reference field="1" count="1" selected="0">
            <x v="154"/>
          </reference>
          <reference field="20" count="1" selected="0">
            <x v="0"/>
          </reference>
          <reference field="21" count="1" selected="0">
            <x v="0"/>
          </reference>
          <reference field="22" count="1" selected="0">
            <x v="0"/>
          </reference>
          <reference field="23" count="1">
            <x v="0"/>
          </reference>
        </references>
      </pivotArea>
    </format>
    <format dxfId="1934">
      <pivotArea dataOnly="0" labelOnly="1" outline="0" fieldPosition="0">
        <references count="6">
          <reference field="0" count="1" selected="0">
            <x v="3"/>
          </reference>
          <reference field="1" count="1" selected="0">
            <x v="155"/>
          </reference>
          <reference field="20" count="1" selected="0">
            <x v="0"/>
          </reference>
          <reference field="21" count="1" selected="0">
            <x v="0"/>
          </reference>
          <reference field="22" count="1" selected="0">
            <x v="0"/>
          </reference>
          <reference field="23" count="1">
            <x v="70"/>
          </reference>
        </references>
      </pivotArea>
    </format>
    <format dxfId="1933">
      <pivotArea dataOnly="0" labelOnly="1" outline="0" fieldPosition="0">
        <references count="6">
          <reference field="0" count="1" selected="0">
            <x v="3"/>
          </reference>
          <reference field="1" count="1" selected="0">
            <x v="156"/>
          </reference>
          <reference field="20" count="1" selected="0">
            <x v="0"/>
          </reference>
          <reference field="21" count="1" selected="0">
            <x v="0"/>
          </reference>
          <reference field="22" count="1" selected="0">
            <x v="0"/>
          </reference>
          <reference field="23" count="1">
            <x v="33"/>
          </reference>
        </references>
      </pivotArea>
    </format>
    <format dxfId="1932">
      <pivotArea dataOnly="0" labelOnly="1" outline="0" fieldPosition="0">
        <references count="6">
          <reference field="0" count="1" selected="0">
            <x v="7"/>
          </reference>
          <reference field="1" count="1" selected="0">
            <x v="157"/>
          </reference>
          <reference field="20" count="1" selected="0">
            <x v="0"/>
          </reference>
          <reference field="21" count="1" selected="0">
            <x v="0"/>
          </reference>
          <reference field="22" count="1" selected="0">
            <x v="0"/>
          </reference>
          <reference field="23" count="1">
            <x v="0"/>
          </reference>
        </references>
      </pivotArea>
    </format>
    <format dxfId="1931">
      <pivotArea dataOnly="0" labelOnly="1" outline="0" fieldPosition="0">
        <references count="6">
          <reference field="0" count="1" selected="0">
            <x v="3"/>
          </reference>
          <reference field="1" count="1" selected="0">
            <x v="158"/>
          </reference>
          <reference field="20" count="1" selected="0">
            <x v="0"/>
          </reference>
          <reference field="21" count="1" selected="0">
            <x v="0"/>
          </reference>
          <reference field="22" count="1" selected="0">
            <x v="0"/>
          </reference>
          <reference field="23" count="1">
            <x v="85"/>
          </reference>
        </references>
      </pivotArea>
    </format>
    <format dxfId="1930">
      <pivotArea dataOnly="0" labelOnly="1" outline="0" fieldPosition="0">
        <references count="6">
          <reference field="0" count="1" selected="0">
            <x v="1"/>
          </reference>
          <reference field="1" count="1" selected="0">
            <x v="159"/>
          </reference>
          <reference field="20" count="1" selected="0">
            <x v="0"/>
          </reference>
          <reference field="21" count="1" selected="0">
            <x v="7"/>
          </reference>
          <reference field="22" count="1" selected="0">
            <x v="0"/>
          </reference>
          <reference field="23" count="1">
            <x v="0"/>
          </reference>
        </references>
      </pivotArea>
    </format>
    <format dxfId="1929">
      <pivotArea dataOnly="0" labelOnly="1" outline="0" fieldPosition="0">
        <references count="6">
          <reference field="0" count="1" selected="0">
            <x v="3"/>
          </reference>
          <reference field="1" count="1" selected="0">
            <x v="161"/>
          </reference>
          <reference field="20" count="1" selected="0">
            <x v="0"/>
          </reference>
          <reference field="21" count="1" selected="0">
            <x v="0"/>
          </reference>
          <reference field="22" count="1" selected="0">
            <x v="0"/>
          </reference>
          <reference field="23" count="1">
            <x v="61"/>
          </reference>
        </references>
      </pivotArea>
    </format>
    <format dxfId="1928">
      <pivotArea dataOnly="0" labelOnly="1" outline="0" fieldPosition="0">
        <references count="6">
          <reference field="0" count="1" selected="0">
            <x v="3"/>
          </reference>
          <reference field="1" count="1" selected="0">
            <x v="162"/>
          </reference>
          <reference field="20" count="1" selected="0">
            <x v="0"/>
          </reference>
          <reference field="21" count="1" selected="0">
            <x v="0"/>
          </reference>
          <reference field="22" count="1" selected="0">
            <x v="0"/>
          </reference>
          <reference field="23" count="1">
            <x v="64"/>
          </reference>
        </references>
      </pivotArea>
    </format>
    <format dxfId="1927">
      <pivotArea dataOnly="0" labelOnly="1" outline="0" fieldPosition="0">
        <references count="6">
          <reference field="0" count="1" selected="0">
            <x v="3"/>
          </reference>
          <reference field="1" count="1" selected="0">
            <x v="163"/>
          </reference>
          <reference field="20" count="1" selected="0">
            <x v="0"/>
          </reference>
          <reference field="21" count="1" selected="0">
            <x v="0"/>
          </reference>
          <reference field="22" count="1" selected="0">
            <x v="0"/>
          </reference>
          <reference field="23" count="1">
            <x v="96"/>
          </reference>
        </references>
      </pivotArea>
    </format>
    <format dxfId="1926">
      <pivotArea dataOnly="0" labelOnly="1" outline="0" fieldPosition="0">
        <references count="6">
          <reference field="0" count="1" selected="0">
            <x v="2"/>
          </reference>
          <reference field="1" count="1" selected="0">
            <x v="164"/>
          </reference>
          <reference field="20" count="1" selected="0">
            <x v="0"/>
          </reference>
          <reference field="21" count="1" selected="0">
            <x v="0"/>
          </reference>
          <reference field="22" count="1" selected="0">
            <x v="23"/>
          </reference>
          <reference field="23" count="1">
            <x v="0"/>
          </reference>
        </references>
      </pivotArea>
    </format>
    <format dxfId="1925">
      <pivotArea dataOnly="0" labelOnly="1" outline="0" fieldPosition="0">
        <references count="6">
          <reference field="0" count="1" selected="0">
            <x v="3"/>
          </reference>
          <reference field="1" count="1" selected="0">
            <x v="165"/>
          </reference>
          <reference field="20" count="1" selected="0">
            <x v="0"/>
          </reference>
          <reference field="21" count="1" selected="0">
            <x v="0"/>
          </reference>
          <reference field="22" count="1" selected="0">
            <x v="0"/>
          </reference>
          <reference field="23" count="1">
            <x v="90"/>
          </reference>
        </references>
      </pivotArea>
    </format>
    <format dxfId="1924">
      <pivotArea dataOnly="0" labelOnly="1" outline="0" fieldPosition="0">
        <references count="6">
          <reference field="0" count="1" selected="0">
            <x v="5"/>
          </reference>
          <reference field="1" count="1" selected="0">
            <x v="166"/>
          </reference>
          <reference field="20" count="1" selected="0">
            <x v="0"/>
          </reference>
          <reference field="21" count="1" selected="0">
            <x v="0"/>
          </reference>
          <reference field="22" count="1" selected="0">
            <x v="0"/>
          </reference>
          <reference field="23" count="1">
            <x v="0"/>
          </reference>
        </references>
      </pivotArea>
    </format>
    <format dxfId="1923">
      <pivotArea dataOnly="0" labelOnly="1" outline="0" fieldPosition="0">
        <references count="6">
          <reference field="0" count="1" selected="0">
            <x v="3"/>
          </reference>
          <reference field="1" count="1" selected="0">
            <x v="167"/>
          </reference>
          <reference field="20" count="1" selected="0">
            <x v="0"/>
          </reference>
          <reference field="21" count="1" selected="0">
            <x v="0"/>
          </reference>
          <reference field="22" count="1" selected="0">
            <x v="0"/>
          </reference>
          <reference field="23" count="1">
            <x v="91"/>
          </reference>
        </references>
      </pivotArea>
    </format>
    <format dxfId="1922">
      <pivotArea dataOnly="0" labelOnly="1" outline="0" fieldPosition="0">
        <references count="6">
          <reference field="0" count="1" selected="0">
            <x v="0"/>
          </reference>
          <reference field="1" count="1" selected="0">
            <x v="168"/>
          </reference>
          <reference field="20" count="1" selected="0">
            <x v="7"/>
          </reference>
          <reference field="21" count="1" selected="0">
            <x v="0"/>
          </reference>
          <reference field="22" count="1" selected="0">
            <x v="0"/>
          </reference>
          <reference field="23" count="1">
            <x v="0"/>
          </reference>
        </references>
      </pivotArea>
    </format>
    <format dxfId="1921">
      <pivotArea dataOnly="0" labelOnly="1" outline="0" fieldPosition="0">
        <references count="6">
          <reference field="0" count="1" selected="0">
            <x v="3"/>
          </reference>
          <reference field="1" count="1" selected="0">
            <x v="171"/>
          </reference>
          <reference field="20" count="1" selected="0">
            <x v="0"/>
          </reference>
          <reference field="21" count="1" selected="0">
            <x v="0"/>
          </reference>
          <reference field="22" count="1" selected="0">
            <x v="0"/>
          </reference>
          <reference field="23" count="1">
            <x v="84"/>
          </reference>
        </references>
      </pivotArea>
    </format>
    <format dxfId="1920">
      <pivotArea dataOnly="0" labelOnly="1" outline="0" fieldPosition="0">
        <references count="6">
          <reference field="0" count="1" selected="0">
            <x v="3"/>
          </reference>
          <reference field="1" count="1" selected="0">
            <x v="172"/>
          </reference>
          <reference field="20" count="1" selected="0">
            <x v="0"/>
          </reference>
          <reference field="21" count="1" selected="0">
            <x v="0"/>
          </reference>
          <reference field="22" count="1" selected="0">
            <x v="0"/>
          </reference>
          <reference field="23" count="1">
            <x v="105"/>
          </reference>
        </references>
      </pivotArea>
    </format>
    <format dxfId="1919">
      <pivotArea dataOnly="0" labelOnly="1" outline="0" fieldPosition="0">
        <references count="6">
          <reference field="0" count="1" selected="0">
            <x v="3"/>
          </reference>
          <reference field="1" count="1" selected="0">
            <x v="173"/>
          </reference>
          <reference field="20" count="1" selected="0">
            <x v="0"/>
          </reference>
          <reference field="21" count="1" selected="0">
            <x v="0"/>
          </reference>
          <reference field="22" count="1" selected="0">
            <x v="0"/>
          </reference>
          <reference field="23" count="1">
            <x v="55"/>
          </reference>
        </references>
      </pivotArea>
    </format>
    <format dxfId="1918">
      <pivotArea dataOnly="0" labelOnly="1" outline="0" fieldPosition="0">
        <references count="6">
          <reference field="0" count="1" selected="0">
            <x v="0"/>
          </reference>
          <reference field="1" count="1" selected="0">
            <x v="209"/>
          </reference>
          <reference field="20" count="1" selected="0">
            <x v="5"/>
          </reference>
          <reference field="21" count="1" selected="0">
            <x v="0"/>
          </reference>
          <reference field="22" count="1" selected="0">
            <x v="0"/>
          </reference>
          <reference field="23" count="1">
            <x v="0"/>
          </reference>
        </references>
      </pivotArea>
    </format>
    <format dxfId="1917">
      <pivotArea dataOnly="0" labelOnly="1" outline="0" fieldPosition="0">
        <references count="6">
          <reference field="0" count="1" selected="0">
            <x v="3"/>
          </reference>
          <reference field="1" count="1" selected="0">
            <x v="211"/>
          </reference>
          <reference field="20" count="1" selected="0">
            <x v="0"/>
          </reference>
          <reference field="21" count="1" selected="0">
            <x v="0"/>
          </reference>
          <reference field="22" count="1" selected="0">
            <x v="0"/>
          </reference>
          <reference field="23" count="1">
            <x v="36"/>
          </reference>
        </references>
      </pivotArea>
    </format>
    <format dxfId="1916">
      <pivotArea dataOnly="0" labelOnly="1" outline="0" fieldPosition="0">
        <references count="6">
          <reference field="0" count="1" selected="0">
            <x v="0"/>
          </reference>
          <reference field="1" count="1" selected="0">
            <x v="212"/>
          </reference>
          <reference field="20" count="1" selected="0">
            <x v="8"/>
          </reference>
          <reference field="21" count="1" selected="0">
            <x v="0"/>
          </reference>
          <reference field="22" count="1" selected="0">
            <x v="0"/>
          </reference>
          <reference field="23" count="1">
            <x v="0"/>
          </reference>
        </references>
      </pivotArea>
    </format>
    <format dxfId="1915">
      <pivotArea dataOnly="0" labelOnly="1" outline="0" fieldPosition="0">
        <references count="6">
          <reference field="0" count="1" selected="0">
            <x v="3"/>
          </reference>
          <reference field="1" count="1" selected="0">
            <x v="213"/>
          </reference>
          <reference field="20" count="1" selected="0">
            <x v="0"/>
          </reference>
          <reference field="21" count="1" selected="0">
            <x v="0"/>
          </reference>
          <reference field="22" count="1" selected="0">
            <x v="0"/>
          </reference>
          <reference field="23" count="1">
            <x v="99"/>
          </reference>
        </references>
      </pivotArea>
    </format>
    <format dxfId="1914">
      <pivotArea dataOnly="0" labelOnly="1" outline="0" fieldPosition="0">
        <references count="7">
          <reference field="0" count="1" selected="0">
            <x v="0"/>
          </reference>
          <reference field="1" count="1" selected="0">
            <x v="0"/>
          </reference>
          <reference field="5" count="1">
            <x v="2"/>
          </reference>
          <reference field="20" count="1" selected="0">
            <x v="9"/>
          </reference>
          <reference field="21" count="1" selected="0">
            <x v="0"/>
          </reference>
          <reference field="22" count="1" selected="0">
            <x v="0"/>
          </reference>
          <reference field="23" count="1" selected="0">
            <x v="0"/>
          </reference>
        </references>
      </pivotArea>
    </format>
    <format dxfId="1913">
      <pivotArea dataOnly="0" labelOnly="1" outline="0" fieldPosition="0">
        <references count="7">
          <reference field="0" count="1" selected="0">
            <x v="1"/>
          </reference>
          <reference field="1" count="1" selected="0">
            <x v="1"/>
          </reference>
          <reference field="5" count="1">
            <x v="1"/>
          </reference>
          <reference field="20" count="1" selected="0">
            <x v="0"/>
          </reference>
          <reference field="21" count="1" selected="0">
            <x v="12"/>
          </reference>
          <reference field="22" count="1" selected="0">
            <x v="0"/>
          </reference>
          <reference field="23" count="1" selected="0">
            <x v="0"/>
          </reference>
        </references>
      </pivotArea>
    </format>
    <format dxfId="1912">
      <pivotArea dataOnly="0" labelOnly="1" outline="0" fieldPosition="0">
        <references count="7">
          <reference field="0" count="1" selected="0">
            <x v="1"/>
          </reference>
          <reference field="1" count="1" selected="0">
            <x v="2"/>
          </reference>
          <reference field="5" count="1">
            <x v="2"/>
          </reference>
          <reference field="20" count="1" selected="0">
            <x v="0"/>
          </reference>
          <reference field="21" count="1" selected="0">
            <x v="18"/>
          </reference>
          <reference field="22" count="1" selected="0">
            <x v="0"/>
          </reference>
          <reference field="23" count="1" selected="0">
            <x v="0"/>
          </reference>
        </references>
      </pivotArea>
    </format>
    <format dxfId="1911">
      <pivotArea dataOnly="0" labelOnly="1" outline="0" fieldPosition="0">
        <references count="7">
          <reference field="0" count="1" selected="0">
            <x v="1"/>
          </reference>
          <reference field="1" count="1" selected="0">
            <x v="4"/>
          </reference>
          <reference field="5" count="1">
            <x v="1"/>
          </reference>
          <reference field="20" count="1" selected="0">
            <x v="0"/>
          </reference>
          <reference field="21" count="1" selected="0">
            <x v="6"/>
          </reference>
          <reference field="22" count="1" selected="0">
            <x v="0"/>
          </reference>
          <reference field="23" count="1" selected="0">
            <x v="0"/>
          </reference>
        </references>
      </pivotArea>
    </format>
    <format dxfId="1910">
      <pivotArea dataOnly="0" labelOnly="1" outline="0" fieldPosition="0">
        <references count="7">
          <reference field="0" count="1" selected="0">
            <x v="3"/>
          </reference>
          <reference field="1" count="1" selected="0">
            <x v="6"/>
          </reference>
          <reference field="5" count="1">
            <x v="0"/>
          </reference>
          <reference field="20" count="1" selected="0">
            <x v="0"/>
          </reference>
          <reference field="21" count="1" selected="0">
            <x v="0"/>
          </reference>
          <reference field="22" count="1" selected="0">
            <x v="0"/>
          </reference>
          <reference field="23" count="1" selected="0">
            <x v="106"/>
          </reference>
        </references>
      </pivotArea>
    </format>
    <format dxfId="1909">
      <pivotArea dataOnly="0" labelOnly="1" outline="0" fieldPosition="0">
        <references count="8">
          <reference field="0" count="1" selected="0">
            <x v="0"/>
          </reference>
          <reference field="1" count="1" selected="0">
            <x v="0"/>
          </reference>
          <reference field="5" count="1" selected="0">
            <x v="2"/>
          </reference>
          <reference field="20" count="1" selected="0">
            <x v="9"/>
          </reference>
          <reference field="21" count="1" selected="0">
            <x v="0"/>
          </reference>
          <reference field="22" count="1" selected="0">
            <x v="0"/>
          </reference>
          <reference field="23" count="1" selected="0">
            <x v="0"/>
          </reference>
          <reference field="24" count="1">
            <x v="80"/>
          </reference>
        </references>
      </pivotArea>
    </format>
    <format dxfId="1908">
      <pivotArea dataOnly="0" labelOnly="1" outline="0" fieldPosition="0">
        <references count="8">
          <reference field="0" count="1" selected="0">
            <x v="1"/>
          </reference>
          <reference field="1" count="1" selected="0">
            <x v="1"/>
          </reference>
          <reference field="5" count="1" selected="0">
            <x v="1"/>
          </reference>
          <reference field="20" count="1" selected="0">
            <x v="0"/>
          </reference>
          <reference field="21" count="1" selected="0">
            <x v="12"/>
          </reference>
          <reference field="22" count="1" selected="0">
            <x v="0"/>
          </reference>
          <reference field="23" count="1" selected="0">
            <x v="0"/>
          </reference>
          <reference field="24" count="1">
            <x v="8"/>
          </reference>
        </references>
      </pivotArea>
    </format>
    <format dxfId="1907">
      <pivotArea dataOnly="0" labelOnly="1" outline="0" fieldPosition="0">
        <references count="8">
          <reference field="0" count="1" selected="0">
            <x v="1"/>
          </reference>
          <reference field="1" count="1" selected="0">
            <x v="2"/>
          </reference>
          <reference field="5" count="1" selected="0">
            <x v="2"/>
          </reference>
          <reference field="20" count="1" selected="0">
            <x v="0"/>
          </reference>
          <reference field="21" count="1" selected="0">
            <x v="18"/>
          </reference>
          <reference field="22" count="1" selected="0">
            <x v="0"/>
          </reference>
          <reference field="23" count="1" selected="0">
            <x v="0"/>
          </reference>
          <reference field="24" count="1">
            <x v="81"/>
          </reference>
        </references>
      </pivotArea>
    </format>
    <format dxfId="1906">
      <pivotArea dataOnly="0" labelOnly="1" outline="0" fieldPosition="0">
        <references count="8">
          <reference field="0" count="1" selected="0">
            <x v="0"/>
          </reference>
          <reference field="1" count="1" selected="0">
            <x v="3"/>
          </reference>
          <reference field="5" count="1" selected="0">
            <x v="2"/>
          </reference>
          <reference field="20" count="1" selected="0">
            <x v="6"/>
          </reference>
          <reference field="21" count="1" selected="0">
            <x v="0"/>
          </reference>
          <reference field="22" count="1" selected="0">
            <x v="0"/>
          </reference>
          <reference field="23" count="1" selected="0">
            <x v="0"/>
          </reference>
          <reference field="24" count="1">
            <x v="80"/>
          </reference>
        </references>
      </pivotArea>
    </format>
    <format dxfId="1905">
      <pivotArea dataOnly="0" labelOnly="1" outline="0" fieldPosition="0">
        <references count="8">
          <reference field="0" count="1" selected="0">
            <x v="3"/>
          </reference>
          <reference field="1" count="1" selected="0">
            <x v="6"/>
          </reference>
          <reference field="5" count="1" selected="0">
            <x v="0"/>
          </reference>
          <reference field="20" count="1" selected="0">
            <x v="0"/>
          </reference>
          <reference field="21" count="1" selected="0">
            <x v="0"/>
          </reference>
          <reference field="22" count="1" selected="0">
            <x v="0"/>
          </reference>
          <reference field="23" count="1" selected="0">
            <x v="106"/>
          </reference>
          <reference field="24" count="1">
            <x v="37"/>
          </reference>
        </references>
      </pivotArea>
    </format>
    <format dxfId="1904">
      <pivotArea dataOnly="0" labelOnly="1" outline="0" fieldPosition="0">
        <references count="8">
          <reference field="0" count="1" selected="0">
            <x v="3"/>
          </reference>
          <reference field="1" count="1" selected="0">
            <x v="7"/>
          </reference>
          <reference field="5" count="1" selected="0">
            <x v="0"/>
          </reference>
          <reference field="20" count="1" selected="0">
            <x v="0"/>
          </reference>
          <reference field="21" count="1" selected="0">
            <x v="0"/>
          </reference>
          <reference field="22" count="1" selected="0">
            <x v="0"/>
          </reference>
          <reference field="23" count="1" selected="0">
            <x v="71"/>
          </reference>
          <reference field="24" count="1">
            <x v="51"/>
          </reference>
        </references>
      </pivotArea>
    </format>
    <format dxfId="1903">
      <pivotArea dataOnly="0" labelOnly="1" outline="0" fieldPosition="0">
        <references count="8">
          <reference field="0" count="1" selected="0">
            <x v="3"/>
          </reference>
          <reference field="1" count="1" selected="0">
            <x v="8"/>
          </reference>
          <reference field="5" count="1" selected="0">
            <x v="2"/>
          </reference>
          <reference field="20" count="1" selected="0">
            <x v="0"/>
          </reference>
          <reference field="21" count="1" selected="0">
            <x v="0"/>
          </reference>
          <reference field="22" count="1" selected="0">
            <x v="0"/>
          </reference>
          <reference field="23" count="1" selected="0">
            <x v="40"/>
          </reference>
          <reference field="24" count="1">
            <x v="82"/>
          </reference>
        </references>
      </pivotArea>
    </format>
    <format dxfId="1902">
      <pivotArea dataOnly="0" labelOnly="1" outline="0" fieldPosition="0">
        <references count="8">
          <reference field="0" count="1" selected="0">
            <x v="1"/>
          </reference>
          <reference field="1" count="1" selected="0">
            <x v="9"/>
          </reference>
          <reference field="5" count="1" selected="0">
            <x v="2"/>
          </reference>
          <reference field="20" count="1" selected="0">
            <x v="0"/>
          </reference>
          <reference field="21" count="1" selected="0">
            <x v="2"/>
          </reference>
          <reference field="22" count="1" selected="0">
            <x v="0"/>
          </reference>
          <reference field="23" count="1" selected="0">
            <x v="0"/>
          </reference>
          <reference field="24" count="1">
            <x v="80"/>
          </reference>
        </references>
      </pivotArea>
    </format>
    <format dxfId="1901">
      <pivotArea dataOnly="0" labelOnly="1" outline="0" fieldPosition="0">
        <references count="8">
          <reference field="0" count="1" selected="0">
            <x v="3"/>
          </reference>
          <reference field="1" count="1" selected="0">
            <x v="11"/>
          </reference>
          <reference field="5" count="1" selected="0">
            <x v="2"/>
          </reference>
          <reference field="20" count="1" selected="0">
            <x v="0"/>
          </reference>
          <reference field="21" count="1" selected="0">
            <x v="0"/>
          </reference>
          <reference field="22" count="1" selected="0">
            <x v="0"/>
          </reference>
          <reference field="23" count="1" selected="0">
            <x v="23"/>
          </reference>
          <reference field="24" count="1">
            <x v="40"/>
          </reference>
        </references>
      </pivotArea>
    </format>
    <format dxfId="1900">
      <pivotArea dataOnly="0" labelOnly="1" outline="0" fieldPosition="0">
        <references count="8">
          <reference field="0" count="1" selected="0">
            <x v="3"/>
          </reference>
          <reference field="1" count="1" selected="0">
            <x v="12"/>
          </reference>
          <reference field="5" count="1" selected="0">
            <x v="2"/>
          </reference>
          <reference field="20" count="1" selected="0">
            <x v="0"/>
          </reference>
          <reference field="21" count="1" selected="0">
            <x v="0"/>
          </reference>
          <reference field="22" count="1" selected="0">
            <x v="0"/>
          </reference>
          <reference field="23" count="1" selected="0">
            <x v="93"/>
          </reference>
          <reference field="24" count="1">
            <x v="19"/>
          </reference>
        </references>
      </pivotArea>
    </format>
    <format dxfId="1899">
      <pivotArea dataOnly="0" labelOnly="1" outline="0" fieldPosition="0">
        <references count="8">
          <reference field="0" count="1" selected="0">
            <x v="3"/>
          </reference>
          <reference field="1" count="1" selected="0">
            <x v="13"/>
          </reference>
          <reference field="5" count="1" selected="0">
            <x v="2"/>
          </reference>
          <reference field="20" count="1" selected="0">
            <x v="0"/>
          </reference>
          <reference field="21" count="1" selected="0">
            <x v="0"/>
          </reference>
          <reference field="22" count="1" selected="0">
            <x v="0"/>
          </reference>
          <reference field="23" count="1" selected="0">
            <x v="25"/>
          </reference>
          <reference field="24" count="1">
            <x v="37"/>
          </reference>
        </references>
      </pivotArea>
    </format>
    <format dxfId="1898">
      <pivotArea dataOnly="0" labelOnly="1" outline="0" fieldPosition="0">
        <references count="8">
          <reference field="0" count="1" selected="0">
            <x v="1"/>
          </reference>
          <reference field="1" count="1" selected="0">
            <x v="14"/>
          </reference>
          <reference field="5" count="1" selected="0">
            <x v="2"/>
          </reference>
          <reference field="20" count="1" selected="0">
            <x v="0"/>
          </reference>
          <reference field="21" count="1" selected="0">
            <x v="10"/>
          </reference>
          <reference field="22" count="1" selected="0">
            <x v="0"/>
          </reference>
          <reference field="23" count="1" selected="0">
            <x v="0"/>
          </reference>
          <reference field="24" count="1">
            <x v="80"/>
          </reference>
        </references>
      </pivotArea>
    </format>
    <format dxfId="1897">
      <pivotArea dataOnly="0" labelOnly="1" outline="0" fieldPosition="0">
        <references count="8">
          <reference field="0" count="1" selected="0">
            <x v="3"/>
          </reference>
          <reference field="1" count="1" selected="0">
            <x v="16"/>
          </reference>
          <reference field="5" count="1" selected="0">
            <x v="2"/>
          </reference>
          <reference field="20" count="1" selected="0">
            <x v="0"/>
          </reference>
          <reference field="21" count="1" selected="0">
            <x v="0"/>
          </reference>
          <reference field="22" count="1" selected="0">
            <x v="0"/>
          </reference>
          <reference field="23" count="1" selected="0">
            <x v="15"/>
          </reference>
          <reference field="24" count="1">
            <x v="37"/>
          </reference>
        </references>
      </pivotArea>
    </format>
    <format dxfId="1896">
      <pivotArea dataOnly="0" labelOnly="1" outline="0" fieldPosition="0">
        <references count="8">
          <reference field="0" count="1" selected="0">
            <x v="3"/>
          </reference>
          <reference field="1" count="1" selected="0">
            <x v="17"/>
          </reference>
          <reference field="5" count="1" selected="0">
            <x v="2"/>
          </reference>
          <reference field="20" count="1" selected="0">
            <x v="0"/>
          </reference>
          <reference field="21" count="1" selected="0">
            <x v="0"/>
          </reference>
          <reference field="22" count="1" selected="0">
            <x v="0"/>
          </reference>
          <reference field="23" count="1" selected="0">
            <x v="21"/>
          </reference>
          <reference field="24" count="1">
            <x v="20"/>
          </reference>
        </references>
      </pivotArea>
    </format>
    <format dxfId="1895">
      <pivotArea dataOnly="0" labelOnly="1" outline="0" fieldPosition="0">
        <references count="8">
          <reference field="0" count="1" selected="0">
            <x v="3"/>
          </reference>
          <reference field="1" count="1" selected="0">
            <x v="18"/>
          </reference>
          <reference field="5" count="1" selected="0">
            <x v="2"/>
          </reference>
          <reference field="20" count="1" selected="0">
            <x v="0"/>
          </reference>
          <reference field="21" count="1" selected="0">
            <x v="0"/>
          </reference>
          <reference field="22" count="1" selected="0">
            <x v="0"/>
          </reference>
          <reference field="23" count="1" selected="0">
            <x v="20"/>
          </reference>
          <reference field="24" count="1">
            <x v="2"/>
          </reference>
        </references>
      </pivotArea>
    </format>
    <format dxfId="1894">
      <pivotArea dataOnly="0" labelOnly="1" outline="0" fieldPosition="0">
        <references count="8">
          <reference field="0" count="1" selected="0">
            <x v="2"/>
          </reference>
          <reference field="1" count="1" selected="0">
            <x v="19"/>
          </reference>
          <reference field="5" count="1" selected="0">
            <x v="2"/>
          </reference>
          <reference field="20" count="1" selected="0">
            <x v="0"/>
          </reference>
          <reference field="21" count="1" selected="0">
            <x v="0"/>
          </reference>
          <reference field="22" count="1" selected="0">
            <x v="28"/>
          </reference>
          <reference field="23" count="1" selected="0">
            <x v="0"/>
          </reference>
          <reference field="24" count="1">
            <x v="80"/>
          </reference>
        </references>
      </pivotArea>
    </format>
    <format dxfId="1893">
      <pivotArea dataOnly="0" labelOnly="1" outline="0" fieldPosition="0">
        <references count="8">
          <reference field="0" count="1" selected="0">
            <x v="3"/>
          </reference>
          <reference field="1" count="1" selected="0">
            <x v="20"/>
          </reference>
          <reference field="5" count="1" selected="0">
            <x v="2"/>
          </reference>
          <reference field="20" count="1" selected="0">
            <x v="0"/>
          </reference>
          <reference field="21" count="1" selected="0">
            <x v="0"/>
          </reference>
          <reference field="22" count="1" selected="0">
            <x v="0"/>
          </reference>
          <reference field="23" count="1" selected="0">
            <x v="100"/>
          </reference>
          <reference field="24" count="1">
            <x v="77"/>
          </reference>
        </references>
      </pivotArea>
    </format>
    <format dxfId="1892">
      <pivotArea dataOnly="0" labelOnly="1" outline="0" fieldPosition="0">
        <references count="8">
          <reference field="0" count="1" selected="0">
            <x v="2"/>
          </reference>
          <reference field="1" count="1" selected="0">
            <x v="21"/>
          </reference>
          <reference field="5" count="1" selected="0">
            <x v="2"/>
          </reference>
          <reference field="20" count="1" selected="0">
            <x v="0"/>
          </reference>
          <reference field="21" count="1" selected="0">
            <x v="0"/>
          </reference>
          <reference field="22" count="1" selected="0">
            <x v="21"/>
          </reference>
          <reference field="23" count="1" selected="0">
            <x v="0"/>
          </reference>
          <reference field="24" count="1">
            <x v="80"/>
          </reference>
        </references>
      </pivotArea>
    </format>
    <format dxfId="1891">
      <pivotArea dataOnly="0" labelOnly="1" outline="0" fieldPosition="0">
        <references count="8">
          <reference field="0" count="1" selected="0">
            <x v="3"/>
          </reference>
          <reference field="1" count="1" selected="0">
            <x v="22"/>
          </reference>
          <reference field="5" count="1" selected="0">
            <x v="2"/>
          </reference>
          <reference field="20" count="1" selected="0">
            <x v="0"/>
          </reference>
          <reference field="21" count="1" selected="0">
            <x v="0"/>
          </reference>
          <reference field="22" count="1" selected="0">
            <x v="0"/>
          </reference>
          <reference field="23" count="1" selected="0">
            <x v="103"/>
          </reference>
          <reference field="24" count="1">
            <x v="2"/>
          </reference>
        </references>
      </pivotArea>
    </format>
    <format dxfId="1890">
      <pivotArea dataOnly="0" labelOnly="1" outline="0" fieldPosition="0">
        <references count="8">
          <reference field="0" count="1" selected="0">
            <x v="1"/>
          </reference>
          <reference field="1" count="1" selected="0">
            <x v="24"/>
          </reference>
          <reference field="5" count="1" selected="0">
            <x v="2"/>
          </reference>
          <reference field="20" count="1" selected="0">
            <x v="0"/>
          </reference>
          <reference field="21" count="1" selected="0">
            <x v="9"/>
          </reference>
          <reference field="22" count="1" selected="0">
            <x v="0"/>
          </reference>
          <reference field="23" count="1" selected="0">
            <x v="0"/>
          </reference>
          <reference field="24" count="1">
            <x v="80"/>
          </reference>
        </references>
      </pivotArea>
    </format>
    <format dxfId="1889">
      <pivotArea dataOnly="0" labelOnly="1" outline="0" fieldPosition="0">
        <references count="8">
          <reference field="0" count="1" selected="0">
            <x v="3"/>
          </reference>
          <reference field="1" count="1" selected="0">
            <x v="26"/>
          </reference>
          <reference field="5" count="1" selected="0">
            <x v="2"/>
          </reference>
          <reference field="20" count="1" selected="0">
            <x v="0"/>
          </reference>
          <reference field="21" count="1" selected="0">
            <x v="0"/>
          </reference>
          <reference field="22" count="1" selected="0">
            <x v="0"/>
          </reference>
          <reference field="23" count="1" selected="0">
            <x v="66"/>
          </reference>
          <reference field="24" count="1">
            <x v="19"/>
          </reference>
        </references>
      </pivotArea>
    </format>
    <format dxfId="1888">
      <pivotArea dataOnly="0" labelOnly="1" outline="0" fieldPosition="0">
        <references count="8">
          <reference field="0" count="1" selected="0">
            <x v="3"/>
          </reference>
          <reference field="1" count="1" selected="0">
            <x v="27"/>
          </reference>
          <reference field="5" count="1" selected="0">
            <x v="2"/>
          </reference>
          <reference field="20" count="1" selected="0">
            <x v="0"/>
          </reference>
          <reference field="21" count="1" selected="0">
            <x v="0"/>
          </reference>
          <reference field="22" count="1" selected="0">
            <x v="0"/>
          </reference>
          <reference field="23" count="1" selected="0">
            <x v="39"/>
          </reference>
          <reference field="24" count="1">
            <x v="46"/>
          </reference>
        </references>
      </pivotArea>
    </format>
    <format dxfId="1887">
      <pivotArea dataOnly="0" labelOnly="1" outline="0" fieldPosition="0">
        <references count="8">
          <reference field="0" count="1" selected="0">
            <x v="3"/>
          </reference>
          <reference field="1" count="1" selected="0">
            <x v="28"/>
          </reference>
          <reference field="5" count="1" selected="0">
            <x v="2"/>
          </reference>
          <reference field="20" count="1" selected="0">
            <x v="0"/>
          </reference>
          <reference field="21" count="1" selected="0">
            <x v="0"/>
          </reference>
          <reference field="22" count="1" selected="0">
            <x v="0"/>
          </reference>
          <reference field="23" count="1" selected="0">
            <x v="26"/>
          </reference>
          <reference field="24" count="1">
            <x v="20"/>
          </reference>
        </references>
      </pivotArea>
    </format>
    <format dxfId="1886">
      <pivotArea dataOnly="0" labelOnly="1" outline="0" fieldPosition="0">
        <references count="8">
          <reference field="0" count="1" selected="0">
            <x v="1"/>
          </reference>
          <reference field="1" count="1" selected="0">
            <x v="29"/>
          </reference>
          <reference field="5" count="1" selected="0">
            <x v="2"/>
          </reference>
          <reference field="20" count="1" selected="0">
            <x v="0"/>
          </reference>
          <reference field="21" count="1" selected="0">
            <x v="17"/>
          </reference>
          <reference field="22" count="1" selected="0">
            <x v="0"/>
          </reference>
          <reference field="23" count="1" selected="0">
            <x v="0"/>
          </reference>
          <reference field="24" count="1">
            <x v="80"/>
          </reference>
        </references>
      </pivotArea>
    </format>
    <format dxfId="1885">
      <pivotArea dataOnly="0" labelOnly="1" outline="0" fieldPosition="0">
        <references count="8">
          <reference field="0" count="1" selected="0">
            <x v="3"/>
          </reference>
          <reference field="1" count="1" selected="0">
            <x v="31"/>
          </reference>
          <reference field="5" count="1" selected="0">
            <x v="2"/>
          </reference>
          <reference field="20" count="1" selected="0">
            <x v="0"/>
          </reference>
          <reference field="21" count="1" selected="0">
            <x v="0"/>
          </reference>
          <reference field="22" count="1" selected="0">
            <x v="0"/>
          </reference>
          <reference field="23" count="1" selected="0">
            <x v="87"/>
          </reference>
          <reference field="24" count="1">
            <x v="65"/>
          </reference>
        </references>
      </pivotArea>
    </format>
    <format dxfId="1884">
      <pivotArea dataOnly="0" labelOnly="1" outline="0" fieldPosition="0">
        <references count="8">
          <reference field="0" count="1" selected="0">
            <x v="3"/>
          </reference>
          <reference field="1" count="1" selected="0">
            <x v="32"/>
          </reference>
          <reference field="5" count="1" selected="0">
            <x v="2"/>
          </reference>
          <reference field="20" count="1" selected="0">
            <x v="0"/>
          </reference>
          <reference field="21" count="1" selected="0">
            <x v="0"/>
          </reference>
          <reference field="22" count="1" selected="0">
            <x v="0"/>
          </reference>
          <reference field="23" count="1" selected="0">
            <x v="72"/>
          </reference>
          <reference field="24" count="1">
            <x v="55"/>
          </reference>
        </references>
      </pivotArea>
    </format>
    <format dxfId="1883">
      <pivotArea dataOnly="0" labelOnly="1" outline="0" fieldPosition="0">
        <references count="8">
          <reference field="0" count="1" selected="0">
            <x v="3"/>
          </reference>
          <reference field="1" count="1" selected="0">
            <x v="33"/>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882">
      <pivotArea dataOnly="0" labelOnly="1" outline="0" fieldPosition="0">
        <references count="8">
          <reference field="0" count="1" selected="0">
            <x v="3"/>
          </reference>
          <reference field="1" count="1" selected="0">
            <x v="34"/>
          </reference>
          <reference field="5" count="1" selected="0">
            <x v="2"/>
          </reference>
          <reference field="20" count="1" selected="0">
            <x v="0"/>
          </reference>
          <reference field="21" count="1" selected="0">
            <x v="0"/>
          </reference>
          <reference field="22" count="1" selected="0">
            <x v="0"/>
          </reference>
          <reference field="23" count="1" selected="0">
            <x v="73"/>
          </reference>
          <reference field="24" count="1">
            <x v="55"/>
          </reference>
        </references>
      </pivotArea>
    </format>
    <format dxfId="1881">
      <pivotArea dataOnly="0" labelOnly="1" outline="0" fieldPosition="0">
        <references count="8">
          <reference field="0" count="1" selected="0">
            <x v="3"/>
          </reference>
          <reference field="1" count="1" selected="0">
            <x v="35"/>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880">
      <pivotArea dataOnly="0" labelOnly="1" outline="0" fieldPosition="0">
        <references count="8">
          <reference field="0" count="1" selected="0">
            <x v="3"/>
          </reference>
          <reference field="1" count="1" selected="0">
            <x v="36"/>
          </reference>
          <reference field="5" count="1" selected="0">
            <x v="2"/>
          </reference>
          <reference field="20" count="1" selected="0">
            <x v="0"/>
          </reference>
          <reference field="21" count="1" selected="0">
            <x v="0"/>
          </reference>
          <reference field="22" count="1" selected="0">
            <x v="0"/>
          </reference>
          <reference field="23" count="1" selected="0">
            <x v="75"/>
          </reference>
          <reference field="24" count="1">
            <x v="55"/>
          </reference>
        </references>
      </pivotArea>
    </format>
    <format dxfId="1879">
      <pivotArea dataOnly="0" labelOnly="1" outline="0" fieldPosition="0">
        <references count="8">
          <reference field="0" count="1" selected="0">
            <x v="3"/>
          </reference>
          <reference field="1" count="1" selected="0">
            <x v="37"/>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878">
      <pivotArea dataOnly="0" labelOnly="1" outline="0" fieldPosition="0">
        <references count="8">
          <reference field="0" count="1" selected="0">
            <x v="3"/>
          </reference>
          <reference field="1" count="1" selected="0">
            <x v="38"/>
          </reference>
          <reference field="5" count="1" selected="0">
            <x v="2"/>
          </reference>
          <reference field="20" count="1" selected="0">
            <x v="0"/>
          </reference>
          <reference field="21" count="1" selected="0">
            <x v="0"/>
          </reference>
          <reference field="22" count="1" selected="0">
            <x v="0"/>
          </reference>
          <reference field="23" count="1" selected="0">
            <x v="74"/>
          </reference>
          <reference field="24" count="1">
            <x v="55"/>
          </reference>
        </references>
      </pivotArea>
    </format>
    <format dxfId="1877">
      <pivotArea dataOnly="0" labelOnly="1" outline="0" fieldPosition="0">
        <references count="8">
          <reference field="0" count="1" selected="0">
            <x v="3"/>
          </reference>
          <reference field="1" count="1" selected="0">
            <x v="39"/>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876">
      <pivotArea dataOnly="0" labelOnly="1" outline="0" fieldPosition="0">
        <references count="8">
          <reference field="0" count="1" selected="0">
            <x v="3"/>
          </reference>
          <reference field="1" count="1" selected="0">
            <x v="40"/>
          </reference>
          <reference field="5" count="1" selected="0">
            <x v="2"/>
          </reference>
          <reference field="20" count="1" selected="0">
            <x v="0"/>
          </reference>
          <reference field="21" count="1" selected="0">
            <x v="0"/>
          </reference>
          <reference field="22" count="1" selected="0">
            <x v="0"/>
          </reference>
          <reference field="23" count="1" selected="0">
            <x v="14"/>
          </reference>
          <reference field="24" count="1">
            <x v="15"/>
          </reference>
        </references>
      </pivotArea>
    </format>
    <format dxfId="1875">
      <pivotArea dataOnly="0" labelOnly="1" outline="0" fieldPosition="0">
        <references count="8">
          <reference field="0" count="1" selected="0">
            <x v="1"/>
          </reference>
          <reference field="1" count="1" selected="0">
            <x v="41"/>
          </reference>
          <reference field="5" count="1" selected="0">
            <x v="2"/>
          </reference>
          <reference field="20" count="1" selected="0">
            <x v="0"/>
          </reference>
          <reference field="21" count="1" selected="0">
            <x v="8"/>
          </reference>
          <reference field="22" count="1" selected="0">
            <x v="0"/>
          </reference>
          <reference field="23" count="1" selected="0">
            <x v="0"/>
          </reference>
          <reference field="24" count="1">
            <x v="80"/>
          </reference>
        </references>
      </pivotArea>
    </format>
    <format dxfId="1874">
      <pivotArea dataOnly="0" labelOnly="1" outline="0" fieldPosition="0">
        <references count="8">
          <reference field="0" count="1" selected="0">
            <x v="3"/>
          </reference>
          <reference field="1" count="1" selected="0">
            <x v="42"/>
          </reference>
          <reference field="5" count="1" selected="0">
            <x v="2"/>
          </reference>
          <reference field="20" count="1" selected="0">
            <x v="0"/>
          </reference>
          <reference field="21" count="1" selected="0">
            <x v="0"/>
          </reference>
          <reference field="22" count="1" selected="0">
            <x v="0"/>
          </reference>
          <reference field="23" count="1" selected="0">
            <x v="104"/>
          </reference>
          <reference field="24" count="1">
            <x v="78"/>
          </reference>
        </references>
      </pivotArea>
    </format>
    <format dxfId="1873">
      <pivotArea dataOnly="0" labelOnly="1" outline="0" fieldPosition="0">
        <references count="8">
          <reference field="0" count="1" selected="0">
            <x v="1"/>
          </reference>
          <reference field="1" count="1" selected="0">
            <x v="43"/>
          </reference>
          <reference field="5" count="1" selected="0">
            <x v="2"/>
          </reference>
          <reference field="20" count="1" selected="0">
            <x v="0"/>
          </reference>
          <reference field="21" count="1" selected="0">
            <x v="16"/>
          </reference>
          <reference field="22" count="1" selected="0">
            <x v="0"/>
          </reference>
          <reference field="23" count="1" selected="0">
            <x v="0"/>
          </reference>
          <reference field="24" count="1">
            <x v="80"/>
          </reference>
        </references>
      </pivotArea>
    </format>
    <format dxfId="1872">
      <pivotArea dataOnly="0" labelOnly="1" outline="0" fieldPosition="0">
        <references count="8">
          <reference field="0" count="1" selected="0">
            <x v="3"/>
          </reference>
          <reference field="1" count="1" selected="0">
            <x v="44"/>
          </reference>
          <reference field="5" count="1" selected="0">
            <x v="2"/>
          </reference>
          <reference field="20" count="1" selected="0">
            <x v="0"/>
          </reference>
          <reference field="21" count="1" selected="0">
            <x v="0"/>
          </reference>
          <reference field="22" count="1" selected="0">
            <x v="0"/>
          </reference>
          <reference field="23" count="1" selected="0">
            <x v="63"/>
          </reference>
          <reference field="24" count="1">
            <x v="83"/>
          </reference>
        </references>
      </pivotArea>
    </format>
    <format dxfId="1871">
      <pivotArea dataOnly="0" labelOnly="1" outline="0" fieldPosition="0">
        <references count="8">
          <reference field="0" count="1" selected="0">
            <x v="0"/>
          </reference>
          <reference field="1" count="1" selected="0">
            <x v="48"/>
          </reference>
          <reference field="5" count="1" selected="0">
            <x v="2"/>
          </reference>
          <reference field="20" count="1" selected="0">
            <x v="4"/>
          </reference>
          <reference field="21" count="1" selected="0">
            <x v="0"/>
          </reference>
          <reference field="22" count="1" selected="0">
            <x v="0"/>
          </reference>
          <reference field="23" count="1" selected="0">
            <x v="0"/>
          </reference>
          <reference field="24" count="1">
            <x v="80"/>
          </reference>
        </references>
      </pivotArea>
    </format>
    <format dxfId="1870">
      <pivotArea dataOnly="0" labelOnly="1" outline="0" fieldPosition="0">
        <references count="8">
          <reference field="0" count="1" selected="0">
            <x v="3"/>
          </reference>
          <reference field="1" count="1" selected="0">
            <x v="51"/>
          </reference>
          <reference field="5" count="1" selected="0">
            <x v="2"/>
          </reference>
          <reference field="20" count="1" selected="0">
            <x v="0"/>
          </reference>
          <reference field="21" count="1" selected="0">
            <x v="0"/>
          </reference>
          <reference field="22" count="1" selected="0">
            <x v="0"/>
          </reference>
          <reference field="23" count="1" selected="0">
            <x v="19"/>
          </reference>
          <reference field="24" count="1">
            <x v="3"/>
          </reference>
        </references>
      </pivotArea>
    </format>
    <format dxfId="1869">
      <pivotArea dataOnly="0" labelOnly="1" outline="0" fieldPosition="0">
        <references count="8">
          <reference field="0" count="1" selected="0">
            <x v="1"/>
          </reference>
          <reference field="1" count="1" selected="0">
            <x v="52"/>
          </reference>
          <reference field="5" count="1" selected="0">
            <x v="2"/>
          </reference>
          <reference field="20" count="1" selected="0">
            <x v="0"/>
          </reference>
          <reference field="21" count="1" selected="0">
            <x v="13"/>
          </reference>
          <reference field="22" count="1" selected="0">
            <x v="0"/>
          </reference>
          <reference field="23" count="1" selected="0">
            <x v="0"/>
          </reference>
          <reference field="24" count="1">
            <x v="80"/>
          </reference>
        </references>
      </pivotArea>
    </format>
    <format dxfId="1868">
      <pivotArea dataOnly="0" labelOnly="1" outline="0" fieldPosition="0">
        <references count="8">
          <reference field="0" count="1" selected="0">
            <x v="3"/>
          </reference>
          <reference field="1" count="1" selected="0">
            <x v="54"/>
          </reference>
          <reference field="5" count="1" selected="0">
            <x v="2"/>
          </reference>
          <reference field="20" count="1" selected="0">
            <x v="0"/>
          </reference>
          <reference field="21" count="1" selected="0">
            <x v="0"/>
          </reference>
          <reference field="22" count="1" selected="0">
            <x v="0"/>
          </reference>
          <reference field="23" count="1" selected="0">
            <x v="32"/>
          </reference>
          <reference field="24" count="1">
            <x v="70"/>
          </reference>
        </references>
      </pivotArea>
    </format>
    <format dxfId="1867">
      <pivotArea dataOnly="0" labelOnly="1" outline="0" fieldPosition="0">
        <references count="8">
          <reference field="0" count="1" selected="0">
            <x v="3"/>
          </reference>
          <reference field="1" count="1" selected="0">
            <x v="55"/>
          </reference>
          <reference field="5" count="1" selected="0">
            <x v="2"/>
          </reference>
          <reference field="20" count="1" selected="0">
            <x v="0"/>
          </reference>
          <reference field="21" count="1" selected="0">
            <x v="0"/>
          </reference>
          <reference field="22" count="1" selected="0">
            <x v="0"/>
          </reference>
          <reference field="23" count="1" selected="0">
            <x v="53"/>
          </reference>
          <reference field="24" count="1">
            <x v="53"/>
          </reference>
        </references>
      </pivotArea>
    </format>
    <format dxfId="1866">
      <pivotArea dataOnly="0" labelOnly="1" outline="0" fieldPosition="0">
        <references count="8">
          <reference field="0" count="1" selected="0">
            <x v="1"/>
          </reference>
          <reference field="1" count="1" selected="0">
            <x v="57"/>
          </reference>
          <reference field="5" count="1" selected="0">
            <x v="2"/>
          </reference>
          <reference field="20" count="1" selected="0">
            <x v="0"/>
          </reference>
          <reference field="21" count="1" selected="0">
            <x v="3"/>
          </reference>
          <reference field="22" count="1" selected="0">
            <x v="0"/>
          </reference>
          <reference field="23" count="1" selected="0">
            <x v="0"/>
          </reference>
          <reference field="24" count="1">
            <x v="80"/>
          </reference>
        </references>
      </pivotArea>
    </format>
    <format dxfId="1865">
      <pivotArea dataOnly="0" labelOnly="1" outline="0" fieldPosition="0">
        <references count="8">
          <reference field="0" count="1" selected="0">
            <x v="3"/>
          </reference>
          <reference field="1" count="1" selected="0">
            <x v="59"/>
          </reference>
          <reference field="5" count="1" selected="0">
            <x v="2"/>
          </reference>
          <reference field="20" count="1" selected="0">
            <x v="0"/>
          </reference>
          <reference field="21" count="1" selected="0">
            <x v="0"/>
          </reference>
          <reference field="22" count="1" selected="0">
            <x v="0"/>
          </reference>
          <reference field="23" count="1" selected="0">
            <x v="107"/>
          </reference>
          <reference field="24" count="1">
            <x v="67"/>
          </reference>
        </references>
      </pivotArea>
    </format>
    <format dxfId="1864">
      <pivotArea dataOnly="0" labelOnly="1" outline="0" fieldPosition="0">
        <references count="8">
          <reference field="0" count="1" selected="0">
            <x v="2"/>
          </reference>
          <reference field="1" count="1" selected="0">
            <x v="61"/>
          </reference>
          <reference field="5" count="1" selected="0">
            <x v="2"/>
          </reference>
          <reference field="20" count="1" selected="0">
            <x v="0"/>
          </reference>
          <reference field="21" count="1" selected="0">
            <x v="0"/>
          </reference>
          <reference field="22" count="1" selected="0">
            <x v="16"/>
          </reference>
          <reference field="23" count="1" selected="0">
            <x v="0"/>
          </reference>
          <reference field="24" count="1">
            <x v="80"/>
          </reference>
        </references>
      </pivotArea>
    </format>
    <format dxfId="1863">
      <pivotArea dataOnly="0" labelOnly="1" outline="0" fieldPosition="0">
        <references count="8">
          <reference field="0" count="1" selected="0">
            <x v="3"/>
          </reference>
          <reference field="1" count="1" selected="0">
            <x v="62"/>
          </reference>
          <reference field="5" count="1" selected="0">
            <x v="2"/>
          </reference>
          <reference field="20" count="1" selected="0">
            <x v="0"/>
          </reference>
          <reference field="21" count="1" selected="0">
            <x v="0"/>
          </reference>
          <reference field="22" count="1" selected="0">
            <x v="0"/>
          </reference>
          <reference field="23" count="1" selected="0">
            <x v="109"/>
          </reference>
          <reference field="24" count="1">
            <x v="67"/>
          </reference>
        </references>
      </pivotArea>
    </format>
    <format dxfId="1862">
      <pivotArea dataOnly="0" labelOnly="1" outline="0" fieldPosition="0">
        <references count="8">
          <reference field="0" count="1" selected="0">
            <x v="3"/>
          </reference>
          <reference field="1" count="1" selected="0">
            <x v="64"/>
          </reference>
          <reference field="5" count="1" selected="0">
            <x v="2"/>
          </reference>
          <reference field="20" count="1" selected="0">
            <x v="0"/>
          </reference>
          <reference field="21" count="1" selected="0">
            <x v="0"/>
          </reference>
          <reference field="22" count="1" selected="0">
            <x v="0"/>
          </reference>
          <reference field="23" count="1" selected="0">
            <x v="59"/>
          </reference>
          <reference field="24" count="1">
            <x v="66"/>
          </reference>
        </references>
      </pivotArea>
    </format>
    <format dxfId="1861">
      <pivotArea dataOnly="0" labelOnly="1" outline="0" fieldPosition="0">
        <references count="8">
          <reference field="0" count="1" selected="0">
            <x v="3"/>
          </reference>
          <reference field="1" count="1" selected="0">
            <x v="65"/>
          </reference>
          <reference field="5" count="1" selected="0">
            <x v="2"/>
          </reference>
          <reference field="20" count="1" selected="0">
            <x v="0"/>
          </reference>
          <reference field="21" count="1" selected="0">
            <x v="0"/>
          </reference>
          <reference field="22" count="1" selected="0">
            <x v="0"/>
          </reference>
          <reference field="23" count="1" selected="0">
            <x v="101"/>
          </reference>
          <reference field="24" count="1">
            <x v="45"/>
          </reference>
        </references>
      </pivotArea>
    </format>
    <format dxfId="1860">
      <pivotArea dataOnly="0" labelOnly="1" outline="0" fieldPosition="0">
        <references count="8">
          <reference field="0" count="1" selected="0">
            <x v="3"/>
          </reference>
          <reference field="1" count="1" selected="0">
            <x v="66"/>
          </reference>
          <reference field="5" count="1" selected="0">
            <x v="2"/>
          </reference>
          <reference field="20" count="1" selected="0">
            <x v="0"/>
          </reference>
          <reference field="21" count="1" selected="0">
            <x v="0"/>
          </reference>
          <reference field="22" count="1" selected="0">
            <x v="0"/>
          </reference>
          <reference field="23" count="1" selected="0">
            <x v="56"/>
          </reference>
          <reference field="24" count="1">
            <x v="68"/>
          </reference>
        </references>
      </pivotArea>
    </format>
    <format dxfId="1859">
      <pivotArea dataOnly="0" labelOnly="1" outline="0" fieldPosition="0">
        <references count="8">
          <reference field="0" count="1" selected="0">
            <x v="2"/>
          </reference>
          <reference field="1" count="1" selected="0">
            <x v="69"/>
          </reference>
          <reference field="5" count="1" selected="0">
            <x v="2"/>
          </reference>
          <reference field="20" count="1" selected="0">
            <x v="0"/>
          </reference>
          <reference field="21" count="1" selected="0">
            <x v="0"/>
          </reference>
          <reference field="22" count="1" selected="0">
            <x v="25"/>
          </reference>
          <reference field="23" count="1" selected="0">
            <x v="0"/>
          </reference>
          <reference field="24" count="1">
            <x v="80"/>
          </reference>
        </references>
      </pivotArea>
    </format>
    <format dxfId="1858">
      <pivotArea dataOnly="0" labelOnly="1" outline="0" fieldPosition="0">
        <references count="8">
          <reference field="0" count="1" selected="0">
            <x v="3"/>
          </reference>
          <reference field="1" count="1" selected="0">
            <x v="70"/>
          </reference>
          <reference field="5" count="1" selected="0">
            <x v="2"/>
          </reference>
          <reference field="20" count="1" selected="0">
            <x v="0"/>
          </reference>
          <reference field="21" count="1" selected="0">
            <x v="0"/>
          </reference>
          <reference field="22" count="1" selected="0">
            <x v="0"/>
          </reference>
          <reference field="23" count="1" selected="0">
            <x v="67"/>
          </reference>
          <reference field="24" count="1">
            <x v="67"/>
          </reference>
        </references>
      </pivotArea>
    </format>
    <format dxfId="1857">
      <pivotArea dataOnly="0" labelOnly="1" outline="0" fieldPosition="0">
        <references count="8">
          <reference field="0" count="1" selected="0">
            <x v="3"/>
          </reference>
          <reference field="1" count="1" selected="0">
            <x v="73"/>
          </reference>
          <reference field="5" count="1" selected="0">
            <x v="2"/>
          </reference>
          <reference field="20" count="1" selected="0">
            <x v="0"/>
          </reference>
          <reference field="21" count="1" selected="0">
            <x v="0"/>
          </reference>
          <reference field="22" count="1" selected="0">
            <x v="0"/>
          </reference>
          <reference field="23" count="1" selected="0">
            <x v="60"/>
          </reference>
          <reference field="24" count="1">
            <x v="39"/>
          </reference>
        </references>
      </pivotArea>
    </format>
    <format dxfId="1856">
      <pivotArea dataOnly="0" labelOnly="1" outline="0" fieldPosition="0">
        <references count="8">
          <reference field="0" count="1" selected="0">
            <x v="3"/>
          </reference>
          <reference field="1" count="1" selected="0">
            <x v="74"/>
          </reference>
          <reference field="5" count="1" selected="0">
            <x v="2"/>
          </reference>
          <reference field="20" count="1" selected="0">
            <x v="0"/>
          </reference>
          <reference field="21" count="1" selected="0">
            <x v="0"/>
          </reference>
          <reference field="22" count="1" selected="0">
            <x v="0"/>
          </reference>
          <reference field="23" count="1" selected="0">
            <x v="94"/>
          </reference>
          <reference field="24" count="1">
            <x v="76"/>
          </reference>
        </references>
      </pivotArea>
    </format>
    <format dxfId="1855">
      <pivotArea dataOnly="0" labelOnly="1" outline="0" fieldPosition="0">
        <references count="8">
          <reference field="0" count="1" selected="0">
            <x v="3"/>
          </reference>
          <reference field="1" count="1" selected="0">
            <x v="75"/>
          </reference>
          <reference field="5" count="1" selected="0">
            <x v="2"/>
          </reference>
          <reference field="20" count="1" selected="0">
            <x v="0"/>
          </reference>
          <reference field="21" count="1" selected="0">
            <x v="0"/>
          </reference>
          <reference field="22" count="1" selected="0">
            <x v="0"/>
          </reference>
          <reference field="23" count="1" selected="0">
            <x v="112"/>
          </reference>
          <reference field="24" count="1">
            <x v="68"/>
          </reference>
        </references>
      </pivotArea>
    </format>
    <format dxfId="1854">
      <pivotArea dataOnly="0" labelOnly="1" outline="0" fieldPosition="0">
        <references count="8">
          <reference field="0" count="1" selected="0">
            <x v="3"/>
          </reference>
          <reference field="1" count="1" selected="0">
            <x v="76"/>
          </reference>
          <reference field="5" count="1" selected="0">
            <x v="2"/>
          </reference>
          <reference field="20" count="1" selected="0">
            <x v="0"/>
          </reference>
          <reference field="21" count="1" selected="0">
            <x v="0"/>
          </reference>
          <reference field="22" count="1" selected="0">
            <x v="0"/>
          </reference>
          <reference field="23" count="1" selected="0">
            <x v="58"/>
          </reference>
          <reference field="24" count="1">
            <x v="48"/>
          </reference>
        </references>
      </pivotArea>
    </format>
    <format dxfId="1853">
      <pivotArea dataOnly="0" labelOnly="1" outline="0" fieldPosition="0">
        <references count="8">
          <reference field="0" count="1" selected="0">
            <x v="1"/>
          </reference>
          <reference field="1" count="1" selected="0">
            <x v="78"/>
          </reference>
          <reference field="5" count="1" selected="0">
            <x v="2"/>
          </reference>
          <reference field="20" count="1" selected="0">
            <x v="0"/>
          </reference>
          <reference field="21" count="1" selected="0">
            <x v="11"/>
          </reference>
          <reference field="22" count="1" selected="0">
            <x v="0"/>
          </reference>
          <reference field="23" count="1" selected="0">
            <x v="0"/>
          </reference>
          <reference field="24" count="1">
            <x v="80"/>
          </reference>
        </references>
      </pivotArea>
    </format>
    <format dxfId="1852">
      <pivotArea dataOnly="0" labelOnly="1" outline="0" fieldPosition="0">
        <references count="8">
          <reference field="0" count="1" selected="0">
            <x v="3"/>
          </reference>
          <reference field="1" count="1" selected="0">
            <x v="80"/>
          </reference>
          <reference field="5" count="1" selected="0">
            <x v="2"/>
          </reference>
          <reference field="20" count="1" selected="0">
            <x v="0"/>
          </reference>
          <reference field="21" count="1" selected="0">
            <x v="0"/>
          </reference>
          <reference field="22" count="1" selected="0">
            <x v="0"/>
          </reference>
          <reference field="23" count="1" selected="0">
            <x v="37"/>
          </reference>
          <reference field="24" count="1">
            <x v="36"/>
          </reference>
        </references>
      </pivotArea>
    </format>
    <format dxfId="1851">
      <pivotArea dataOnly="0" labelOnly="1" outline="0" fieldPosition="0">
        <references count="8">
          <reference field="0" count="1" selected="0">
            <x v="2"/>
          </reference>
          <reference field="1" count="1" selected="0">
            <x v="90"/>
          </reference>
          <reference field="5" count="1" selected="0">
            <x v="2"/>
          </reference>
          <reference field="20" count="1" selected="0">
            <x v="0"/>
          </reference>
          <reference field="21" count="1" selected="0">
            <x v="0"/>
          </reference>
          <reference field="22" count="1" selected="0">
            <x v="29"/>
          </reference>
          <reference field="23" count="1" selected="0">
            <x v="0"/>
          </reference>
          <reference field="24" count="1">
            <x v="80"/>
          </reference>
        </references>
      </pivotArea>
    </format>
    <format dxfId="1850">
      <pivotArea dataOnly="0" labelOnly="1" outline="0" fieldPosition="0">
        <references count="8">
          <reference field="0" count="1" selected="0">
            <x v="3"/>
          </reference>
          <reference field="1" count="1" selected="0">
            <x v="91"/>
          </reference>
          <reference field="5" count="1" selected="0">
            <x v="2"/>
          </reference>
          <reference field="20" count="1" selected="0">
            <x v="0"/>
          </reference>
          <reference field="21" count="1" selected="0">
            <x v="0"/>
          </reference>
          <reference field="22" count="1" selected="0">
            <x v="0"/>
          </reference>
          <reference field="23" count="1" selected="0">
            <x v="37"/>
          </reference>
          <reference field="24" count="1">
            <x v="35"/>
          </reference>
        </references>
      </pivotArea>
    </format>
    <format dxfId="1849">
      <pivotArea dataOnly="0" labelOnly="1" outline="0" fieldPosition="0">
        <references count="8">
          <reference field="0" count="1" selected="0">
            <x v="2"/>
          </reference>
          <reference field="1" count="1" selected="0">
            <x v="101"/>
          </reference>
          <reference field="5" count="1" selected="0">
            <x v="2"/>
          </reference>
          <reference field="20" count="1" selected="0">
            <x v="0"/>
          </reference>
          <reference field="21" count="1" selected="0">
            <x v="0"/>
          </reference>
          <reference field="22" count="1" selected="0">
            <x v="10"/>
          </reference>
          <reference field="23" count="1" selected="0">
            <x v="0"/>
          </reference>
          <reference field="24" count="1">
            <x v="80"/>
          </reference>
        </references>
      </pivotArea>
    </format>
    <format dxfId="1848">
      <pivotArea dataOnly="0" labelOnly="1" outline="0" fieldPosition="0">
        <references count="8">
          <reference field="0" count="1" selected="0">
            <x v="3"/>
          </reference>
          <reference field="1" count="1" selected="0">
            <x v="102"/>
          </reference>
          <reference field="5" count="1" selected="0">
            <x v="2"/>
          </reference>
          <reference field="20" count="1" selected="0">
            <x v="0"/>
          </reference>
          <reference field="21" count="1" selected="0">
            <x v="0"/>
          </reference>
          <reference field="22" count="1" selected="0">
            <x v="0"/>
          </reference>
          <reference field="23" count="1" selected="0">
            <x v="54"/>
          </reference>
          <reference field="24" count="1">
            <x v="33"/>
          </reference>
        </references>
      </pivotArea>
    </format>
    <format dxfId="1847">
      <pivotArea dataOnly="0" labelOnly="1" outline="0" fieldPosition="0">
        <references count="8">
          <reference field="0" count="1" selected="0">
            <x v="3"/>
          </reference>
          <reference field="1" count="1" selected="0">
            <x v="103"/>
          </reference>
          <reference field="5" count="1" selected="0">
            <x v="2"/>
          </reference>
          <reference field="20" count="1" selected="0">
            <x v="0"/>
          </reference>
          <reference field="21" count="1" selected="0">
            <x v="0"/>
          </reference>
          <reference field="22" count="1" selected="0">
            <x v="0"/>
          </reference>
          <reference field="23" count="1" selected="0">
            <x v="49"/>
          </reference>
          <reference field="24" count="1">
            <x v="29"/>
          </reference>
        </references>
      </pivotArea>
    </format>
    <format dxfId="1846">
      <pivotArea dataOnly="0" labelOnly="1" outline="0" fieldPosition="0">
        <references count="8">
          <reference field="0" count="1" selected="0">
            <x v="3"/>
          </reference>
          <reference field="1" count="1" selected="0">
            <x v="104"/>
          </reference>
          <reference field="5" count="1" selected="0">
            <x v="2"/>
          </reference>
          <reference field="20" count="1" selected="0">
            <x v="0"/>
          </reference>
          <reference field="21" count="1" selected="0">
            <x v="0"/>
          </reference>
          <reference field="22" count="1" selected="0">
            <x v="0"/>
          </reference>
          <reference field="23" count="1" selected="0">
            <x v="51"/>
          </reference>
          <reference field="24" count="1">
            <x v="30"/>
          </reference>
        </references>
      </pivotArea>
    </format>
    <format dxfId="1845">
      <pivotArea dataOnly="0" labelOnly="1" outline="0" fieldPosition="0">
        <references count="8">
          <reference field="0" count="1" selected="0">
            <x v="3"/>
          </reference>
          <reference field="1" count="1" selected="0">
            <x v="105"/>
          </reference>
          <reference field="5" count="1" selected="0">
            <x v="2"/>
          </reference>
          <reference field="20" count="1" selected="0">
            <x v="0"/>
          </reference>
          <reference field="21" count="1" selected="0">
            <x v="0"/>
          </reference>
          <reference field="22" count="1" selected="0">
            <x v="0"/>
          </reference>
          <reference field="23" count="1" selected="0">
            <x v="48"/>
          </reference>
          <reference field="24" count="1">
            <x v="29"/>
          </reference>
        </references>
      </pivotArea>
    </format>
    <format dxfId="1844">
      <pivotArea dataOnly="0" labelOnly="1" outline="0" fieldPosition="0">
        <references count="8">
          <reference field="0" count="1" selected="0">
            <x v="3"/>
          </reference>
          <reference field="1" count="1" selected="0">
            <x v="106"/>
          </reference>
          <reference field="5" count="1" selected="0">
            <x v="2"/>
          </reference>
          <reference field="20" count="1" selected="0">
            <x v="0"/>
          </reference>
          <reference field="21" count="1" selected="0">
            <x v="0"/>
          </reference>
          <reference field="22" count="1" selected="0">
            <x v="0"/>
          </reference>
          <reference field="23" count="1" selected="0">
            <x v="50"/>
          </reference>
          <reference field="24" count="1">
            <x v="31"/>
          </reference>
        </references>
      </pivotArea>
    </format>
    <format dxfId="1843">
      <pivotArea dataOnly="0" labelOnly="1" outline="0" fieldPosition="0">
        <references count="8">
          <reference field="0" count="1" selected="0">
            <x v="3"/>
          </reference>
          <reference field="1" count="1" selected="0">
            <x v="107"/>
          </reference>
          <reference field="5" count="1" selected="0">
            <x v="2"/>
          </reference>
          <reference field="20" count="1" selected="0">
            <x v="0"/>
          </reference>
          <reference field="21" count="1" selected="0">
            <x v="0"/>
          </reference>
          <reference field="22" count="1" selected="0">
            <x v="0"/>
          </reference>
          <reference field="23" count="1" selected="0">
            <x v="3"/>
          </reference>
          <reference field="24" count="1">
            <x v="69"/>
          </reference>
        </references>
      </pivotArea>
    </format>
    <format dxfId="1842">
      <pivotArea dataOnly="0" labelOnly="1" outline="0" fieldPosition="0">
        <references count="8">
          <reference field="0" count="1" selected="0">
            <x v="3"/>
          </reference>
          <reference field="1" count="1" selected="0">
            <x v="108"/>
          </reference>
          <reference field="5" count="1" selected="0">
            <x v="2"/>
          </reference>
          <reference field="20" count="1" selected="0">
            <x v="0"/>
          </reference>
          <reference field="21" count="1" selected="0">
            <x v="0"/>
          </reference>
          <reference field="22" count="1" selected="0">
            <x v="0"/>
          </reference>
          <reference field="23" count="1" selected="0">
            <x v="82"/>
          </reference>
          <reference field="24" count="1">
            <x v="58"/>
          </reference>
        </references>
      </pivotArea>
    </format>
    <format dxfId="1841">
      <pivotArea dataOnly="0" labelOnly="1" outline="0" fieldPosition="0">
        <references count="8">
          <reference field="0" count="1" selected="0">
            <x v="3"/>
          </reference>
          <reference field="1" count="1" selected="0">
            <x v="109"/>
          </reference>
          <reference field="5" count="1" selected="0">
            <x v="2"/>
          </reference>
          <reference field="20" count="1" selected="0">
            <x v="0"/>
          </reference>
          <reference field="21" count="1" selected="0">
            <x v="0"/>
          </reference>
          <reference field="22" count="1" selected="0">
            <x v="0"/>
          </reference>
          <reference field="23" count="1" selected="0">
            <x v="95"/>
          </reference>
          <reference field="24" count="1">
            <x v="73"/>
          </reference>
        </references>
      </pivotArea>
    </format>
    <format dxfId="1840">
      <pivotArea dataOnly="0" labelOnly="1" outline="0" fieldPosition="0">
        <references count="8">
          <reference field="0" count="1" selected="0">
            <x v="3"/>
          </reference>
          <reference field="1" count="1" selected="0">
            <x v="110"/>
          </reference>
          <reference field="5" count="1" selected="0">
            <x v="2"/>
          </reference>
          <reference field="20" count="1" selected="0">
            <x v="0"/>
          </reference>
          <reference field="21" count="1" selected="0">
            <x v="0"/>
          </reference>
          <reference field="22" count="1" selected="0">
            <x v="0"/>
          </reference>
          <reference field="23" count="1" selected="0">
            <x v="83"/>
          </reference>
          <reference field="24" count="1">
            <x v="23"/>
          </reference>
        </references>
      </pivotArea>
    </format>
    <format dxfId="1839">
      <pivotArea dataOnly="0" labelOnly="1" outline="0" fieldPosition="0">
        <references count="8">
          <reference field="0" count="1" selected="0">
            <x v="2"/>
          </reference>
          <reference field="1" count="1" selected="0">
            <x v="111"/>
          </reference>
          <reference field="5" count="1" selected="0">
            <x v="2"/>
          </reference>
          <reference field="20" count="1" selected="0">
            <x v="0"/>
          </reference>
          <reference field="21" count="1" selected="0">
            <x v="0"/>
          </reference>
          <reference field="22" count="1" selected="0">
            <x v="18"/>
          </reference>
          <reference field="23" count="1" selected="0">
            <x v="0"/>
          </reference>
          <reference field="24" count="1">
            <x v="80"/>
          </reference>
        </references>
      </pivotArea>
    </format>
    <format dxfId="1838">
      <pivotArea dataOnly="0" labelOnly="1" outline="0" fieldPosition="0">
        <references count="8">
          <reference field="0" count="1" selected="0">
            <x v="3"/>
          </reference>
          <reference field="1" count="1" selected="0">
            <x v="112"/>
          </reference>
          <reference field="5" count="1" selected="0">
            <x v="2"/>
          </reference>
          <reference field="20" count="1" selected="0">
            <x v="0"/>
          </reference>
          <reference field="21" count="1" selected="0">
            <x v="0"/>
          </reference>
          <reference field="22" count="1" selected="0">
            <x v="0"/>
          </reference>
          <reference field="23" count="1" selected="0">
            <x v="52"/>
          </reference>
          <reference field="24" count="1">
            <x v="49"/>
          </reference>
        </references>
      </pivotArea>
    </format>
    <format dxfId="1837">
      <pivotArea dataOnly="0" labelOnly="1" outline="0" fieldPosition="0">
        <references count="8">
          <reference field="0" count="1" selected="0">
            <x v="3"/>
          </reference>
          <reference field="1" count="1" selected="0">
            <x v="113"/>
          </reference>
          <reference field="5" count="1" selected="0">
            <x v="2"/>
          </reference>
          <reference field="20" count="1" selected="0">
            <x v="0"/>
          </reference>
          <reference field="21" count="1" selected="0">
            <x v="0"/>
          </reference>
          <reference field="22" count="1" selected="0">
            <x v="0"/>
          </reference>
          <reference field="23" count="1" selected="0">
            <x v="24"/>
          </reference>
          <reference field="24" count="1">
            <x v="20"/>
          </reference>
        </references>
      </pivotArea>
    </format>
    <format dxfId="1836">
      <pivotArea dataOnly="0" labelOnly="1" outline="0" fieldPosition="0">
        <references count="8">
          <reference field="0" count="1" selected="0">
            <x v="3"/>
          </reference>
          <reference field="1" count="1" selected="0">
            <x v="114"/>
          </reference>
          <reference field="5" count="1" selected="0">
            <x v="2"/>
          </reference>
          <reference field="20" count="1" selected="0">
            <x v="0"/>
          </reference>
          <reference field="21" count="1" selected="0">
            <x v="0"/>
          </reference>
          <reference field="22" count="1" selected="0">
            <x v="0"/>
          </reference>
          <reference field="23" count="1" selected="0">
            <x v="77"/>
          </reference>
          <reference field="24" count="1">
            <x v="13"/>
          </reference>
        </references>
      </pivotArea>
    </format>
    <format dxfId="1835">
      <pivotArea dataOnly="0" labelOnly="1" outline="0" fieldPosition="0">
        <references count="8">
          <reference field="0" count="1" selected="0">
            <x v="3"/>
          </reference>
          <reference field="1" count="1" selected="0">
            <x v="115"/>
          </reference>
          <reference field="5" count="1" selected="0">
            <x v="2"/>
          </reference>
          <reference field="20" count="1" selected="0">
            <x v="0"/>
          </reference>
          <reference field="21" count="1" selected="0">
            <x v="0"/>
          </reference>
          <reference field="22" count="1" selected="0">
            <x v="0"/>
          </reference>
          <reference field="23" count="1" selected="0">
            <x v="29"/>
          </reference>
          <reference field="24" count="1">
            <x v="14"/>
          </reference>
        </references>
      </pivotArea>
    </format>
    <format dxfId="1834">
      <pivotArea dataOnly="0" labelOnly="1" outline="0" fieldPosition="0">
        <references count="8">
          <reference field="0" count="1" selected="0">
            <x v="3"/>
          </reference>
          <reference field="1" count="1" selected="0">
            <x v="116"/>
          </reference>
          <reference field="5" count="1" selected="0">
            <x v="2"/>
          </reference>
          <reference field="20" count="1" selected="0">
            <x v="0"/>
          </reference>
          <reference field="21" count="1" selected="0">
            <x v="0"/>
          </reference>
          <reference field="22" count="1" selected="0">
            <x v="0"/>
          </reference>
          <reference field="23" count="1" selected="0">
            <x v="22"/>
          </reference>
          <reference field="24" count="1">
            <x v="47"/>
          </reference>
        </references>
      </pivotArea>
    </format>
    <format dxfId="1833">
      <pivotArea dataOnly="0" labelOnly="1" outline="0" fieldPosition="0">
        <references count="8">
          <reference field="0" count="1" selected="0">
            <x v="2"/>
          </reference>
          <reference field="1" count="1" selected="0">
            <x v="117"/>
          </reference>
          <reference field="5" count="1" selected="0">
            <x v="2"/>
          </reference>
          <reference field="20" count="1" selected="0">
            <x v="0"/>
          </reference>
          <reference field="21" count="1" selected="0">
            <x v="0"/>
          </reference>
          <reference field="22" count="1" selected="0">
            <x v="11"/>
          </reference>
          <reference field="23" count="1" selected="0">
            <x v="0"/>
          </reference>
          <reference field="24" count="1">
            <x v="80"/>
          </reference>
        </references>
      </pivotArea>
    </format>
    <format dxfId="1832">
      <pivotArea dataOnly="0" labelOnly="1" outline="0" fieldPosition="0">
        <references count="8">
          <reference field="0" count="1" selected="0">
            <x v="3"/>
          </reference>
          <reference field="1" count="1" selected="0">
            <x v="118"/>
          </reference>
          <reference field="5" count="1" selected="0">
            <x v="2"/>
          </reference>
          <reference field="20" count="1" selected="0">
            <x v="0"/>
          </reference>
          <reference field="21" count="1" selected="0">
            <x v="0"/>
          </reference>
          <reference field="22" count="1" selected="0">
            <x v="0"/>
          </reference>
          <reference field="23" count="1" selected="0">
            <x v="78"/>
          </reference>
          <reference field="24" count="1">
            <x v="68"/>
          </reference>
        </references>
      </pivotArea>
    </format>
    <format dxfId="1831">
      <pivotArea dataOnly="0" labelOnly="1" outline="0" fieldPosition="0">
        <references count="8">
          <reference field="0" count="1" selected="0">
            <x v="3"/>
          </reference>
          <reference field="1" count="1" selected="0">
            <x v="119"/>
          </reference>
          <reference field="5" count="1" selected="0">
            <x v="2"/>
          </reference>
          <reference field="20" count="1" selected="0">
            <x v="0"/>
          </reference>
          <reference field="21" count="1" selected="0">
            <x v="0"/>
          </reference>
          <reference field="22" count="1" selected="0">
            <x v="0"/>
          </reference>
          <reference field="23" count="1" selected="0">
            <x v="79"/>
          </reference>
          <reference field="24" count="1">
            <x v="44"/>
          </reference>
        </references>
      </pivotArea>
    </format>
    <format dxfId="1830">
      <pivotArea dataOnly="0" labelOnly="1" outline="0" fieldPosition="0">
        <references count="8">
          <reference field="0" count="1" selected="0">
            <x v="0"/>
          </reference>
          <reference field="1" count="1" selected="0">
            <x v="121"/>
          </reference>
          <reference field="5" count="1" selected="0">
            <x v="2"/>
          </reference>
          <reference field="20" count="1" selected="0">
            <x v="2"/>
          </reference>
          <reference field="21" count="1" selected="0">
            <x v="0"/>
          </reference>
          <reference field="22" count="1" selected="0">
            <x v="0"/>
          </reference>
          <reference field="23" count="1" selected="0">
            <x v="0"/>
          </reference>
          <reference field="24" count="1">
            <x v="80"/>
          </reference>
        </references>
      </pivotArea>
    </format>
    <format dxfId="1829">
      <pivotArea dataOnly="0" labelOnly="1" outline="0" fieldPosition="0">
        <references count="8">
          <reference field="0" count="1" selected="0">
            <x v="3"/>
          </reference>
          <reference field="1" count="1" selected="0">
            <x v="123"/>
          </reference>
          <reference field="5" count="1" selected="0">
            <x v="2"/>
          </reference>
          <reference field="20" count="1" selected="0">
            <x v="0"/>
          </reference>
          <reference field="21" count="1" selected="0">
            <x v="0"/>
          </reference>
          <reference field="22" count="1" selected="0">
            <x v="0"/>
          </reference>
          <reference field="23" count="1" selected="0">
            <x v="62"/>
          </reference>
          <reference field="24" count="1">
            <x v="1"/>
          </reference>
        </references>
      </pivotArea>
    </format>
    <format dxfId="1828">
      <pivotArea dataOnly="0" labelOnly="1" outline="0" fieldPosition="0">
        <references count="8">
          <reference field="0" count="1" selected="0">
            <x v="0"/>
          </reference>
          <reference field="1" count="1" selected="0">
            <x v="127"/>
          </reference>
          <reference field="5" count="1" selected="0">
            <x v="2"/>
          </reference>
          <reference field="20" count="1" selected="0">
            <x v="1"/>
          </reference>
          <reference field="21" count="1" selected="0">
            <x v="0"/>
          </reference>
          <reference field="22" count="1" selected="0">
            <x v="0"/>
          </reference>
          <reference field="23" count="1" selected="0">
            <x v="0"/>
          </reference>
          <reference field="24" count="1">
            <x v="80"/>
          </reference>
        </references>
      </pivotArea>
    </format>
    <format dxfId="1827">
      <pivotArea dataOnly="0" labelOnly="1" outline="0" fieldPosition="0">
        <references count="8">
          <reference field="0" count="1" selected="0">
            <x v="3"/>
          </reference>
          <reference field="1" count="1" selected="0">
            <x v="130"/>
          </reference>
          <reference field="5" count="1" selected="0">
            <x v="2"/>
          </reference>
          <reference field="20" count="1" selected="0">
            <x v="0"/>
          </reference>
          <reference field="21" count="1" selected="0">
            <x v="0"/>
          </reference>
          <reference field="22" count="1" selected="0">
            <x v="0"/>
          </reference>
          <reference field="23" count="1" selected="0">
            <x v="30"/>
          </reference>
          <reference field="24" count="1">
            <x v="63"/>
          </reference>
        </references>
      </pivotArea>
    </format>
    <format dxfId="1826">
      <pivotArea dataOnly="0" labelOnly="1" outline="0" fieldPosition="0">
        <references count="8">
          <reference field="0" count="1" selected="0">
            <x v="2"/>
          </reference>
          <reference field="1" count="1" selected="0">
            <x v="131"/>
          </reference>
          <reference field="5" count="1" selected="0">
            <x v="2"/>
          </reference>
          <reference field="20" count="1" selected="0">
            <x v="0"/>
          </reference>
          <reference field="21" count="1" selected="0">
            <x v="0"/>
          </reference>
          <reference field="22" count="1" selected="0">
            <x v="19"/>
          </reference>
          <reference field="23" count="1" selected="0">
            <x v="0"/>
          </reference>
          <reference field="24" count="1">
            <x v="80"/>
          </reference>
        </references>
      </pivotArea>
    </format>
    <format dxfId="1825">
      <pivotArea dataOnly="0" labelOnly="1" outline="0" fieldPosition="0">
        <references count="8">
          <reference field="0" count="1" selected="0">
            <x v="3"/>
          </reference>
          <reference field="1" count="1" selected="0">
            <x v="132"/>
          </reference>
          <reference field="5" count="1" selected="0">
            <x v="2"/>
          </reference>
          <reference field="20" count="1" selected="0">
            <x v="0"/>
          </reference>
          <reference field="21" count="1" selected="0">
            <x v="0"/>
          </reference>
          <reference field="22" count="1" selected="0">
            <x v="0"/>
          </reference>
          <reference field="23" count="1" selected="0">
            <x v="5"/>
          </reference>
          <reference field="24" count="1">
            <x v="54"/>
          </reference>
        </references>
      </pivotArea>
    </format>
    <format dxfId="1824">
      <pivotArea dataOnly="0" labelOnly="1" outline="0" fieldPosition="0">
        <references count="8">
          <reference field="0" count="1" selected="0">
            <x v="3"/>
          </reference>
          <reference field="1" count="1" selected="0">
            <x v="133"/>
          </reference>
          <reference field="5" count="1" selected="0">
            <x v="2"/>
          </reference>
          <reference field="20" count="1" selected="0">
            <x v="0"/>
          </reference>
          <reference field="21" count="1" selected="0">
            <x v="0"/>
          </reference>
          <reference field="22" count="1" selected="0">
            <x v="0"/>
          </reference>
          <reference field="23" count="1" selected="0">
            <x v="113"/>
          </reference>
          <reference field="24" count="1">
            <x v="16"/>
          </reference>
        </references>
      </pivotArea>
    </format>
    <format dxfId="1823">
      <pivotArea dataOnly="0" labelOnly="1" outline="0" fieldPosition="0">
        <references count="8">
          <reference field="0" count="1" selected="0">
            <x v="3"/>
          </reference>
          <reference field="1" count="1" selected="0">
            <x v="134"/>
          </reference>
          <reference field="5" count="1" selected="0">
            <x v="2"/>
          </reference>
          <reference field="20" count="1" selected="0">
            <x v="0"/>
          </reference>
          <reference field="21" count="1" selected="0">
            <x v="0"/>
          </reference>
          <reference field="22" count="1" selected="0">
            <x v="0"/>
          </reference>
          <reference field="23" count="1" selected="0">
            <x v="102"/>
          </reference>
          <reference field="24" count="1">
            <x v="20"/>
          </reference>
        </references>
      </pivotArea>
    </format>
    <format dxfId="1822">
      <pivotArea dataOnly="0" labelOnly="1" outline="0" fieldPosition="0">
        <references count="8">
          <reference field="0" count="1" selected="0">
            <x v="3"/>
          </reference>
          <reference field="1" count="1" selected="0">
            <x v="135"/>
          </reference>
          <reference field="5" count="1" selected="0">
            <x v="2"/>
          </reference>
          <reference field="20" count="1" selected="0">
            <x v="0"/>
          </reference>
          <reference field="21" count="1" selected="0">
            <x v="0"/>
          </reference>
          <reference field="22" count="1" selected="0">
            <x v="0"/>
          </reference>
          <reference field="23" count="1" selected="0">
            <x v="97"/>
          </reference>
          <reference field="24" count="1">
            <x v="75"/>
          </reference>
        </references>
      </pivotArea>
    </format>
    <format dxfId="1821">
      <pivotArea dataOnly="0" labelOnly="1" outline="0" fieldPosition="0">
        <references count="8">
          <reference field="0" count="1" selected="0">
            <x v="2"/>
          </reference>
          <reference field="1" count="1" selected="0">
            <x v="136"/>
          </reference>
          <reference field="5" count="1" selected="0">
            <x v="2"/>
          </reference>
          <reference field="20" count="1" selected="0">
            <x v="0"/>
          </reference>
          <reference field="21" count="1" selected="0">
            <x v="0"/>
          </reference>
          <reference field="22" count="1" selected="0">
            <x v="1"/>
          </reference>
          <reference field="23" count="1" selected="0">
            <x v="0"/>
          </reference>
          <reference field="24" count="1">
            <x v="80"/>
          </reference>
        </references>
      </pivotArea>
    </format>
    <format dxfId="1820">
      <pivotArea dataOnly="0" labelOnly="1" outline="0" fieldPosition="0">
        <references count="8">
          <reference field="0" count="1" selected="0">
            <x v="3"/>
          </reference>
          <reference field="1" count="1" selected="0">
            <x v="137"/>
          </reference>
          <reference field="5" count="1" selected="0">
            <x v="2"/>
          </reference>
          <reference field="20" count="1" selected="0">
            <x v="0"/>
          </reference>
          <reference field="21" count="1" selected="0">
            <x v="0"/>
          </reference>
          <reference field="22" count="1" selected="0">
            <x v="0"/>
          </reference>
          <reference field="23" count="1" selected="0">
            <x v="89"/>
          </reference>
          <reference field="24" count="1">
            <x v="20"/>
          </reference>
        </references>
      </pivotArea>
    </format>
    <format dxfId="1819">
      <pivotArea dataOnly="0" labelOnly="1" outline="0" fieldPosition="0">
        <references count="8">
          <reference field="0" count="1" selected="0">
            <x v="3"/>
          </reference>
          <reference field="1" count="1" selected="0">
            <x v="139"/>
          </reference>
          <reference field="5" count="1" selected="0">
            <x v="2"/>
          </reference>
          <reference field="20" count="1" selected="0">
            <x v="0"/>
          </reference>
          <reference field="21" count="1" selected="0">
            <x v="0"/>
          </reference>
          <reference field="22" count="1" selected="0">
            <x v="0"/>
          </reference>
          <reference field="23" count="1" selected="0">
            <x v="88"/>
          </reference>
          <reference field="24" count="1">
            <x v="72"/>
          </reference>
        </references>
      </pivotArea>
    </format>
    <format dxfId="1818">
      <pivotArea dataOnly="0" labelOnly="1" outline="0" fieldPosition="0">
        <references count="8">
          <reference field="0" count="1" selected="0">
            <x v="2"/>
          </reference>
          <reference field="1" count="1" selected="0">
            <x v="140"/>
          </reference>
          <reference field="5" count="1" selected="0">
            <x v="2"/>
          </reference>
          <reference field="20" count="1" selected="0">
            <x v="0"/>
          </reference>
          <reference field="21" count="1" selected="0">
            <x v="0"/>
          </reference>
          <reference field="22" count="1" selected="0">
            <x v="27"/>
          </reference>
          <reference field="23" count="1" selected="0">
            <x v="0"/>
          </reference>
          <reference field="24" count="1">
            <x v="80"/>
          </reference>
        </references>
      </pivotArea>
    </format>
    <format dxfId="1817">
      <pivotArea dataOnly="0" labelOnly="1" outline="0" fieldPosition="0">
        <references count="8">
          <reference field="0" count="1" selected="0">
            <x v="3"/>
          </reference>
          <reference field="1" count="1" selected="0">
            <x v="141"/>
          </reference>
          <reference field="5" count="1" selected="0">
            <x v="2"/>
          </reference>
          <reference field="20" count="1" selected="0">
            <x v="0"/>
          </reference>
          <reference field="21" count="1" selected="0">
            <x v="0"/>
          </reference>
          <reference field="22" count="1" selected="0">
            <x v="0"/>
          </reference>
          <reference field="23" count="1" selected="0">
            <x v="86"/>
          </reference>
          <reference field="24" count="1">
            <x v="26"/>
          </reference>
        </references>
      </pivotArea>
    </format>
    <format dxfId="1816">
      <pivotArea dataOnly="0" labelOnly="1" outline="0" fieldPosition="0">
        <references count="8">
          <reference field="0" count="1" selected="0">
            <x v="3"/>
          </reference>
          <reference field="1" count="1" selected="0">
            <x v="142"/>
          </reference>
          <reference field="5" count="1" selected="0">
            <x v="2"/>
          </reference>
          <reference field="20" count="1" selected="0">
            <x v="0"/>
          </reference>
          <reference field="21" count="1" selected="0">
            <x v="0"/>
          </reference>
          <reference field="22" count="1" selected="0">
            <x v="0"/>
          </reference>
          <reference field="23" count="1" selected="0">
            <x v="114"/>
          </reference>
          <reference field="24" count="1">
            <x v="84"/>
          </reference>
        </references>
      </pivotArea>
    </format>
    <format dxfId="1815">
      <pivotArea dataOnly="0" labelOnly="1" outline="0" fieldPosition="0">
        <references count="8">
          <reference field="0" count="1" selected="0">
            <x v="3"/>
          </reference>
          <reference field="1" count="1" selected="0">
            <x v="143"/>
          </reference>
          <reference field="5" count="1" selected="0">
            <x v="2"/>
          </reference>
          <reference field="20" count="1" selected="0">
            <x v="0"/>
          </reference>
          <reference field="21" count="1" selected="0">
            <x v="0"/>
          </reference>
          <reference field="22" count="1" selected="0">
            <x v="0"/>
          </reference>
          <reference field="23" count="1" selected="0">
            <x v="69"/>
          </reference>
          <reference field="24" count="1">
            <x v="4"/>
          </reference>
        </references>
      </pivotArea>
    </format>
    <format dxfId="1814">
      <pivotArea dataOnly="0" labelOnly="1" outline="0" fieldPosition="0">
        <references count="8">
          <reference field="0" count="1" selected="0">
            <x v="3"/>
          </reference>
          <reference field="1" count="1" selected="0">
            <x v="144"/>
          </reference>
          <reference field="5" count="1" selected="0">
            <x v="2"/>
          </reference>
          <reference field="20" count="1" selected="0">
            <x v="0"/>
          </reference>
          <reference field="21" count="1" selected="0">
            <x v="0"/>
          </reference>
          <reference field="22" count="1" selected="0">
            <x v="0"/>
          </reference>
          <reference field="23" count="1" selected="0">
            <x v="4"/>
          </reference>
          <reference field="24" count="1">
            <x v="5"/>
          </reference>
        </references>
      </pivotArea>
    </format>
    <format dxfId="1813">
      <pivotArea dataOnly="0" labelOnly="1" outline="0" fieldPosition="0">
        <references count="8">
          <reference field="0" count="1" selected="0">
            <x v="0"/>
          </reference>
          <reference field="1" count="1" selected="0">
            <x v="146"/>
          </reference>
          <reference field="5" count="1" selected="0">
            <x v="2"/>
          </reference>
          <reference field="20" count="1" selected="0">
            <x v="3"/>
          </reference>
          <reference field="21" count="1" selected="0">
            <x v="0"/>
          </reference>
          <reference field="22" count="1" selected="0">
            <x v="0"/>
          </reference>
          <reference field="23" count="1" selected="0">
            <x v="0"/>
          </reference>
          <reference field="24" count="1">
            <x v="80"/>
          </reference>
        </references>
      </pivotArea>
    </format>
    <format dxfId="1812">
      <pivotArea dataOnly="0" labelOnly="1" outline="0" fieldPosition="0">
        <references count="8">
          <reference field="0" count="1" selected="0">
            <x v="2"/>
          </reference>
          <reference field="1" count="1" selected="0">
            <x v="148"/>
          </reference>
          <reference field="5" count="1" selected="0">
            <x v="2"/>
          </reference>
          <reference field="20" count="1" selected="0">
            <x v="0"/>
          </reference>
          <reference field="21" count="1" selected="0">
            <x v="0"/>
          </reference>
          <reference field="22" count="1" selected="0">
            <x v="14"/>
          </reference>
          <reference field="23" count="1" selected="0">
            <x v="0"/>
          </reference>
          <reference field="24" count="1">
            <x v="2"/>
          </reference>
        </references>
      </pivotArea>
    </format>
    <format dxfId="1811">
      <pivotArea dataOnly="0" labelOnly="1" outline="0" fieldPosition="0">
        <references count="8">
          <reference field="0" count="1" selected="0">
            <x v="2"/>
          </reference>
          <reference field="1" count="1" selected="0">
            <x v="152"/>
          </reference>
          <reference field="5" count="1" selected="0">
            <x v="2"/>
          </reference>
          <reference field="20" count="1" selected="0">
            <x v="0"/>
          </reference>
          <reference field="21" count="1" selected="0">
            <x v="0"/>
          </reference>
          <reference field="22" count="1" selected="0">
            <x v="24"/>
          </reference>
          <reference field="23" count="1" selected="0">
            <x v="0"/>
          </reference>
          <reference field="24" count="1">
            <x v="80"/>
          </reference>
        </references>
      </pivotArea>
    </format>
    <format dxfId="1810">
      <pivotArea dataOnly="0" labelOnly="1" outline="0" fieldPosition="0">
        <references count="8">
          <reference field="0" count="1" selected="0">
            <x v="3"/>
          </reference>
          <reference field="1" count="1" selected="0">
            <x v="153"/>
          </reference>
          <reference field="5" count="1" selected="0">
            <x v="2"/>
          </reference>
          <reference field="20" count="1" selected="0">
            <x v="0"/>
          </reference>
          <reference field="21" count="1" selected="0">
            <x v="0"/>
          </reference>
          <reference field="22" count="1" selected="0">
            <x v="0"/>
          </reference>
          <reference field="23" count="1" selected="0">
            <x v="17"/>
          </reference>
          <reference field="24" count="1">
            <x v="17"/>
          </reference>
        </references>
      </pivotArea>
    </format>
    <format dxfId="1809">
      <pivotArea dataOnly="0" labelOnly="1" outline="0" fieldPosition="0">
        <references count="8">
          <reference field="0" count="1" selected="0">
            <x v="6"/>
          </reference>
          <reference field="1" count="1" selected="0">
            <x v="154"/>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24"/>
          </reference>
        </references>
      </pivotArea>
    </format>
    <format dxfId="1808">
      <pivotArea dataOnly="0" labelOnly="1" outline="0" fieldPosition="0">
        <references count="8">
          <reference field="0" count="1" selected="0">
            <x v="3"/>
          </reference>
          <reference field="1" count="1" selected="0">
            <x v="155"/>
          </reference>
          <reference field="5" count="1" selected="0">
            <x v="2"/>
          </reference>
          <reference field="20" count="1" selected="0">
            <x v="0"/>
          </reference>
          <reference field="21" count="1" selected="0">
            <x v="0"/>
          </reference>
          <reference field="22" count="1" selected="0">
            <x v="0"/>
          </reference>
          <reference field="23" count="1" selected="0">
            <x v="70"/>
          </reference>
          <reference field="24" count="1">
            <x v="50"/>
          </reference>
        </references>
      </pivotArea>
    </format>
    <format dxfId="1807">
      <pivotArea dataOnly="0" labelOnly="1" outline="0" fieldPosition="0">
        <references count="8">
          <reference field="0" count="1" selected="0">
            <x v="3"/>
          </reference>
          <reference field="1" count="1" selected="0">
            <x v="156"/>
          </reference>
          <reference field="5" count="1" selected="0">
            <x v="2"/>
          </reference>
          <reference field="20" count="1" selected="0">
            <x v="0"/>
          </reference>
          <reference field="21" count="1" selected="0">
            <x v="0"/>
          </reference>
          <reference field="22" count="1" selected="0">
            <x v="0"/>
          </reference>
          <reference field="23" count="1" selected="0">
            <x v="33"/>
          </reference>
          <reference field="24" count="1">
            <x v="25"/>
          </reference>
        </references>
      </pivotArea>
    </format>
    <format dxfId="1806">
      <pivotArea dataOnly="0" labelOnly="1" outline="0" fieldPosition="0">
        <references count="8">
          <reference field="0" count="1" selected="0">
            <x v="7"/>
          </reference>
          <reference field="1" count="1" selected="0">
            <x v="157"/>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11"/>
          </reference>
        </references>
      </pivotArea>
    </format>
    <format dxfId="1805">
      <pivotArea dataOnly="0" labelOnly="1" outline="0" fieldPosition="0">
        <references count="8">
          <reference field="0" count="1" selected="0">
            <x v="3"/>
          </reference>
          <reference field="1" count="1" selected="0">
            <x v="158"/>
          </reference>
          <reference field="5" count="1" selected="0">
            <x v="2"/>
          </reference>
          <reference field="20" count="1" selected="0">
            <x v="0"/>
          </reference>
          <reference field="21" count="1" selected="0">
            <x v="0"/>
          </reference>
          <reference field="22" count="1" selected="0">
            <x v="0"/>
          </reference>
          <reference field="23" count="1" selected="0">
            <x v="85"/>
          </reference>
          <reference field="24" count="1">
            <x v="64"/>
          </reference>
        </references>
      </pivotArea>
    </format>
    <format dxfId="1804">
      <pivotArea dataOnly="0" labelOnly="1" outline="0" fieldPosition="0">
        <references count="8">
          <reference field="0" count="1" selected="0">
            <x v="1"/>
          </reference>
          <reference field="1" count="1" selected="0">
            <x v="159"/>
          </reference>
          <reference field="5" count="1" selected="0">
            <x v="2"/>
          </reference>
          <reference field="20" count="1" selected="0">
            <x v="0"/>
          </reference>
          <reference field="21" count="1" selected="0">
            <x v="7"/>
          </reference>
          <reference field="22" count="1" selected="0">
            <x v="0"/>
          </reference>
          <reference field="23" count="1" selected="0">
            <x v="0"/>
          </reference>
          <reference field="24" count="1">
            <x v="80"/>
          </reference>
        </references>
      </pivotArea>
    </format>
    <format dxfId="1803">
      <pivotArea dataOnly="0" labelOnly="1" outline="0" fieldPosition="0">
        <references count="8">
          <reference field="0" count="1" selected="0">
            <x v="2"/>
          </reference>
          <reference field="1" count="1" selected="0">
            <x v="160"/>
          </reference>
          <reference field="5" count="1" selected="0">
            <x v="2"/>
          </reference>
          <reference field="20" count="1" selected="0">
            <x v="0"/>
          </reference>
          <reference field="21" count="1" selected="0">
            <x v="0"/>
          </reference>
          <reference field="22" count="1" selected="0">
            <x v="26"/>
          </reference>
          <reference field="23" count="1" selected="0">
            <x v="0"/>
          </reference>
          <reference field="24" count="1">
            <x v="6"/>
          </reference>
        </references>
      </pivotArea>
    </format>
    <format dxfId="1802">
      <pivotArea dataOnly="0" labelOnly="1" outline="0" fieldPosition="0">
        <references count="8">
          <reference field="0" count="1" selected="0">
            <x v="2"/>
          </reference>
          <reference field="1" count="1" selected="0">
            <x v="164"/>
          </reference>
          <reference field="5" count="1" selected="0">
            <x v="2"/>
          </reference>
          <reference field="20" count="1" selected="0">
            <x v="0"/>
          </reference>
          <reference field="21" count="1" selected="0">
            <x v="0"/>
          </reference>
          <reference field="22" count="1" selected="0">
            <x v="23"/>
          </reference>
          <reference field="23" count="1" selected="0">
            <x v="0"/>
          </reference>
          <reference field="24" count="1">
            <x v="80"/>
          </reference>
        </references>
      </pivotArea>
    </format>
    <format dxfId="1801">
      <pivotArea dataOnly="0" labelOnly="1" outline="0" fieldPosition="0">
        <references count="8">
          <reference field="0" count="1" selected="0">
            <x v="3"/>
          </reference>
          <reference field="1" count="1" selected="0">
            <x v="165"/>
          </reference>
          <reference field="5" count="1" selected="0">
            <x v="2"/>
          </reference>
          <reference field="20" count="1" selected="0">
            <x v="0"/>
          </reference>
          <reference field="21" count="1" selected="0">
            <x v="0"/>
          </reference>
          <reference field="22" count="1" selected="0">
            <x v="0"/>
          </reference>
          <reference field="23" count="1" selected="0">
            <x v="90"/>
          </reference>
          <reference field="24" count="1">
            <x v="38"/>
          </reference>
        </references>
      </pivotArea>
    </format>
    <format dxfId="1800">
      <pivotArea dataOnly="0" labelOnly="1" outline="0" fieldPosition="0">
        <references count="8">
          <reference field="0" count="1" selected="0">
            <x v="5"/>
          </reference>
          <reference field="1" count="1" selected="0">
            <x v="166"/>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10"/>
          </reference>
        </references>
      </pivotArea>
    </format>
    <format dxfId="1799">
      <pivotArea dataOnly="0" labelOnly="1" outline="0" fieldPosition="0">
        <references count="8">
          <reference field="0" count="1" selected="0">
            <x v="3"/>
          </reference>
          <reference field="1" count="1" selected="0">
            <x v="167"/>
          </reference>
          <reference field="5" count="1" selected="0">
            <x v="2"/>
          </reference>
          <reference field="20" count="1" selected="0">
            <x v="0"/>
          </reference>
          <reference field="21" count="1" selected="0">
            <x v="0"/>
          </reference>
          <reference field="22" count="1" selected="0">
            <x v="0"/>
          </reference>
          <reference field="23" count="1" selected="0">
            <x v="91"/>
          </reference>
          <reference field="24" count="1">
            <x v="80"/>
          </reference>
        </references>
      </pivotArea>
    </format>
    <format dxfId="1798">
      <pivotArea dataOnly="0" labelOnly="1" outline="0" fieldPosition="0">
        <references count="8">
          <reference field="0" count="1" selected="0">
            <x v="3"/>
          </reference>
          <reference field="1" count="1" selected="0">
            <x v="171"/>
          </reference>
          <reference field="5" count="1" selected="0">
            <x v="2"/>
          </reference>
          <reference field="20" count="1" selected="0">
            <x v="0"/>
          </reference>
          <reference field="21" count="1" selected="0">
            <x v="0"/>
          </reference>
          <reference field="22" count="1" selected="0">
            <x v="0"/>
          </reference>
          <reference field="23" count="1" selected="0">
            <x v="84"/>
          </reference>
          <reference field="24" count="1">
            <x v="62"/>
          </reference>
        </references>
      </pivotArea>
    </format>
    <format dxfId="1797">
      <pivotArea dataOnly="0" labelOnly="1" outline="0" fieldPosition="0">
        <references count="8">
          <reference field="0" count="1" selected="0">
            <x v="3"/>
          </reference>
          <reference field="1" count="1" selected="0">
            <x v="172"/>
          </reference>
          <reference field="5" count="1" selected="0">
            <x v="2"/>
          </reference>
          <reference field="20" count="1" selected="0">
            <x v="0"/>
          </reference>
          <reference field="21" count="1" selected="0">
            <x v="0"/>
          </reference>
          <reference field="22" count="1" selected="0">
            <x v="0"/>
          </reference>
          <reference field="23" count="1" selected="0">
            <x v="105"/>
          </reference>
          <reference field="24" count="1">
            <x v="79"/>
          </reference>
        </references>
      </pivotArea>
    </format>
    <format dxfId="1796">
      <pivotArea dataOnly="0" labelOnly="1" outline="0" fieldPosition="0">
        <references count="8">
          <reference field="0" count="1" selected="0">
            <x v="3"/>
          </reference>
          <reference field="1" count="1" selected="0">
            <x v="173"/>
          </reference>
          <reference field="5" count="1" selected="0">
            <x v="2"/>
          </reference>
          <reference field="20" count="1" selected="0">
            <x v="0"/>
          </reference>
          <reference field="21" count="1" selected="0">
            <x v="0"/>
          </reference>
          <reference field="22" count="1" selected="0">
            <x v="0"/>
          </reference>
          <reference field="23" count="1" selected="0">
            <x v="55"/>
          </reference>
          <reference field="24" count="1">
            <x v="34"/>
          </reference>
        </references>
      </pivotArea>
    </format>
    <format dxfId="1795">
      <pivotArea dataOnly="0" labelOnly="1" outline="0" fieldPosition="0">
        <references count="8">
          <reference field="0" count="1" selected="0">
            <x v="0"/>
          </reference>
          <reference field="1" count="1" selected="0">
            <x v="209"/>
          </reference>
          <reference field="5" count="1" selected="0">
            <x v="2"/>
          </reference>
          <reference field="20" count="1" selected="0">
            <x v="5"/>
          </reference>
          <reference field="21" count="1" selected="0">
            <x v="0"/>
          </reference>
          <reference field="22" count="1" selected="0">
            <x v="0"/>
          </reference>
          <reference field="23" count="1" selected="0">
            <x v="0"/>
          </reference>
          <reference field="24" count="1">
            <x v="80"/>
          </reference>
        </references>
      </pivotArea>
    </format>
    <format dxfId="1794">
      <pivotArea dataOnly="0" labelOnly="1" outline="0" fieldPosition="0">
        <references count="8">
          <reference field="0" count="1" selected="0">
            <x v="3"/>
          </reference>
          <reference field="1" count="1" selected="0">
            <x v="211"/>
          </reference>
          <reference field="5" count="1" selected="0">
            <x v="2"/>
          </reference>
          <reference field="20" count="1" selected="0">
            <x v="0"/>
          </reference>
          <reference field="21" count="1" selected="0">
            <x v="0"/>
          </reference>
          <reference field="22" count="1" selected="0">
            <x v="0"/>
          </reference>
          <reference field="23" count="1" selected="0">
            <x v="36"/>
          </reference>
          <reference field="24" count="1">
            <x v="27"/>
          </reference>
        </references>
      </pivotArea>
    </format>
    <format dxfId="1793">
      <pivotArea dataOnly="0" labelOnly="1" outline="0" fieldPosition="0">
        <references count="8">
          <reference field="0" count="1" selected="0">
            <x v="0"/>
          </reference>
          <reference field="1" count="1" selected="0">
            <x v="212"/>
          </reference>
          <reference field="5" count="1" selected="0">
            <x v="2"/>
          </reference>
          <reference field="20" count="1" selected="0">
            <x v="8"/>
          </reference>
          <reference field="21" count="1" selected="0">
            <x v="0"/>
          </reference>
          <reference field="22" count="1" selected="0">
            <x v="0"/>
          </reference>
          <reference field="23" count="1" selected="0">
            <x v="0"/>
          </reference>
          <reference field="24" count="1">
            <x v="80"/>
          </reference>
        </references>
      </pivotArea>
    </format>
    <format dxfId="1792">
      <pivotArea dataOnly="0" labelOnly="1" outline="0" fieldPosition="0">
        <references count="8">
          <reference field="0" count="1" selected="0">
            <x v="3"/>
          </reference>
          <reference field="1" count="1" selected="0">
            <x v="213"/>
          </reference>
          <reference field="5" count="1" selected="0">
            <x v="2"/>
          </reference>
          <reference field="20" count="1" selected="0">
            <x v="0"/>
          </reference>
          <reference field="21" count="1" selected="0">
            <x v="0"/>
          </reference>
          <reference field="22" count="1" selected="0">
            <x v="0"/>
          </reference>
          <reference field="23" count="1" selected="0">
            <x v="99"/>
          </reference>
          <reference field="24" count="1">
            <x v="22"/>
          </reference>
        </references>
      </pivotArea>
    </format>
    <format dxfId="1791">
      <pivotArea dataOnly="0" labelOnly="1" outline="0" fieldPosition="0">
        <references count="9">
          <reference field="0" count="1" selected="0">
            <x v="0"/>
          </reference>
          <reference field="1" count="1" selected="0">
            <x v="0"/>
          </reference>
          <reference field="5" count="1" selected="0">
            <x v="2"/>
          </reference>
          <reference field="13" count="1">
            <x v="0"/>
          </reference>
          <reference field="20" count="1" selected="0">
            <x v="9"/>
          </reference>
          <reference field="21" count="1" selected="0">
            <x v="0"/>
          </reference>
          <reference field="22" count="1" selected="0">
            <x v="0"/>
          </reference>
          <reference field="23" count="1" selected="0">
            <x v="0"/>
          </reference>
          <reference field="24" count="1" selected="0">
            <x v="80"/>
          </reference>
        </references>
      </pivotArea>
    </format>
    <format dxfId="1790">
      <pivotArea dataOnly="0" labelOnly="1" outline="0" fieldPosition="0">
        <references count="9">
          <reference field="0" count="1" selected="0">
            <x v="1"/>
          </reference>
          <reference field="1" count="1" selected="0">
            <x v="1"/>
          </reference>
          <reference field="5" count="1" selected="0">
            <x v="1"/>
          </reference>
          <reference field="13" count="1">
            <x v="77"/>
          </reference>
          <reference field="20" count="1" selected="0">
            <x v="0"/>
          </reference>
          <reference field="21" count="1" selected="0">
            <x v="12"/>
          </reference>
          <reference field="22" count="1" selected="0">
            <x v="0"/>
          </reference>
          <reference field="23" count="1" selected="0">
            <x v="0"/>
          </reference>
          <reference field="24" count="1" selected="0">
            <x v="8"/>
          </reference>
        </references>
      </pivotArea>
    </format>
    <format dxfId="1789">
      <pivotArea dataOnly="0" labelOnly="1" outline="0" fieldPosition="0">
        <references count="9">
          <reference field="0" count="1" selected="0">
            <x v="1"/>
          </reference>
          <reference field="1" count="1" selected="0">
            <x v="2"/>
          </reference>
          <reference field="5" count="1" selected="0">
            <x v="2"/>
          </reference>
          <reference field="13" count="1">
            <x v="78"/>
          </reference>
          <reference field="20" count="1" selected="0">
            <x v="0"/>
          </reference>
          <reference field="21" count="1" selected="0">
            <x v="18"/>
          </reference>
          <reference field="22" count="1" selected="0">
            <x v="0"/>
          </reference>
          <reference field="23" count="1" selected="0">
            <x v="0"/>
          </reference>
          <reference field="24" count="1" selected="0">
            <x v="81"/>
          </reference>
        </references>
      </pivotArea>
    </format>
    <format dxfId="1788">
      <pivotArea dataOnly="0" labelOnly="1" outline="0" fieldPosition="0">
        <references count="9">
          <reference field="0" count="1" selected="0">
            <x v="0"/>
          </reference>
          <reference field="1" count="1" selected="0">
            <x v="3"/>
          </reference>
          <reference field="5" count="1" selected="0">
            <x v="2"/>
          </reference>
          <reference field="13" count="1">
            <x v="0"/>
          </reference>
          <reference field="20" count="1" selected="0">
            <x v="6"/>
          </reference>
          <reference field="21" count="1" selected="0">
            <x v="0"/>
          </reference>
          <reference field="22" count="1" selected="0">
            <x v="0"/>
          </reference>
          <reference field="23" count="1" selected="0">
            <x v="0"/>
          </reference>
          <reference field="24" count="1" selected="0">
            <x v="80"/>
          </reference>
        </references>
      </pivotArea>
    </format>
    <format dxfId="1787">
      <pivotArea dataOnly="0" labelOnly="1" outline="0" fieldPosition="0">
        <references count="9">
          <reference field="0" count="1" selected="0">
            <x v="3"/>
          </reference>
          <reference field="1" count="1" selected="0">
            <x v="6"/>
          </reference>
          <reference field="5" count="1" selected="0">
            <x v="0"/>
          </reference>
          <reference field="13" count="1">
            <x v="79"/>
          </reference>
          <reference field="20" count="1" selected="0">
            <x v="0"/>
          </reference>
          <reference field="21" count="1" selected="0">
            <x v="0"/>
          </reference>
          <reference field="22" count="1" selected="0">
            <x v="0"/>
          </reference>
          <reference field="23" count="1" selected="0">
            <x v="106"/>
          </reference>
          <reference field="24" count="1" selected="0">
            <x v="37"/>
          </reference>
        </references>
      </pivotArea>
    </format>
    <format dxfId="1786">
      <pivotArea dataOnly="0" labelOnly="1" outline="0" fieldPosition="0">
        <references count="9">
          <reference field="0" count="1" selected="0">
            <x v="3"/>
          </reference>
          <reference field="1" count="1" selected="0">
            <x v="7"/>
          </reference>
          <reference field="5" count="1" selected="0">
            <x v="0"/>
          </reference>
          <reference field="13" count="1">
            <x v="80"/>
          </reference>
          <reference field="20" count="1" selected="0">
            <x v="0"/>
          </reference>
          <reference field="21" count="1" selected="0">
            <x v="0"/>
          </reference>
          <reference field="22" count="1" selected="0">
            <x v="0"/>
          </reference>
          <reference field="23" count="1" selected="0">
            <x v="71"/>
          </reference>
          <reference field="24" count="1" selected="0">
            <x v="51"/>
          </reference>
        </references>
      </pivotArea>
    </format>
    <format dxfId="1785">
      <pivotArea dataOnly="0" labelOnly="1" outline="0" fieldPosition="0">
        <references count="9">
          <reference field="0" count="1" selected="0">
            <x v="3"/>
          </reference>
          <reference field="1" count="1" selected="0">
            <x v="8"/>
          </reference>
          <reference field="5" count="1" selected="0">
            <x v="2"/>
          </reference>
          <reference field="13" count="1">
            <x v="81"/>
          </reference>
          <reference field="20" count="1" selected="0">
            <x v="0"/>
          </reference>
          <reference field="21" count="1" selected="0">
            <x v="0"/>
          </reference>
          <reference field="22" count="1" selected="0">
            <x v="0"/>
          </reference>
          <reference field="23" count="1" selected="0">
            <x v="40"/>
          </reference>
          <reference field="24" count="1" selected="0">
            <x v="82"/>
          </reference>
        </references>
      </pivotArea>
    </format>
    <format dxfId="1784">
      <pivotArea dataOnly="0" labelOnly="1" outline="0" fieldPosition="0">
        <references count="9">
          <reference field="0" count="1" selected="0">
            <x v="1"/>
          </reference>
          <reference field="1" count="1" selected="0">
            <x v="9"/>
          </reference>
          <reference field="5" count="1" selected="0">
            <x v="2"/>
          </reference>
          <reference field="13" count="1">
            <x v="0"/>
          </reference>
          <reference field="20" count="1" selected="0">
            <x v="0"/>
          </reference>
          <reference field="21" count="1" selected="0">
            <x v="2"/>
          </reference>
          <reference field="22" count="1" selected="0">
            <x v="0"/>
          </reference>
          <reference field="23" count="1" selected="0">
            <x v="0"/>
          </reference>
          <reference field="24" count="1" selected="0">
            <x v="80"/>
          </reference>
        </references>
      </pivotArea>
    </format>
    <format dxfId="1783">
      <pivotArea dataOnly="0" labelOnly="1" outline="0" fieldPosition="0">
        <references count="9">
          <reference field="0" count="1" selected="0">
            <x v="3"/>
          </reference>
          <reference field="1" count="1" selected="0">
            <x v="11"/>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23"/>
          </reference>
          <reference field="24" count="1" selected="0">
            <x v="40"/>
          </reference>
        </references>
      </pivotArea>
    </format>
    <format dxfId="1782">
      <pivotArea dataOnly="0" labelOnly="1" outline="0" fieldPosition="0">
        <references count="9">
          <reference field="0" count="1" selected="0">
            <x v="3"/>
          </reference>
          <reference field="1" count="1" selected="0">
            <x v="12"/>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93"/>
          </reference>
          <reference field="24" count="1" selected="0">
            <x v="19"/>
          </reference>
        </references>
      </pivotArea>
    </format>
    <format dxfId="1781">
      <pivotArea dataOnly="0" labelOnly="1" outline="0" fieldPosition="0">
        <references count="9">
          <reference field="0" count="1" selected="0">
            <x v="3"/>
          </reference>
          <reference field="1" count="1" selected="0">
            <x v="13"/>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25"/>
          </reference>
          <reference field="24" count="1" selected="0">
            <x v="37"/>
          </reference>
        </references>
      </pivotArea>
    </format>
    <format dxfId="1780">
      <pivotArea dataOnly="0" labelOnly="1" outline="0" fieldPosition="0">
        <references count="9">
          <reference field="0" count="1" selected="0">
            <x v="1"/>
          </reference>
          <reference field="1" count="1" selected="0">
            <x v="14"/>
          </reference>
          <reference field="5" count="1" selected="0">
            <x v="2"/>
          </reference>
          <reference field="13" count="1">
            <x v="0"/>
          </reference>
          <reference field="20" count="1" selected="0">
            <x v="0"/>
          </reference>
          <reference field="21" count="1" selected="0">
            <x v="10"/>
          </reference>
          <reference field="22" count="1" selected="0">
            <x v="0"/>
          </reference>
          <reference field="23" count="1" selected="0">
            <x v="0"/>
          </reference>
          <reference field="24" count="1" selected="0">
            <x v="80"/>
          </reference>
        </references>
      </pivotArea>
    </format>
    <format dxfId="1779">
      <pivotArea dataOnly="0" labelOnly="1" outline="0" fieldPosition="0">
        <references count="9">
          <reference field="0" count="1" selected="0">
            <x v="3"/>
          </reference>
          <reference field="1" count="1" selected="0">
            <x v="16"/>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15"/>
          </reference>
          <reference field="24" count="1" selected="0">
            <x v="37"/>
          </reference>
        </references>
      </pivotArea>
    </format>
    <format dxfId="1778">
      <pivotArea dataOnly="0" labelOnly="1" outline="0" fieldPosition="0">
        <references count="9">
          <reference field="0" count="1" selected="0">
            <x v="3"/>
          </reference>
          <reference field="1" count="1" selected="0">
            <x v="17"/>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21"/>
          </reference>
          <reference field="24" count="1" selected="0">
            <x v="20"/>
          </reference>
        </references>
      </pivotArea>
    </format>
    <format dxfId="1777">
      <pivotArea dataOnly="0" labelOnly="1" outline="0" fieldPosition="0">
        <references count="9">
          <reference field="0" count="1" selected="0">
            <x v="3"/>
          </reference>
          <reference field="1" count="1" selected="0">
            <x v="20"/>
          </reference>
          <reference field="5" count="1" selected="0">
            <x v="2"/>
          </reference>
          <reference field="13" count="1">
            <x v="85"/>
          </reference>
          <reference field="20" count="1" selected="0">
            <x v="0"/>
          </reference>
          <reference field="21" count="1" selected="0">
            <x v="0"/>
          </reference>
          <reference field="22" count="1" selected="0">
            <x v="0"/>
          </reference>
          <reference field="23" count="1" selected="0">
            <x v="100"/>
          </reference>
          <reference field="24" count="1" selected="0">
            <x v="77"/>
          </reference>
        </references>
      </pivotArea>
    </format>
    <format dxfId="1776">
      <pivotArea dataOnly="0" labelOnly="1" outline="0" fieldPosition="0">
        <references count="9">
          <reference field="0" count="1" selected="0">
            <x v="2"/>
          </reference>
          <reference field="1" count="1" selected="0">
            <x v="21"/>
          </reference>
          <reference field="5" count="1" selected="0">
            <x v="2"/>
          </reference>
          <reference field="13" count="1">
            <x v="0"/>
          </reference>
          <reference field="20" count="1" selected="0">
            <x v="0"/>
          </reference>
          <reference field="21" count="1" selected="0">
            <x v="0"/>
          </reference>
          <reference field="22" count="1" selected="0">
            <x v="21"/>
          </reference>
          <reference field="23" count="1" selected="0">
            <x v="0"/>
          </reference>
          <reference field="24" count="1" selected="0">
            <x v="80"/>
          </reference>
        </references>
      </pivotArea>
    </format>
    <format dxfId="1775">
      <pivotArea dataOnly="0" labelOnly="1" outline="0" fieldPosition="0">
        <references count="9">
          <reference field="0" count="1" selected="0">
            <x v="3"/>
          </reference>
          <reference field="1" count="1" selected="0">
            <x v="26"/>
          </reference>
          <reference field="5" count="1" selected="0">
            <x v="2"/>
          </reference>
          <reference field="13" count="1">
            <x v="86"/>
          </reference>
          <reference field="20" count="1" selected="0">
            <x v="0"/>
          </reference>
          <reference field="21" count="1" selected="0">
            <x v="0"/>
          </reference>
          <reference field="22" count="1" selected="0">
            <x v="0"/>
          </reference>
          <reference field="23" count="1" selected="0">
            <x v="66"/>
          </reference>
          <reference field="24" count="1" selected="0">
            <x v="19"/>
          </reference>
        </references>
      </pivotArea>
    </format>
    <format dxfId="1774">
      <pivotArea dataOnly="0" labelOnly="1" outline="0" fieldPosition="0">
        <references count="9">
          <reference field="0" count="1" selected="0">
            <x v="3"/>
          </reference>
          <reference field="1" count="1" selected="0">
            <x v="27"/>
          </reference>
          <reference field="5" count="1" selected="0">
            <x v="2"/>
          </reference>
          <reference field="13" count="1">
            <x v="87"/>
          </reference>
          <reference field="20" count="1" selected="0">
            <x v="0"/>
          </reference>
          <reference field="21" count="1" selected="0">
            <x v="0"/>
          </reference>
          <reference field="22" count="1" selected="0">
            <x v="0"/>
          </reference>
          <reference field="23" count="1" selected="0">
            <x v="39"/>
          </reference>
          <reference field="24" count="1" selected="0">
            <x v="46"/>
          </reference>
        </references>
      </pivotArea>
    </format>
    <format dxfId="1773">
      <pivotArea dataOnly="0" labelOnly="1" outline="0" fieldPosition="0">
        <references count="9">
          <reference field="0" count="1" selected="0">
            <x v="3"/>
          </reference>
          <reference field="1" count="1" selected="0">
            <x v="28"/>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26"/>
          </reference>
          <reference field="24" count="1" selected="0">
            <x v="20"/>
          </reference>
        </references>
      </pivotArea>
    </format>
    <format dxfId="1772">
      <pivotArea dataOnly="0" labelOnly="1" outline="0" fieldPosition="0">
        <references count="9">
          <reference field="0" count="1" selected="0">
            <x v="1"/>
          </reference>
          <reference field="1" count="1" selected="0">
            <x v="29"/>
          </reference>
          <reference field="5" count="1" selected="0">
            <x v="2"/>
          </reference>
          <reference field="13" count="1">
            <x v="0"/>
          </reference>
          <reference field="20" count="1" selected="0">
            <x v="0"/>
          </reference>
          <reference field="21" count="1" selected="0">
            <x v="17"/>
          </reference>
          <reference field="22" count="1" selected="0">
            <x v="0"/>
          </reference>
          <reference field="23" count="1" selected="0">
            <x v="0"/>
          </reference>
          <reference field="24" count="1" selected="0">
            <x v="80"/>
          </reference>
        </references>
      </pivotArea>
    </format>
    <format dxfId="1771">
      <pivotArea dataOnly="0" labelOnly="1" outline="0" fieldPosition="0">
        <references count="9">
          <reference field="0" count="1" selected="0">
            <x v="3"/>
          </reference>
          <reference field="1" count="1" selected="0">
            <x v="31"/>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87"/>
          </reference>
          <reference field="24" count="1" selected="0">
            <x v="65"/>
          </reference>
        </references>
      </pivotArea>
    </format>
    <format dxfId="1770">
      <pivotArea dataOnly="0" labelOnly="1" outline="0" fieldPosition="0">
        <references count="9">
          <reference field="0" count="1" selected="0">
            <x v="3"/>
          </reference>
          <reference field="1" count="1" selected="0">
            <x v="32"/>
          </reference>
          <reference field="5" count="1" selected="0">
            <x v="2"/>
          </reference>
          <reference field="13" count="1">
            <x v="86"/>
          </reference>
          <reference field="20" count="1" selected="0">
            <x v="0"/>
          </reference>
          <reference field="21" count="1" selected="0">
            <x v="0"/>
          </reference>
          <reference field="22" count="1" selected="0">
            <x v="0"/>
          </reference>
          <reference field="23" count="1" selected="0">
            <x v="72"/>
          </reference>
          <reference field="24" count="1" selected="0">
            <x v="55"/>
          </reference>
        </references>
      </pivotArea>
    </format>
    <format dxfId="1769">
      <pivotArea dataOnly="0" labelOnly="1" outline="0" fieldPosition="0">
        <references count="9">
          <reference field="0" count="1" selected="0">
            <x v="3"/>
          </reference>
          <reference field="1" count="1" selected="0">
            <x v="33"/>
          </reference>
          <reference field="5" count="1" selected="0">
            <x v="2"/>
          </reference>
          <reference field="13" count="1">
            <x v="88"/>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768">
      <pivotArea dataOnly="0" labelOnly="1" outline="0" fieldPosition="0">
        <references count="9">
          <reference field="0" count="1" selected="0">
            <x v="3"/>
          </reference>
          <reference field="1" count="1" selected="0">
            <x v="34"/>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73"/>
          </reference>
          <reference field="24" count="1" selected="0">
            <x v="55"/>
          </reference>
        </references>
      </pivotArea>
    </format>
    <format dxfId="1767">
      <pivotArea dataOnly="0" labelOnly="1" outline="0" fieldPosition="0">
        <references count="9">
          <reference field="0" count="1" selected="0">
            <x v="3"/>
          </reference>
          <reference field="1" count="1" selected="0">
            <x v="35"/>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766">
      <pivotArea dataOnly="0" labelOnly="1" outline="0" fieldPosition="0">
        <references count="9">
          <reference field="0" count="1" selected="0">
            <x v="3"/>
          </reference>
          <reference field="1" count="1" selected="0">
            <x v="36"/>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75"/>
          </reference>
          <reference field="24" count="1" selected="0">
            <x v="55"/>
          </reference>
        </references>
      </pivotArea>
    </format>
    <format dxfId="1765">
      <pivotArea dataOnly="0" labelOnly="1" outline="0" fieldPosition="0">
        <references count="9">
          <reference field="0" count="1" selected="0">
            <x v="3"/>
          </reference>
          <reference field="1" count="1" selected="0">
            <x v="37"/>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764">
      <pivotArea dataOnly="0" labelOnly="1" outline="0" fieldPosition="0">
        <references count="9">
          <reference field="0" count="1" selected="0">
            <x v="3"/>
          </reference>
          <reference field="1" count="1" selected="0">
            <x v="38"/>
          </reference>
          <reference field="5" count="1" selected="0">
            <x v="2"/>
          </reference>
          <reference field="13" count="1">
            <x v="92"/>
          </reference>
          <reference field="20" count="1" selected="0">
            <x v="0"/>
          </reference>
          <reference field="21" count="1" selected="0">
            <x v="0"/>
          </reference>
          <reference field="22" count="1" selected="0">
            <x v="0"/>
          </reference>
          <reference field="23" count="1" selected="0">
            <x v="74"/>
          </reference>
          <reference field="24" count="1" selected="0">
            <x v="55"/>
          </reference>
        </references>
      </pivotArea>
    </format>
    <format dxfId="1763">
      <pivotArea dataOnly="0" labelOnly="1" outline="0" fieldPosition="0">
        <references count="9">
          <reference field="0" count="1" selected="0">
            <x v="3"/>
          </reference>
          <reference field="1" count="1" selected="0">
            <x v="39"/>
          </reference>
          <reference field="5" count="1" selected="0">
            <x v="2"/>
          </reference>
          <reference field="13" count="1">
            <x v="93"/>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762">
      <pivotArea dataOnly="0" labelOnly="1" outline="0" fieldPosition="0">
        <references count="9">
          <reference field="0" count="1" selected="0">
            <x v="3"/>
          </reference>
          <reference field="1" count="1" selected="0">
            <x v="40"/>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14"/>
          </reference>
          <reference field="24" count="1" selected="0">
            <x v="15"/>
          </reference>
        </references>
      </pivotArea>
    </format>
    <format dxfId="1761">
      <pivotArea dataOnly="0" labelOnly="1" outline="0" fieldPosition="0">
        <references count="9">
          <reference field="0" count="1" selected="0">
            <x v="1"/>
          </reference>
          <reference field="1" count="1" selected="0">
            <x v="41"/>
          </reference>
          <reference field="5" count="1" selected="0">
            <x v="2"/>
          </reference>
          <reference field="13" count="1">
            <x v="0"/>
          </reference>
          <reference field="20" count="1" selected="0">
            <x v="0"/>
          </reference>
          <reference field="21" count="1" selected="0">
            <x v="8"/>
          </reference>
          <reference field="22" count="1" selected="0">
            <x v="0"/>
          </reference>
          <reference field="23" count="1" selected="0">
            <x v="0"/>
          </reference>
          <reference field="24" count="1" selected="0">
            <x v="80"/>
          </reference>
        </references>
      </pivotArea>
    </format>
    <format dxfId="1760">
      <pivotArea dataOnly="0" labelOnly="1" outline="0" fieldPosition="0">
        <references count="9">
          <reference field="0" count="1" selected="0">
            <x v="3"/>
          </reference>
          <reference field="1" count="1" selected="0">
            <x v="42"/>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104"/>
          </reference>
          <reference field="24" count="1" selected="0">
            <x v="78"/>
          </reference>
        </references>
      </pivotArea>
    </format>
    <format dxfId="1759">
      <pivotArea dataOnly="0" labelOnly="1" outline="0" fieldPosition="0">
        <references count="9">
          <reference field="0" count="1" selected="0">
            <x v="1"/>
          </reference>
          <reference field="1" count="1" selected="0">
            <x v="43"/>
          </reference>
          <reference field="5" count="1" selected="0">
            <x v="2"/>
          </reference>
          <reference field="13" count="1">
            <x v="0"/>
          </reference>
          <reference field="20" count="1" selected="0">
            <x v="0"/>
          </reference>
          <reference field="21" count="1" selected="0">
            <x v="16"/>
          </reference>
          <reference field="22" count="1" selected="0">
            <x v="0"/>
          </reference>
          <reference field="23" count="1" selected="0">
            <x v="0"/>
          </reference>
          <reference field="24" count="1" selected="0">
            <x v="80"/>
          </reference>
        </references>
      </pivotArea>
    </format>
    <format dxfId="1758">
      <pivotArea dataOnly="0" labelOnly="1" outline="0" fieldPosition="0">
        <references count="9">
          <reference field="0" count="1" selected="0">
            <x v="3"/>
          </reference>
          <reference field="1" count="1" selected="0">
            <x v="44"/>
          </reference>
          <reference field="5" count="1" selected="0">
            <x v="2"/>
          </reference>
          <reference field="13" count="1">
            <x v="95"/>
          </reference>
          <reference field="20" count="1" selected="0">
            <x v="0"/>
          </reference>
          <reference field="21" count="1" selected="0">
            <x v="0"/>
          </reference>
          <reference field="22" count="1" selected="0">
            <x v="0"/>
          </reference>
          <reference field="23" count="1" selected="0">
            <x v="63"/>
          </reference>
          <reference field="24" count="1" selected="0">
            <x v="83"/>
          </reference>
        </references>
      </pivotArea>
    </format>
    <format dxfId="1757">
      <pivotArea dataOnly="0" labelOnly="1" outline="0" fieldPosition="0">
        <references count="9">
          <reference field="0" count="1" selected="0">
            <x v="3"/>
          </reference>
          <reference field="1" count="1" selected="0">
            <x v="45"/>
          </reference>
          <reference field="5" count="1" selected="0">
            <x v="2"/>
          </reference>
          <reference field="13" count="1">
            <x v="96"/>
          </reference>
          <reference field="20" count="1" selected="0">
            <x v="0"/>
          </reference>
          <reference field="21" count="1" selected="0">
            <x v="0"/>
          </reference>
          <reference field="22" count="1" selected="0">
            <x v="0"/>
          </reference>
          <reference field="23" count="1" selected="0">
            <x v="46"/>
          </reference>
          <reference field="24" count="1" selected="0">
            <x v="83"/>
          </reference>
        </references>
      </pivotArea>
    </format>
    <format dxfId="1756">
      <pivotArea dataOnly="0" labelOnly="1" outline="0" fieldPosition="0">
        <references count="9">
          <reference field="0" count="1" selected="0">
            <x v="3"/>
          </reference>
          <reference field="1" count="1" selected="0">
            <x v="46"/>
          </reference>
          <reference field="5" count="1" selected="0">
            <x v="2"/>
          </reference>
          <reference field="13" count="1">
            <x v="97"/>
          </reference>
          <reference field="20" count="1" selected="0">
            <x v="0"/>
          </reference>
          <reference field="21" count="1" selected="0">
            <x v="0"/>
          </reference>
          <reference field="22" count="1" selected="0">
            <x v="0"/>
          </reference>
          <reference field="23" count="1" selected="0">
            <x v="42"/>
          </reference>
          <reference field="24" count="1" selected="0">
            <x v="83"/>
          </reference>
        </references>
      </pivotArea>
    </format>
    <format dxfId="1755">
      <pivotArea dataOnly="0" labelOnly="1" outline="0" fieldPosition="0">
        <references count="9">
          <reference field="0" count="1" selected="0">
            <x v="3"/>
          </reference>
          <reference field="1" count="1" selected="0">
            <x v="47"/>
          </reference>
          <reference field="5" count="1" selected="0">
            <x v="2"/>
          </reference>
          <reference field="13" count="1">
            <x v="98"/>
          </reference>
          <reference field="20" count="1" selected="0">
            <x v="0"/>
          </reference>
          <reference field="21" count="1" selected="0">
            <x v="0"/>
          </reference>
          <reference field="22" count="1" selected="0">
            <x v="0"/>
          </reference>
          <reference field="23" count="1" selected="0">
            <x v="44"/>
          </reference>
          <reference field="24" count="1" selected="0">
            <x v="83"/>
          </reference>
        </references>
      </pivotArea>
    </format>
    <format dxfId="1754">
      <pivotArea dataOnly="0" labelOnly="1" outline="0" fieldPosition="0">
        <references count="9">
          <reference field="0" count="1" selected="0">
            <x v="0"/>
          </reference>
          <reference field="1" count="1" selected="0">
            <x v="48"/>
          </reference>
          <reference field="5" count="1" selected="0">
            <x v="2"/>
          </reference>
          <reference field="13" count="1">
            <x v="0"/>
          </reference>
          <reference field="20" count="1" selected="0">
            <x v="4"/>
          </reference>
          <reference field="21" count="1" selected="0">
            <x v="0"/>
          </reference>
          <reference field="22" count="1" selected="0">
            <x v="0"/>
          </reference>
          <reference field="23" count="1" selected="0">
            <x v="0"/>
          </reference>
          <reference field="24" count="1" selected="0">
            <x v="80"/>
          </reference>
        </references>
      </pivotArea>
    </format>
    <format dxfId="1753">
      <pivotArea dataOnly="0" labelOnly="1" outline="0" fieldPosition="0">
        <references count="9">
          <reference field="0" count="1" selected="0">
            <x v="3"/>
          </reference>
          <reference field="1" count="1" selected="0">
            <x v="54"/>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32"/>
          </reference>
          <reference field="24" count="1" selected="0">
            <x v="70"/>
          </reference>
        </references>
      </pivotArea>
    </format>
    <format dxfId="1752">
      <pivotArea dataOnly="0" labelOnly="1" outline="0" fieldPosition="0">
        <references count="9">
          <reference field="0" count="1" selected="0">
            <x v="3"/>
          </reference>
          <reference field="1" count="1" selected="0">
            <x v="55"/>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53"/>
          </reference>
          <reference field="24" count="1" selected="0">
            <x v="53"/>
          </reference>
        </references>
      </pivotArea>
    </format>
    <format dxfId="1751">
      <pivotArea dataOnly="0" labelOnly="1" outline="0" fieldPosition="0">
        <references count="9">
          <reference field="0" count="1" selected="0">
            <x v="1"/>
          </reference>
          <reference field="1" count="1" selected="0">
            <x v="57"/>
          </reference>
          <reference field="5" count="1" selected="0">
            <x v="2"/>
          </reference>
          <reference field="13" count="1">
            <x v="0"/>
          </reference>
          <reference field="20" count="1" selected="0">
            <x v="0"/>
          </reference>
          <reference field="21" count="1" selected="0">
            <x v="3"/>
          </reference>
          <reference field="22" count="1" selected="0">
            <x v="0"/>
          </reference>
          <reference field="23" count="1" selected="0">
            <x v="0"/>
          </reference>
          <reference field="24" count="1" selected="0">
            <x v="80"/>
          </reference>
        </references>
      </pivotArea>
    </format>
    <format dxfId="1750">
      <pivotArea dataOnly="0" labelOnly="1" outline="0" fieldPosition="0">
        <references count="9">
          <reference field="0" count="1" selected="0">
            <x v="3"/>
          </reference>
          <reference field="1" count="1" selected="0">
            <x v="59"/>
          </reference>
          <reference field="5" count="1" selected="0">
            <x v="2"/>
          </reference>
          <reference field="13" count="1">
            <x v="79"/>
          </reference>
          <reference field="20" count="1" selected="0">
            <x v="0"/>
          </reference>
          <reference field="21" count="1" selected="0">
            <x v="0"/>
          </reference>
          <reference field="22" count="1" selected="0">
            <x v="0"/>
          </reference>
          <reference field="23" count="1" selected="0">
            <x v="107"/>
          </reference>
          <reference field="24" count="1" selected="0">
            <x v="67"/>
          </reference>
        </references>
      </pivotArea>
    </format>
    <format dxfId="1749">
      <pivotArea dataOnly="0" labelOnly="1" outline="0" fieldPosition="0">
        <references count="9">
          <reference field="0" count="1" selected="0">
            <x v="2"/>
          </reference>
          <reference field="1" count="1" selected="0">
            <x v="61"/>
          </reference>
          <reference field="5" count="1" selected="0">
            <x v="2"/>
          </reference>
          <reference field="13" count="1">
            <x v="0"/>
          </reference>
          <reference field="20" count="1" selected="0">
            <x v="0"/>
          </reference>
          <reference field="21" count="1" selected="0">
            <x v="0"/>
          </reference>
          <reference field="22" count="1" selected="0">
            <x v="16"/>
          </reference>
          <reference field="23" count="1" selected="0">
            <x v="0"/>
          </reference>
          <reference field="24" count="1" selected="0">
            <x v="80"/>
          </reference>
        </references>
      </pivotArea>
    </format>
    <format dxfId="1748">
      <pivotArea dataOnly="0" labelOnly="1" outline="0" fieldPosition="0">
        <references count="9">
          <reference field="0" count="1" selected="0">
            <x v="3"/>
          </reference>
          <reference field="1" count="1" selected="0">
            <x v="62"/>
          </reference>
          <reference field="5" count="1" selected="0">
            <x v="2"/>
          </reference>
          <reference field="13" count="1">
            <x v="99"/>
          </reference>
          <reference field="20" count="1" selected="0">
            <x v="0"/>
          </reference>
          <reference field="21" count="1" selected="0">
            <x v="0"/>
          </reference>
          <reference field="22" count="1" selected="0">
            <x v="0"/>
          </reference>
          <reference field="23" count="1" selected="0">
            <x v="109"/>
          </reference>
          <reference field="24" count="1" selected="0">
            <x v="67"/>
          </reference>
        </references>
      </pivotArea>
    </format>
    <format dxfId="1747">
      <pivotArea dataOnly="0" labelOnly="1" outline="0" fieldPosition="0">
        <references count="9">
          <reference field="0" count="1" selected="0">
            <x v="3"/>
          </reference>
          <reference field="1" count="1" selected="0">
            <x v="64"/>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59"/>
          </reference>
          <reference field="24" count="1" selected="0">
            <x v="66"/>
          </reference>
        </references>
      </pivotArea>
    </format>
    <format dxfId="1746">
      <pivotArea dataOnly="0" labelOnly="1" outline="0" fieldPosition="0">
        <references count="9">
          <reference field="0" count="1" selected="0">
            <x v="3"/>
          </reference>
          <reference field="1" count="1" selected="0">
            <x v="65"/>
          </reference>
          <reference field="5" count="1" selected="0">
            <x v="2"/>
          </reference>
          <reference field="13" count="1">
            <x v="100"/>
          </reference>
          <reference field="20" count="1" selected="0">
            <x v="0"/>
          </reference>
          <reference field="21" count="1" selected="0">
            <x v="0"/>
          </reference>
          <reference field="22" count="1" selected="0">
            <x v="0"/>
          </reference>
          <reference field="23" count="1" selected="0">
            <x v="101"/>
          </reference>
          <reference field="24" count="1" selected="0">
            <x v="45"/>
          </reference>
        </references>
      </pivotArea>
    </format>
    <format dxfId="1745">
      <pivotArea dataOnly="0" labelOnly="1" outline="0" fieldPosition="0">
        <references count="9">
          <reference field="0" count="1" selected="0">
            <x v="3"/>
          </reference>
          <reference field="1" count="1" selected="0">
            <x v="66"/>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56"/>
          </reference>
          <reference field="24" count="1" selected="0">
            <x v="68"/>
          </reference>
        </references>
      </pivotArea>
    </format>
    <format dxfId="1744">
      <pivotArea dataOnly="0" labelOnly="1" outline="0" fieldPosition="0">
        <references count="9">
          <reference field="0" count="1" selected="0">
            <x v="3"/>
          </reference>
          <reference field="1" count="1" selected="0">
            <x v="67"/>
          </reference>
          <reference field="5" count="1" selected="0">
            <x v="2"/>
          </reference>
          <reference field="13" count="1">
            <x v="101"/>
          </reference>
          <reference field="20" count="1" selected="0">
            <x v="0"/>
          </reference>
          <reference field="21" count="1" selected="0">
            <x v="0"/>
          </reference>
          <reference field="22" count="1" selected="0">
            <x v="0"/>
          </reference>
          <reference field="23" count="1" selected="0">
            <x v="111"/>
          </reference>
          <reference field="24" count="1" selected="0">
            <x v="68"/>
          </reference>
        </references>
      </pivotArea>
    </format>
    <format dxfId="1743">
      <pivotArea dataOnly="0" labelOnly="1" outline="0" fieldPosition="0">
        <references count="9">
          <reference field="0" count="1" selected="0">
            <x v="2"/>
          </reference>
          <reference field="1" count="1" selected="0">
            <x v="68"/>
          </reference>
          <reference field="5" count="1" selected="0">
            <x v="2"/>
          </reference>
          <reference field="13" count="1">
            <x v="102"/>
          </reference>
          <reference field="20" count="1" selected="0">
            <x v="0"/>
          </reference>
          <reference field="21" count="1" selected="0">
            <x v="0"/>
          </reference>
          <reference field="22" count="1" selected="0">
            <x v="4"/>
          </reference>
          <reference field="23" count="1" selected="0">
            <x v="0"/>
          </reference>
          <reference field="24" count="1" selected="0">
            <x v="68"/>
          </reference>
        </references>
      </pivotArea>
    </format>
    <format dxfId="1742">
      <pivotArea dataOnly="0" labelOnly="1" outline="0" fieldPosition="0">
        <references count="9">
          <reference field="0" count="1" selected="0">
            <x v="2"/>
          </reference>
          <reference field="1" count="1" selected="0">
            <x v="69"/>
          </reference>
          <reference field="5" count="1" selected="0">
            <x v="2"/>
          </reference>
          <reference field="13" count="1">
            <x v="0"/>
          </reference>
          <reference field="20" count="1" selected="0">
            <x v="0"/>
          </reference>
          <reference field="21" count="1" selected="0">
            <x v="0"/>
          </reference>
          <reference field="22" count="1" selected="0">
            <x v="25"/>
          </reference>
          <reference field="23" count="1" selected="0">
            <x v="0"/>
          </reference>
          <reference field="24" count="1" selected="0">
            <x v="80"/>
          </reference>
        </references>
      </pivotArea>
    </format>
    <format dxfId="1741">
      <pivotArea dataOnly="0" labelOnly="1" outline="0" fieldPosition="0">
        <references count="9">
          <reference field="0" count="1" selected="0">
            <x v="3"/>
          </reference>
          <reference field="1" count="1" selected="0">
            <x v="70"/>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67"/>
          </reference>
          <reference field="24" count="1" selected="0">
            <x v="67"/>
          </reference>
        </references>
      </pivotArea>
    </format>
    <format dxfId="1740">
      <pivotArea dataOnly="0" labelOnly="1" outline="0" fieldPosition="0">
        <references count="9">
          <reference field="0" count="1" selected="0">
            <x v="3"/>
          </reference>
          <reference field="1" count="1" selected="0">
            <x v="71"/>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31"/>
          </reference>
          <reference field="24" count="1" selected="0">
            <x v="67"/>
          </reference>
        </references>
      </pivotArea>
    </format>
    <format dxfId="1739">
      <pivotArea dataOnly="0" labelOnly="1" outline="0" fieldPosition="0">
        <references count="9">
          <reference field="0" count="1" selected="0">
            <x v="3"/>
          </reference>
          <reference field="1" count="1" selected="0">
            <x v="74"/>
          </reference>
          <reference field="5" count="1" selected="0">
            <x v="2"/>
          </reference>
          <reference field="13" count="1">
            <x v="103"/>
          </reference>
          <reference field="20" count="1" selected="0">
            <x v="0"/>
          </reference>
          <reference field="21" count="1" selected="0">
            <x v="0"/>
          </reference>
          <reference field="22" count="1" selected="0">
            <x v="0"/>
          </reference>
          <reference field="23" count="1" selected="0">
            <x v="94"/>
          </reference>
          <reference field="24" count="1" selected="0">
            <x v="76"/>
          </reference>
        </references>
      </pivotArea>
    </format>
    <format dxfId="1738">
      <pivotArea dataOnly="0" labelOnly="1" outline="0" fieldPosition="0">
        <references count="9">
          <reference field="0" count="1" selected="0">
            <x v="3"/>
          </reference>
          <reference field="1" count="1" selected="0">
            <x v="75"/>
          </reference>
          <reference field="5" count="1" selected="0">
            <x v="2"/>
          </reference>
          <reference field="13" count="1">
            <x v="104"/>
          </reference>
          <reference field="20" count="1" selected="0">
            <x v="0"/>
          </reference>
          <reference field="21" count="1" selected="0">
            <x v="0"/>
          </reference>
          <reference field="22" count="1" selected="0">
            <x v="0"/>
          </reference>
          <reference field="23" count="1" selected="0">
            <x v="112"/>
          </reference>
          <reference field="24" count="1" selected="0">
            <x v="68"/>
          </reference>
        </references>
      </pivotArea>
    </format>
    <format dxfId="1737">
      <pivotArea dataOnly="0" labelOnly="1" outline="0" fieldPosition="0">
        <references count="9">
          <reference field="0" count="1" selected="0">
            <x v="3"/>
          </reference>
          <reference field="1" count="1" selected="0">
            <x v="76"/>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8"/>
          </reference>
          <reference field="24" count="1" selected="0">
            <x v="48"/>
          </reference>
        </references>
      </pivotArea>
    </format>
    <format dxfId="1736">
      <pivotArea dataOnly="0" labelOnly="1" outline="0" fieldPosition="0">
        <references count="9">
          <reference field="0" count="1" selected="0">
            <x v="1"/>
          </reference>
          <reference field="1" count="1" selected="0">
            <x v="78"/>
          </reference>
          <reference field="5" count="1" selected="0">
            <x v="2"/>
          </reference>
          <reference field="13" count="1">
            <x v="0"/>
          </reference>
          <reference field="20" count="1" selected="0">
            <x v="0"/>
          </reference>
          <reference field="21" count="1" selected="0">
            <x v="11"/>
          </reference>
          <reference field="22" count="1" selected="0">
            <x v="0"/>
          </reference>
          <reference field="23" count="1" selected="0">
            <x v="0"/>
          </reference>
          <reference field="24" count="1" selected="0">
            <x v="80"/>
          </reference>
        </references>
      </pivotArea>
    </format>
    <format dxfId="1735">
      <pivotArea dataOnly="0" labelOnly="1" outline="0" fieldPosition="0">
        <references count="9">
          <reference field="0" count="1" selected="0">
            <x v="3"/>
          </reference>
          <reference field="1" count="1" selected="0">
            <x v="80"/>
          </reference>
          <reference field="5" count="1" selected="0">
            <x v="2"/>
          </reference>
          <reference field="13" count="1">
            <x v="105"/>
          </reference>
          <reference field="20" count="1" selected="0">
            <x v="0"/>
          </reference>
          <reference field="21" count="1" selected="0">
            <x v="0"/>
          </reference>
          <reference field="22" count="1" selected="0">
            <x v="0"/>
          </reference>
          <reference field="23" count="1" selected="0">
            <x v="37"/>
          </reference>
          <reference field="24" count="1" selected="0">
            <x v="36"/>
          </reference>
        </references>
      </pivotArea>
    </format>
    <format dxfId="1734">
      <pivotArea dataOnly="0" labelOnly="1" outline="0" fieldPosition="0">
        <references count="9">
          <reference field="0" count="1" selected="0">
            <x v="3"/>
          </reference>
          <reference field="1" count="1" selected="0">
            <x v="81"/>
          </reference>
          <reference field="5" count="1" selected="0">
            <x v="2"/>
          </reference>
          <reference field="13" count="1">
            <x v="106"/>
          </reference>
          <reference field="20" count="1" selected="0">
            <x v="0"/>
          </reference>
          <reference field="21" count="1" selected="0">
            <x v="0"/>
          </reference>
          <reference field="22" count="1" selected="0">
            <x v="0"/>
          </reference>
          <reference field="23" count="1" selected="0">
            <x v="12"/>
          </reference>
          <reference field="24" count="1" selected="0">
            <x v="36"/>
          </reference>
        </references>
      </pivotArea>
    </format>
    <format dxfId="1733">
      <pivotArea dataOnly="0" labelOnly="1" outline="0" fieldPosition="0">
        <references count="9">
          <reference field="0" count="1" selected="0">
            <x v="3"/>
          </reference>
          <reference field="1" count="1" selected="0">
            <x v="82"/>
          </reference>
          <reference field="5" count="1" selected="0">
            <x v="2"/>
          </reference>
          <reference field="13" count="1">
            <x v="107"/>
          </reference>
          <reference field="20" count="1" selected="0">
            <x v="0"/>
          </reference>
          <reference field="21" count="1" selected="0">
            <x v="0"/>
          </reference>
          <reference field="22" count="1" selected="0">
            <x v="0"/>
          </reference>
          <reference field="23" count="1" selected="0">
            <x v="7"/>
          </reference>
          <reference field="24" count="1" selected="0">
            <x v="36"/>
          </reference>
        </references>
      </pivotArea>
    </format>
    <format dxfId="1732">
      <pivotArea dataOnly="0" labelOnly="1" outline="0" fieldPosition="0">
        <references count="9">
          <reference field="0" count="1" selected="0">
            <x v="3"/>
          </reference>
          <reference field="1" count="1" selected="0">
            <x v="83"/>
          </reference>
          <reference field="5" count="1" selected="0">
            <x v="2"/>
          </reference>
          <reference field="13" count="1">
            <x v="108"/>
          </reference>
          <reference field="20" count="1" selected="0">
            <x v="0"/>
          </reference>
          <reference field="21" count="1" selected="0">
            <x v="0"/>
          </reference>
          <reference field="22" count="1" selected="0">
            <x v="0"/>
          </reference>
          <reference field="23" count="1" selected="0">
            <x v="9"/>
          </reference>
          <reference field="24" count="1" selected="0">
            <x v="36"/>
          </reference>
        </references>
      </pivotArea>
    </format>
    <format dxfId="1731">
      <pivotArea dataOnly="0" labelOnly="1" outline="0" fieldPosition="0">
        <references count="9">
          <reference field="0" count="1" selected="0">
            <x v="3"/>
          </reference>
          <reference field="1" count="1" selected="0">
            <x v="84"/>
          </reference>
          <reference field="5" count="1" selected="0">
            <x v="2"/>
          </reference>
          <reference field="13" count="1">
            <x v="109"/>
          </reference>
          <reference field="20" count="1" selected="0">
            <x v="0"/>
          </reference>
          <reference field="21" count="1" selected="0">
            <x v="0"/>
          </reference>
          <reference field="22" count="1" selected="0">
            <x v="0"/>
          </reference>
          <reference field="23" count="1" selected="0">
            <x v="11"/>
          </reference>
          <reference field="24" count="1" selected="0">
            <x v="36"/>
          </reference>
        </references>
      </pivotArea>
    </format>
    <format dxfId="1730">
      <pivotArea dataOnly="0" labelOnly="1" outline="0" fieldPosition="0">
        <references count="9">
          <reference field="0" count="1" selected="0">
            <x v="3"/>
          </reference>
          <reference field="1" count="1" selected="0">
            <x v="85"/>
          </reference>
          <reference field="5" count="1" selected="0">
            <x v="2"/>
          </reference>
          <reference field="13" count="1">
            <x v="110"/>
          </reference>
          <reference field="20" count="1" selected="0">
            <x v="0"/>
          </reference>
          <reference field="21" count="1" selected="0">
            <x v="0"/>
          </reference>
          <reference field="22" count="1" selected="0">
            <x v="0"/>
          </reference>
          <reference field="23" count="1" selected="0">
            <x v="6"/>
          </reference>
          <reference field="24" count="1" selected="0">
            <x v="36"/>
          </reference>
        </references>
      </pivotArea>
    </format>
    <format dxfId="1729">
      <pivotArea dataOnly="0" labelOnly="1" outline="0" fieldPosition="0">
        <references count="9">
          <reference field="0" count="1" selected="0">
            <x v="3"/>
          </reference>
          <reference field="1" count="1" selected="0">
            <x v="86"/>
          </reference>
          <reference field="5" count="1" selected="0">
            <x v="2"/>
          </reference>
          <reference field="13" count="1">
            <x v="111"/>
          </reference>
          <reference field="20" count="1" selected="0">
            <x v="0"/>
          </reference>
          <reference field="21" count="1" selected="0">
            <x v="0"/>
          </reference>
          <reference field="22" count="1" selected="0">
            <x v="0"/>
          </reference>
          <reference field="23" count="1" selected="0">
            <x v="8"/>
          </reference>
          <reference field="24" count="1" selected="0">
            <x v="36"/>
          </reference>
        </references>
      </pivotArea>
    </format>
    <format dxfId="1728">
      <pivotArea dataOnly="0" labelOnly="1" outline="0" fieldPosition="0">
        <references count="9">
          <reference field="0" count="1" selected="0">
            <x v="3"/>
          </reference>
          <reference field="1" count="1" selected="0">
            <x v="87"/>
          </reference>
          <reference field="5" count="1" selected="0">
            <x v="2"/>
          </reference>
          <reference field="13" count="1">
            <x v="112"/>
          </reference>
          <reference field="20" count="1" selected="0">
            <x v="0"/>
          </reference>
          <reference field="21" count="1" selected="0">
            <x v="0"/>
          </reference>
          <reference field="22" count="1" selected="0">
            <x v="0"/>
          </reference>
          <reference field="23" count="1" selected="0">
            <x v="10"/>
          </reference>
          <reference field="24" count="1" selected="0">
            <x v="36"/>
          </reference>
        </references>
      </pivotArea>
    </format>
    <format dxfId="1727">
      <pivotArea dataOnly="0" labelOnly="1" outline="0" fieldPosition="0">
        <references count="9">
          <reference field="0" count="1" selected="0">
            <x v="3"/>
          </reference>
          <reference field="1" count="1" selected="0">
            <x v="88"/>
          </reference>
          <reference field="5" count="1" selected="0">
            <x v="2"/>
          </reference>
          <reference field="13" count="1">
            <x v="113"/>
          </reference>
          <reference field="20" count="1" selected="0">
            <x v="0"/>
          </reference>
          <reference field="21" count="1" selected="0">
            <x v="0"/>
          </reference>
          <reference field="22" count="1" selected="0">
            <x v="0"/>
          </reference>
          <reference field="23" count="1" selected="0">
            <x v="13"/>
          </reference>
          <reference field="24" count="1" selected="0">
            <x v="36"/>
          </reference>
        </references>
      </pivotArea>
    </format>
    <format dxfId="1726">
      <pivotArea dataOnly="0" labelOnly="1" outline="0" fieldPosition="0">
        <references count="9">
          <reference field="0" count="1" selected="0">
            <x v="3"/>
          </reference>
          <reference field="1" count="1" selected="0">
            <x v="89"/>
          </reference>
          <reference field="5" count="1" selected="0">
            <x v="2"/>
          </reference>
          <reference field="13" count="1">
            <x v="114"/>
          </reference>
          <reference field="20" count="1" selected="0">
            <x v="0"/>
          </reference>
          <reference field="21" count="1" selected="0">
            <x v="0"/>
          </reference>
          <reference field="22" count="1" selected="0">
            <x v="0"/>
          </reference>
          <reference field="23" count="1" selected="0">
            <x v="1"/>
          </reference>
          <reference field="24" count="1" selected="0">
            <x v="36"/>
          </reference>
        </references>
      </pivotArea>
    </format>
    <format dxfId="1725">
      <pivotArea dataOnly="0" labelOnly="1" outline="0" fieldPosition="0">
        <references count="9">
          <reference field="0" count="1" selected="0">
            <x v="2"/>
          </reference>
          <reference field="1" count="1" selected="0">
            <x v="90"/>
          </reference>
          <reference field="5" count="1" selected="0">
            <x v="2"/>
          </reference>
          <reference field="13" count="1">
            <x v="0"/>
          </reference>
          <reference field="20" count="1" selected="0">
            <x v="0"/>
          </reference>
          <reference field="21" count="1" selected="0">
            <x v="0"/>
          </reference>
          <reference field="22" count="1" selected="0">
            <x v="29"/>
          </reference>
          <reference field="23" count="1" selected="0">
            <x v="0"/>
          </reference>
          <reference field="24" count="1" selected="0">
            <x v="80"/>
          </reference>
        </references>
      </pivotArea>
    </format>
    <format dxfId="1724">
      <pivotArea dataOnly="0" labelOnly="1" outline="0" fieldPosition="0">
        <references count="9">
          <reference field="0" count="1" selected="0">
            <x v="3"/>
          </reference>
          <reference field="1" count="1" selected="0">
            <x v="91"/>
          </reference>
          <reference field="5" count="1" selected="0">
            <x v="2"/>
          </reference>
          <reference field="13" count="1">
            <x v="115"/>
          </reference>
          <reference field="20" count="1" selected="0">
            <x v="0"/>
          </reference>
          <reference field="21" count="1" selected="0">
            <x v="0"/>
          </reference>
          <reference field="22" count="1" selected="0">
            <x v="0"/>
          </reference>
          <reference field="23" count="1" selected="0">
            <x v="37"/>
          </reference>
          <reference field="24" count="1" selected="0">
            <x v="35"/>
          </reference>
        </references>
      </pivotArea>
    </format>
    <format dxfId="1723">
      <pivotArea dataOnly="0" labelOnly="1" outline="0" fieldPosition="0">
        <references count="9">
          <reference field="0" count="1" selected="0">
            <x v="3"/>
          </reference>
          <reference field="1" count="1" selected="0">
            <x v="92"/>
          </reference>
          <reference field="5" count="1" selected="0">
            <x v="2"/>
          </reference>
          <reference field="13" count="1">
            <x v="116"/>
          </reference>
          <reference field="20" count="1" selected="0">
            <x v="0"/>
          </reference>
          <reference field="21" count="1" selected="0">
            <x v="0"/>
          </reference>
          <reference field="22" count="1" selected="0">
            <x v="0"/>
          </reference>
          <reference field="23" count="1" selected="0">
            <x v="12"/>
          </reference>
          <reference field="24" count="1" selected="0">
            <x v="35"/>
          </reference>
        </references>
      </pivotArea>
    </format>
    <format dxfId="1722">
      <pivotArea dataOnly="0" labelOnly="1" outline="0" fieldPosition="0">
        <references count="9">
          <reference field="0" count="1" selected="0">
            <x v="3"/>
          </reference>
          <reference field="1" count="1" selected="0">
            <x v="93"/>
          </reference>
          <reference field="5" count="1" selected="0">
            <x v="2"/>
          </reference>
          <reference field="13" count="1">
            <x v="117"/>
          </reference>
          <reference field="20" count="1" selected="0">
            <x v="0"/>
          </reference>
          <reference field="21" count="1" selected="0">
            <x v="0"/>
          </reference>
          <reference field="22" count="1" selected="0">
            <x v="0"/>
          </reference>
          <reference field="23" count="1" selected="0">
            <x v="7"/>
          </reference>
          <reference field="24" count="1" selected="0">
            <x v="35"/>
          </reference>
        </references>
      </pivotArea>
    </format>
    <format dxfId="1721">
      <pivotArea dataOnly="0" labelOnly="1" outline="0" fieldPosition="0">
        <references count="9">
          <reference field="0" count="1" selected="0">
            <x v="3"/>
          </reference>
          <reference field="1" count="1" selected="0">
            <x v="94"/>
          </reference>
          <reference field="5" count="1" selected="0">
            <x v="2"/>
          </reference>
          <reference field="13" count="1">
            <x v="118"/>
          </reference>
          <reference field="20" count="1" selected="0">
            <x v="0"/>
          </reference>
          <reference field="21" count="1" selected="0">
            <x v="0"/>
          </reference>
          <reference field="22" count="1" selected="0">
            <x v="0"/>
          </reference>
          <reference field="23" count="1" selected="0">
            <x v="9"/>
          </reference>
          <reference field="24" count="1" selected="0">
            <x v="35"/>
          </reference>
        </references>
      </pivotArea>
    </format>
    <format dxfId="1720">
      <pivotArea dataOnly="0" labelOnly="1" outline="0" fieldPosition="0">
        <references count="9">
          <reference field="0" count="1" selected="0">
            <x v="3"/>
          </reference>
          <reference field="1" count="1" selected="0">
            <x v="95"/>
          </reference>
          <reference field="5" count="1" selected="0">
            <x v="2"/>
          </reference>
          <reference field="13" count="1">
            <x v="119"/>
          </reference>
          <reference field="20" count="1" selected="0">
            <x v="0"/>
          </reference>
          <reference field="21" count="1" selected="0">
            <x v="0"/>
          </reference>
          <reference field="22" count="1" selected="0">
            <x v="0"/>
          </reference>
          <reference field="23" count="1" selected="0">
            <x v="11"/>
          </reference>
          <reference field="24" count="1" selected="0">
            <x v="35"/>
          </reference>
        </references>
      </pivotArea>
    </format>
    <format dxfId="1719">
      <pivotArea dataOnly="0" labelOnly="1" outline="0" fieldPosition="0">
        <references count="9">
          <reference field="0" count="1" selected="0">
            <x v="3"/>
          </reference>
          <reference field="1" count="1" selected="0">
            <x v="96"/>
          </reference>
          <reference field="5" count="1" selected="0">
            <x v="2"/>
          </reference>
          <reference field="13" count="1">
            <x v="120"/>
          </reference>
          <reference field="20" count="1" selected="0">
            <x v="0"/>
          </reference>
          <reference field="21" count="1" selected="0">
            <x v="0"/>
          </reference>
          <reference field="22" count="1" selected="0">
            <x v="0"/>
          </reference>
          <reference field="23" count="1" selected="0">
            <x v="6"/>
          </reference>
          <reference field="24" count="1" selected="0">
            <x v="35"/>
          </reference>
        </references>
      </pivotArea>
    </format>
    <format dxfId="1718">
      <pivotArea dataOnly="0" labelOnly="1" outline="0" fieldPosition="0">
        <references count="9">
          <reference field="0" count="1" selected="0">
            <x v="3"/>
          </reference>
          <reference field="1" count="1" selected="0">
            <x v="97"/>
          </reference>
          <reference field="5" count="1" selected="0">
            <x v="2"/>
          </reference>
          <reference field="13" count="1">
            <x v="121"/>
          </reference>
          <reference field="20" count="1" selected="0">
            <x v="0"/>
          </reference>
          <reference field="21" count="1" selected="0">
            <x v="0"/>
          </reference>
          <reference field="22" count="1" selected="0">
            <x v="0"/>
          </reference>
          <reference field="23" count="1" selected="0">
            <x v="8"/>
          </reference>
          <reference field="24" count="1" selected="0">
            <x v="35"/>
          </reference>
        </references>
      </pivotArea>
    </format>
    <format dxfId="1717">
      <pivotArea dataOnly="0" labelOnly="1" outline="0" fieldPosition="0">
        <references count="9">
          <reference field="0" count="1" selected="0">
            <x v="3"/>
          </reference>
          <reference field="1" count="1" selected="0">
            <x v="98"/>
          </reference>
          <reference field="5" count="1" selected="0">
            <x v="2"/>
          </reference>
          <reference field="13" count="1">
            <x v="122"/>
          </reference>
          <reference field="20" count="1" selected="0">
            <x v="0"/>
          </reference>
          <reference field="21" count="1" selected="0">
            <x v="0"/>
          </reference>
          <reference field="22" count="1" selected="0">
            <x v="0"/>
          </reference>
          <reference field="23" count="1" selected="0">
            <x v="10"/>
          </reference>
          <reference field="24" count="1" selected="0">
            <x v="35"/>
          </reference>
        </references>
      </pivotArea>
    </format>
    <format dxfId="1716">
      <pivotArea dataOnly="0" labelOnly="1" outline="0" fieldPosition="0">
        <references count="9">
          <reference field="0" count="1" selected="0">
            <x v="3"/>
          </reference>
          <reference field="1" count="1" selected="0">
            <x v="99"/>
          </reference>
          <reference field="5" count="1" selected="0">
            <x v="2"/>
          </reference>
          <reference field="13" count="1">
            <x v="123"/>
          </reference>
          <reference field="20" count="1" selected="0">
            <x v="0"/>
          </reference>
          <reference field="21" count="1" selected="0">
            <x v="0"/>
          </reference>
          <reference field="22" count="1" selected="0">
            <x v="0"/>
          </reference>
          <reference field="23" count="1" selected="0">
            <x v="13"/>
          </reference>
          <reference field="24" count="1" selected="0">
            <x v="35"/>
          </reference>
        </references>
      </pivotArea>
    </format>
    <format dxfId="1715">
      <pivotArea dataOnly="0" labelOnly="1" outline="0" fieldPosition="0">
        <references count="9">
          <reference field="0" count="1" selected="0">
            <x v="3"/>
          </reference>
          <reference field="1" count="1" selected="0">
            <x v="100"/>
          </reference>
          <reference field="5" count="1" selected="0">
            <x v="2"/>
          </reference>
          <reference field="13" count="1">
            <x v="124"/>
          </reference>
          <reference field="20" count="1" selected="0">
            <x v="0"/>
          </reference>
          <reference field="21" count="1" selected="0">
            <x v="0"/>
          </reference>
          <reference field="22" count="1" selected="0">
            <x v="0"/>
          </reference>
          <reference field="23" count="1" selected="0">
            <x v="1"/>
          </reference>
          <reference field="24" count="1" selected="0">
            <x v="35"/>
          </reference>
        </references>
      </pivotArea>
    </format>
    <format dxfId="1714">
      <pivotArea dataOnly="0" labelOnly="1" outline="0" fieldPosition="0">
        <references count="9">
          <reference field="0" count="1" selected="0">
            <x v="2"/>
          </reference>
          <reference field="1" count="1" selected="0">
            <x v="101"/>
          </reference>
          <reference field="5" count="1" selected="0">
            <x v="2"/>
          </reference>
          <reference field="13" count="1">
            <x v="0"/>
          </reference>
          <reference field="20" count="1" selected="0">
            <x v="0"/>
          </reference>
          <reference field="21" count="1" selected="0">
            <x v="0"/>
          </reference>
          <reference field="22" count="1" selected="0">
            <x v="10"/>
          </reference>
          <reference field="23" count="1" selected="0">
            <x v="0"/>
          </reference>
          <reference field="24" count="1" selected="0">
            <x v="80"/>
          </reference>
        </references>
      </pivotArea>
    </format>
    <format dxfId="1713">
      <pivotArea dataOnly="0" labelOnly="1" outline="0" fieldPosition="0">
        <references count="9">
          <reference field="0" count="1" selected="0">
            <x v="3"/>
          </reference>
          <reference field="1" count="1" selected="0">
            <x v="102"/>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4"/>
          </reference>
          <reference field="24" count="1" selected="0">
            <x v="33"/>
          </reference>
        </references>
      </pivotArea>
    </format>
    <format dxfId="1712">
      <pivotArea dataOnly="0" labelOnly="1" outline="0" fieldPosition="0">
        <references count="9">
          <reference field="0" count="1" selected="0">
            <x v="3"/>
          </reference>
          <reference field="1" count="1" selected="0">
            <x v="103"/>
          </reference>
          <reference field="5" count="1" selected="0">
            <x v="2"/>
          </reference>
          <reference field="13" count="1">
            <x v="125"/>
          </reference>
          <reference field="20" count="1" selected="0">
            <x v="0"/>
          </reference>
          <reference field="21" count="1" selected="0">
            <x v="0"/>
          </reference>
          <reference field="22" count="1" selected="0">
            <x v="0"/>
          </reference>
          <reference field="23" count="1" selected="0">
            <x v="49"/>
          </reference>
          <reference field="24" count="1" selected="0">
            <x v="29"/>
          </reference>
        </references>
      </pivotArea>
    </format>
    <format dxfId="1711">
      <pivotArea dataOnly="0" labelOnly="1" outline="0" fieldPosition="0">
        <references count="9">
          <reference field="0" count="1" selected="0">
            <x v="3"/>
          </reference>
          <reference field="1" count="1" selected="0">
            <x v="104"/>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1"/>
          </reference>
          <reference field="24" count="1" selected="0">
            <x v="30"/>
          </reference>
        </references>
      </pivotArea>
    </format>
    <format dxfId="1710">
      <pivotArea dataOnly="0" labelOnly="1" outline="0" fieldPosition="0">
        <references count="9">
          <reference field="0" count="1" selected="0">
            <x v="3"/>
          </reference>
          <reference field="1" count="1" selected="0">
            <x v="105"/>
          </reference>
          <reference field="5" count="1" selected="0">
            <x v="2"/>
          </reference>
          <reference field="13" count="1">
            <x v="125"/>
          </reference>
          <reference field="20" count="1" selected="0">
            <x v="0"/>
          </reference>
          <reference field="21" count="1" selected="0">
            <x v="0"/>
          </reference>
          <reference field="22" count="1" selected="0">
            <x v="0"/>
          </reference>
          <reference field="23" count="1" selected="0">
            <x v="48"/>
          </reference>
          <reference field="24" count="1" selected="0">
            <x v="29"/>
          </reference>
        </references>
      </pivotArea>
    </format>
    <format dxfId="1709">
      <pivotArea dataOnly="0" labelOnly="1" outline="0" fieldPosition="0">
        <references count="9">
          <reference field="0" count="1" selected="0">
            <x v="3"/>
          </reference>
          <reference field="1" count="1" selected="0">
            <x v="106"/>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0"/>
          </reference>
          <reference field="24" count="1" selected="0">
            <x v="31"/>
          </reference>
        </references>
      </pivotArea>
    </format>
    <format dxfId="1708">
      <pivotArea dataOnly="0" labelOnly="1" outline="0" fieldPosition="0">
        <references count="9">
          <reference field="0" count="1" selected="0">
            <x v="3"/>
          </reference>
          <reference field="1" count="1" selected="0">
            <x v="107"/>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3"/>
          </reference>
          <reference field="24" count="1" selected="0">
            <x v="69"/>
          </reference>
        </references>
      </pivotArea>
    </format>
    <format dxfId="1707">
      <pivotArea dataOnly="0" labelOnly="1" outline="0" fieldPosition="0">
        <references count="9">
          <reference field="0" count="1" selected="0">
            <x v="3"/>
          </reference>
          <reference field="1" count="1" selected="0">
            <x v="108"/>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82"/>
          </reference>
          <reference field="24" count="1" selected="0">
            <x v="58"/>
          </reference>
        </references>
      </pivotArea>
    </format>
    <format dxfId="1706">
      <pivotArea dataOnly="0" labelOnly="1" outline="0" fieldPosition="0">
        <references count="9">
          <reference field="0" count="1" selected="0">
            <x v="3"/>
          </reference>
          <reference field="1" count="1" selected="0">
            <x v="110"/>
          </reference>
          <reference field="5" count="1" selected="0">
            <x v="2"/>
          </reference>
          <reference field="13" count="1">
            <x v="126"/>
          </reference>
          <reference field="20" count="1" selected="0">
            <x v="0"/>
          </reference>
          <reference field="21" count="1" selected="0">
            <x v="0"/>
          </reference>
          <reference field="22" count="1" selected="0">
            <x v="0"/>
          </reference>
          <reference field="23" count="1" selected="0">
            <x v="83"/>
          </reference>
          <reference field="24" count="1" selected="0">
            <x v="23"/>
          </reference>
        </references>
      </pivotArea>
    </format>
    <format dxfId="1705">
      <pivotArea dataOnly="0" labelOnly="1" outline="0" fieldPosition="0">
        <references count="9">
          <reference field="0" count="1" selected="0">
            <x v="2"/>
          </reference>
          <reference field="1" count="1" selected="0">
            <x v="111"/>
          </reference>
          <reference field="5" count="1" selected="0">
            <x v="2"/>
          </reference>
          <reference field="13" count="1">
            <x v="0"/>
          </reference>
          <reference field="20" count="1" selected="0">
            <x v="0"/>
          </reference>
          <reference field="21" count="1" selected="0">
            <x v="0"/>
          </reference>
          <reference field="22" count="1" selected="0">
            <x v="18"/>
          </reference>
          <reference field="23" count="1" selected="0">
            <x v="0"/>
          </reference>
          <reference field="24" count="1" selected="0">
            <x v="80"/>
          </reference>
        </references>
      </pivotArea>
    </format>
    <format dxfId="1704">
      <pivotArea dataOnly="0" labelOnly="1" outline="0" fieldPosition="0">
        <references count="9">
          <reference field="0" count="1" selected="0">
            <x v="3"/>
          </reference>
          <reference field="1" count="1" selected="0">
            <x v="112"/>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52"/>
          </reference>
          <reference field="24" count="1" selected="0">
            <x v="49"/>
          </reference>
        </references>
      </pivotArea>
    </format>
    <format dxfId="1703">
      <pivotArea dataOnly="0" labelOnly="1" outline="0" fieldPosition="0">
        <references count="9">
          <reference field="0" count="1" selected="0">
            <x v="3"/>
          </reference>
          <reference field="1" count="1" selected="0">
            <x v="113"/>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24"/>
          </reference>
          <reference field="24" count="1" selected="0">
            <x v="20"/>
          </reference>
        </references>
      </pivotArea>
    </format>
    <format dxfId="1702">
      <pivotArea dataOnly="0" labelOnly="1" outline="0" fieldPosition="0">
        <references count="9">
          <reference field="0" count="1" selected="0">
            <x v="3"/>
          </reference>
          <reference field="1" count="1" selected="0">
            <x v="114"/>
          </reference>
          <reference field="5" count="1" selected="0">
            <x v="2"/>
          </reference>
          <reference field="13" count="1">
            <x v="127"/>
          </reference>
          <reference field="20" count="1" selected="0">
            <x v="0"/>
          </reference>
          <reference field="21" count="1" selected="0">
            <x v="0"/>
          </reference>
          <reference field="22" count="1" selected="0">
            <x v="0"/>
          </reference>
          <reference field="23" count="1" selected="0">
            <x v="77"/>
          </reference>
          <reference field="24" count="1" selected="0">
            <x v="13"/>
          </reference>
        </references>
      </pivotArea>
    </format>
    <format dxfId="1701">
      <pivotArea dataOnly="0" labelOnly="1" outline="0" fieldPosition="0">
        <references count="9">
          <reference field="0" count="1" selected="0">
            <x v="3"/>
          </reference>
          <reference field="1" count="1" selected="0">
            <x v="115"/>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29"/>
          </reference>
          <reference field="24" count="1" selected="0">
            <x v="14"/>
          </reference>
        </references>
      </pivotArea>
    </format>
    <format dxfId="1700">
      <pivotArea dataOnly="0" labelOnly="1" outline="0" fieldPosition="0">
        <references count="9">
          <reference field="0" count="1" selected="0">
            <x v="3"/>
          </reference>
          <reference field="1" count="1" selected="0">
            <x v="116"/>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22"/>
          </reference>
          <reference field="24" count="1" selected="0">
            <x v="47"/>
          </reference>
        </references>
      </pivotArea>
    </format>
    <format dxfId="1699">
      <pivotArea dataOnly="0" labelOnly="1" outline="0" fieldPosition="0">
        <references count="9">
          <reference field="0" count="1" selected="0">
            <x v="2"/>
          </reference>
          <reference field="1" count="1" selected="0">
            <x v="117"/>
          </reference>
          <reference field="5" count="1" selected="0">
            <x v="2"/>
          </reference>
          <reference field="13" count="1">
            <x v="0"/>
          </reference>
          <reference field="20" count="1" selected="0">
            <x v="0"/>
          </reference>
          <reference field="21" count="1" selected="0">
            <x v="0"/>
          </reference>
          <reference field="22" count="1" selected="0">
            <x v="11"/>
          </reference>
          <reference field="23" count="1" selected="0">
            <x v="0"/>
          </reference>
          <reference field="24" count="1" selected="0">
            <x v="80"/>
          </reference>
        </references>
      </pivotArea>
    </format>
    <format dxfId="1698">
      <pivotArea dataOnly="0" labelOnly="1" outline="0" fieldPosition="0">
        <references count="9">
          <reference field="0" count="1" selected="0">
            <x v="3"/>
          </reference>
          <reference field="1" count="1" selected="0">
            <x v="118"/>
          </reference>
          <reference field="5" count="1" selected="0">
            <x v="2"/>
          </reference>
          <reference field="13" count="1">
            <x v="128"/>
          </reference>
          <reference field="20" count="1" selected="0">
            <x v="0"/>
          </reference>
          <reference field="21" count="1" selected="0">
            <x v="0"/>
          </reference>
          <reference field="22" count="1" selected="0">
            <x v="0"/>
          </reference>
          <reference field="23" count="1" selected="0">
            <x v="78"/>
          </reference>
          <reference field="24" count="1" selected="0">
            <x v="68"/>
          </reference>
        </references>
      </pivotArea>
    </format>
    <format dxfId="1697">
      <pivotArea dataOnly="0" labelOnly="1" outline="0" fieldPosition="0">
        <references count="9">
          <reference field="0" count="1" selected="0">
            <x v="3"/>
          </reference>
          <reference field="1" count="1" selected="0">
            <x v="119"/>
          </reference>
          <reference field="5" count="1" selected="0">
            <x v="2"/>
          </reference>
          <reference field="13" count="1">
            <x v="129"/>
          </reference>
          <reference field="20" count="1" selected="0">
            <x v="0"/>
          </reference>
          <reference field="21" count="1" selected="0">
            <x v="0"/>
          </reference>
          <reference field="22" count="1" selected="0">
            <x v="0"/>
          </reference>
          <reference field="23" count="1" selected="0">
            <x v="79"/>
          </reference>
          <reference field="24" count="1" selected="0">
            <x v="44"/>
          </reference>
        </references>
      </pivotArea>
    </format>
    <format dxfId="1696">
      <pivotArea dataOnly="0" labelOnly="1" outline="0" fieldPosition="0">
        <references count="9">
          <reference field="0" count="1" selected="0">
            <x v="3"/>
          </reference>
          <reference field="1" count="1" selected="0">
            <x v="120"/>
          </reference>
          <reference field="5" count="1" selected="0">
            <x v="2"/>
          </reference>
          <reference field="13" count="1">
            <x v="130"/>
          </reference>
          <reference field="20" count="1" selected="0">
            <x v="0"/>
          </reference>
          <reference field="21" count="1" selected="0">
            <x v="0"/>
          </reference>
          <reference field="22" count="1" selected="0">
            <x v="0"/>
          </reference>
          <reference field="23" count="1" selected="0">
            <x v="80"/>
          </reference>
          <reference field="24" count="1" selected="0">
            <x v="44"/>
          </reference>
        </references>
      </pivotArea>
    </format>
    <format dxfId="1695">
      <pivotArea dataOnly="0" labelOnly="1" outline="0" fieldPosition="0">
        <references count="9">
          <reference field="0" count="1" selected="0">
            <x v="0"/>
          </reference>
          <reference field="1" count="1" selected="0">
            <x v="121"/>
          </reference>
          <reference field="5" count="1" selected="0">
            <x v="2"/>
          </reference>
          <reference field="13" count="1">
            <x v="0"/>
          </reference>
          <reference field="20" count="1" selected="0">
            <x v="2"/>
          </reference>
          <reference field="21" count="1" selected="0">
            <x v="0"/>
          </reference>
          <reference field="22" count="1" selected="0">
            <x v="0"/>
          </reference>
          <reference field="23" count="1" selected="0">
            <x v="0"/>
          </reference>
          <reference field="24" count="1" selected="0">
            <x v="80"/>
          </reference>
        </references>
      </pivotArea>
    </format>
    <format dxfId="1694">
      <pivotArea dataOnly="0" labelOnly="1" outline="0" fieldPosition="0">
        <references count="9">
          <reference field="0" count="1" selected="0">
            <x v="3"/>
          </reference>
          <reference field="1" count="1" selected="0">
            <x v="124"/>
          </reference>
          <reference field="5" count="1" selected="0">
            <x v="2"/>
          </reference>
          <reference field="13" count="1">
            <x v="131"/>
          </reference>
          <reference field="20" count="1" selected="0">
            <x v="0"/>
          </reference>
          <reference field="21" count="1" selected="0">
            <x v="0"/>
          </reference>
          <reference field="22" count="1" selected="0">
            <x v="0"/>
          </reference>
          <reference field="23" count="1" selected="0">
            <x v="45"/>
          </reference>
          <reference field="24" count="1" selected="0">
            <x v="1"/>
          </reference>
        </references>
      </pivotArea>
    </format>
    <format dxfId="1693">
      <pivotArea dataOnly="0" labelOnly="1" outline="0" fieldPosition="0">
        <references count="9">
          <reference field="0" count="1" selected="0">
            <x v="3"/>
          </reference>
          <reference field="1" count="1" selected="0">
            <x v="125"/>
          </reference>
          <reference field="5" count="1" selected="0">
            <x v="2"/>
          </reference>
          <reference field="13" count="1">
            <x v="132"/>
          </reference>
          <reference field="20" count="1" selected="0">
            <x v="0"/>
          </reference>
          <reference field="21" count="1" selected="0">
            <x v="0"/>
          </reference>
          <reference field="22" count="1" selected="0">
            <x v="0"/>
          </reference>
          <reference field="23" count="1" selected="0">
            <x v="43"/>
          </reference>
          <reference field="24" count="1" selected="0">
            <x v="1"/>
          </reference>
        </references>
      </pivotArea>
    </format>
    <format dxfId="1692">
      <pivotArea dataOnly="0" labelOnly="1" outline="0" fieldPosition="0">
        <references count="9">
          <reference field="0" count="1" selected="0">
            <x v="3"/>
          </reference>
          <reference field="1" count="1" selected="0">
            <x v="126"/>
          </reference>
          <reference field="5" count="1" selected="0">
            <x v="2"/>
          </reference>
          <reference field="13" count="1">
            <x v="133"/>
          </reference>
          <reference field="20" count="1" selected="0">
            <x v="0"/>
          </reference>
          <reference field="21" count="1" selected="0">
            <x v="0"/>
          </reference>
          <reference field="22" count="1" selected="0">
            <x v="0"/>
          </reference>
          <reference field="23" count="1" selected="0">
            <x v="41"/>
          </reference>
          <reference field="24" count="1" selected="0">
            <x v="1"/>
          </reference>
        </references>
      </pivotArea>
    </format>
    <format dxfId="1691">
      <pivotArea dataOnly="0" labelOnly="1" outline="0" fieldPosition="0">
        <references count="9">
          <reference field="0" count="1" selected="0">
            <x v="0"/>
          </reference>
          <reference field="1" count="1" selected="0">
            <x v="127"/>
          </reference>
          <reference field="5" count="1" selected="0">
            <x v="2"/>
          </reference>
          <reference field="13" count="1">
            <x v="0"/>
          </reference>
          <reference field="20" count="1" selected="0">
            <x v="1"/>
          </reference>
          <reference field="21" count="1" selected="0">
            <x v="0"/>
          </reference>
          <reference field="22" count="1" selected="0">
            <x v="0"/>
          </reference>
          <reference field="23" count="1" selected="0">
            <x v="0"/>
          </reference>
          <reference field="24" count="1" selected="0">
            <x v="80"/>
          </reference>
        </references>
      </pivotArea>
    </format>
    <format dxfId="1690">
      <pivotArea dataOnly="0" labelOnly="1" outline="0" fieldPosition="0">
        <references count="9">
          <reference field="0" count="1" selected="0">
            <x v="3"/>
          </reference>
          <reference field="1" count="1" selected="0">
            <x v="130"/>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30"/>
          </reference>
          <reference field="24" count="1" selected="0">
            <x v="63"/>
          </reference>
        </references>
      </pivotArea>
    </format>
    <format dxfId="1689">
      <pivotArea dataOnly="0" labelOnly="1" outline="0" fieldPosition="0">
        <references count="9">
          <reference field="0" count="1" selected="0">
            <x v="2"/>
          </reference>
          <reference field="1" count="1" selected="0">
            <x v="131"/>
          </reference>
          <reference field="5" count="1" selected="0">
            <x v="2"/>
          </reference>
          <reference field="13" count="1">
            <x v="0"/>
          </reference>
          <reference field="20" count="1" selected="0">
            <x v="0"/>
          </reference>
          <reference field="21" count="1" selected="0">
            <x v="0"/>
          </reference>
          <reference field="22" count="1" selected="0">
            <x v="19"/>
          </reference>
          <reference field="23" count="1" selected="0">
            <x v="0"/>
          </reference>
          <reference field="24" count="1" selected="0">
            <x v="80"/>
          </reference>
        </references>
      </pivotArea>
    </format>
    <format dxfId="1688">
      <pivotArea dataOnly="0" labelOnly="1" outline="0" fieldPosition="0">
        <references count="9">
          <reference field="0" count="1" selected="0">
            <x v="3"/>
          </reference>
          <reference field="1" count="1" selected="0">
            <x v="132"/>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5"/>
          </reference>
          <reference field="24" count="1" selected="0">
            <x v="54"/>
          </reference>
        </references>
      </pivotArea>
    </format>
    <format dxfId="1687">
      <pivotArea dataOnly="0" labelOnly="1" outline="0" fieldPosition="0">
        <references count="9">
          <reference field="0" count="1" selected="0">
            <x v="3"/>
          </reference>
          <reference field="1" count="1" selected="0">
            <x v="133"/>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113"/>
          </reference>
          <reference field="24" count="1" selected="0">
            <x v="16"/>
          </reference>
        </references>
      </pivotArea>
    </format>
    <format dxfId="1686">
      <pivotArea dataOnly="0" labelOnly="1" outline="0" fieldPosition="0">
        <references count="9">
          <reference field="0" count="1" selected="0">
            <x v="2"/>
          </reference>
          <reference field="1" count="1" selected="0">
            <x v="136"/>
          </reference>
          <reference field="5" count="1" selected="0">
            <x v="2"/>
          </reference>
          <reference field="13" count="1">
            <x v="0"/>
          </reference>
          <reference field="20" count="1" selected="0">
            <x v="0"/>
          </reference>
          <reference field="21" count="1" selected="0">
            <x v="0"/>
          </reference>
          <reference field="22" count="1" selected="0">
            <x v="1"/>
          </reference>
          <reference field="23" count="1" selected="0">
            <x v="0"/>
          </reference>
          <reference field="24" count="1" selected="0">
            <x v="80"/>
          </reference>
        </references>
      </pivotArea>
    </format>
    <format dxfId="1685">
      <pivotArea dataOnly="0" labelOnly="1" outline="0" fieldPosition="0">
        <references count="9">
          <reference field="0" count="1" selected="0">
            <x v="3"/>
          </reference>
          <reference field="1" count="1" selected="0">
            <x v="137"/>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89"/>
          </reference>
          <reference field="24" count="1" selected="0">
            <x v="20"/>
          </reference>
        </references>
      </pivotArea>
    </format>
    <format dxfId="1684">
      <pivotArea dataOnly="0" labelOnly="1" outline="0" fieldPosition="0">
        <references count="9">
          <reference field="0" count="1" selected="0">
            <x v="2"/>
          </reference>
          <reference field="1" count="1" selected="0">
            <x v="140"/>
          </reference>
          <reference field="5" count="1" selected="0">
            <x v="2"/>
          </reference>
          <reference field="13" count="1">
            <x v="0"/>
          </reference>
          <reference field="20" count="1" selected="0">
            <x v="0"/>
          </reference>
          <reference field="21" count="1" selected="0">
            <x v="0"/>
          </reference>
          <reference field="22" count="1" selected="0">
            <x v="27"/>
          </reference>
          <reference field="23" count="1" selected="0">
            <x v="0"/>
          </reference>
          <reference field="24" count="1" selected="0">
            <x v="80"/>
          </reference>
        </references>
      </pivotArea>
    </format>
    <format dxfId="1683">
      <pivotArea dataOnly="0" labelOnly="1" outline="0" fieldPosition="0">
        <references count="9">
          <reference field="0" count="1" selected="0">
            <x v="3"/>
          </reference>
          <reference field="1" count="1" selected="0">
            <x v="141"/>
          </reference>
          <reference field="5" count="1" selected="0">
            <x v="2"/>
          </reference>
          <reference field="13" count="1">
            <x v="134"/>
          </reference>
          <reference field="20" count="1" selected="0">
            <x v="0"/>
          </reference>
          <reference field="21" count="1" selected="0">
            <x v="0"/>
          </reference>
          <reference field="22" count="1" selected="0">
            <x v="0"/>
          </reference>
          <reference field="23" count="1" selected="0">
            <x v="86"/>
          </reference>
          <reference field="24" count="1" selected="0">
            <x v="26"/>
          </reference>
        </references>
      </pivotArea>
    </format>
    <format dxfId="1682">
      <pivotArea dataOnly="0" labelOnly="1" outline="0" fieldPosition="0">
        <references count="9">
          <reference field="0" count="1" selected="0">
            <x v="3"/>
          </reference>
          <reference field="1" count="1" selected="0">
            <x v="142"/>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114"/>
          </reference>
          <reference field="24" count="1" selected="0">
            <x v="84"/>
          </reference>
        </references>
      </pivotArea>
    </format>
    <format dxfId="1681">
      <pivotArea dataOnly="0" labelOnly="1" outline="0" fieldPosition="0">
        <references count="9">
          <reference field="0" count="1" selected="0">
            <x v="3"/>
          </reference>
          <reference field="1" count="1" selected="0">
            <x v="153"/>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17"/>
          </reference>
          <reference field="24" count="1" selected="0">
            <x v="17"/>
          </reference>
        </references>
      </pivotArea>
    </format>
    <format dxfId="1680">
      <pivotArea dataOnly="0" labelOnly="1" outline="0" fieldPosition="0">
        <references count="9">
          <reference field="0" count="1" selected="0">
            <x v="6"/>
          </reference>
          <reference field="1" count="1" selected="0">
            <x v="154"/>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0"/>
          </reference>
          <reference field="24" count="1" selected="0">
            <x v="24"/>
          </reference>
        </references>
      </pivotArea>
    </format>
    <format dxfId="1679">
      <pivotArea dataOnly="0" labelOnly="1" outline="0" fieldPosition="0">
        <references count="9">
          <reference field="0" count="1" selected="0">
            <x v="3"/>
          </reference>
          <reference field="1" count="1" selected="0">
            <x v="155"/>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70"/>
          </reference>
          <reference field="24" count="1" selected="0">
            <x v="50"/>
          </reference>
        </references>
      </pivotArea>
    </format>
    <format dxfId="1678">
      <pivotArea dataOnly="0" labelOnly="1" outline="0" fieldPosition="0">
        <references count="9">
          <reference field="0" count="1" selected="0">
            <x v="7"/>
          </reference>
          <reference field="1" count="1" selected="0">
            <x v="157"/>
          </reference>
          <reference field="5" count="1" selected="0">
            <x v="2"/>
          </reference>
          <reference field="13" count="1">
            <x v="92"/>
          </reference>
          <reference field="20" count="1" selected="0">
            <x v="0"/>
          </reference>
          <reference field="21" count="1" selected="0">
            <x v="0"/>
          </reference>
          <reference field="22" count="1" selected="0">
            <x v="0"/>
          </reference>
          <reference field="23" count="1" selected="0">
            <x v="0"/>
          </reference>
          <reference field="24" count="1" selected="0">
            <x v="11"/>
          </reference>
        </references>
      </pivotArea>
    </format>
    <format dxfId="1677">
      <pivotArea dataOnly="0" labelOnly="1" outline="0" fieldPosition="0">
        <references count="9">
          <reference field="0" count="1" selected="0">
            <x v="3"/>
          </reference>
          <reference field="1" count="1" selected="0">
            <x v="158"/>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85"/>
          </reference>
          <reference field="24" count="1" selected="0">
            <x v="64"/>
          </reference>
        </references>
      </pivotArea>
    </format>
    <format dxfId="1676">
      <pivotArea dataOnly="0" labelOnly="1" outline="0" fieldPosition="0">
        <references count="9">
          <reference field="0" count="1" selected="0">
            <x v="1"/>
          </reference>
          <reference field="1" count="1" selected="0">
            <x v="159"/>
          </reference>
          <reference field="5" count="1" selected="0">
            <x v="2"/>
          </reference>
          <reference field="13" count="1">
            <x v="0"/>
          </reference>
          <reference field="20" count="1" selected="0">
            <x v="0"/>
          </reference>
          <reference field="21" count="1" selected="0">
            <x v="7"/>
          </reference>
          <reference field="22" count="1" selected="0">
            <x v="0"/>
          </reference>
          <reference field="23" count="1" selected="0">
            <x v="0"/>
          </reference>
          <reference field="24" count="1" selected="0">
            <x v="80"/>
          </reference>
        </references>
      </pivotArea>
    </format>
    <format dxfId="1675">
      <pivotArea dataOnly="0" labelOnly="1" outline="0" fieldPosition="0">
        <references count="9">
          <reference field="0" count="1" selected="0">
            <x v="3"/>
          </reference>
          <reference field="1" count="1" selected="0">
            <x v="165"/>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90"/>
          </reference>
          <reference field="24" count="1" selected="0">
            <x v="38"/>
          </reference>
        </references>
      </pivotArea>
    </format>
    <format dxfId="1674">
      <pivotArea dataOnly="0" labelOnly="1" outline="0" fieldPosition="0">
        <references count="9">
          <reference field="0" count="1" selected="0">
            <x v="5"/>
          </reference>
          <reference field="1" count="1" selected="0">
            <x v="166"/>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0"/>
          </reference>
          <reference field="24" count="1" selected="0">
            <x v="10"/>
          </reference>
        </references>
      </pivotArea>
    </format>
    <format dxfId="1673">
      <pivotArea dataOnly="0" labelOnly="1" outline="0" fieldPosition="0">
        <references count="9">
          <reference field="0" count="1" selected="0">
            <x v="3"/>
          </reference>
          <reference field="1" count="1" selected="0">
            <x v="167"/>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91"/>
          </reference>
          <reference field="24" count="1" selected="0">
            <x v="80"/>
          </reference>
        </references>
      </pivotArea>
    </format>
    <format dxfId="1672">
      <pivotArea dataOnly="0" labelOnly="1" outline="0" fieldPosition="0">
        <references count="9">
          <reference field="0" count="1" selected="0">
            <x v="3"/>
          </reference>
          <reference field="1" count="1" selected="0">
            <x v="171"/>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84"/>
          </reference>
          <reference field="24" count="1" selected="0">
            <x v="62"/>
          </reference>
        </references>
      </pivotArea>
    </format>
    <format dxfId="1671">
      <pivotArea dataOnly="0" labelOnly="1" outline="0" fieldPosition="0">
        <references count="9">
          <reference field="0" count="1" selected="0">
            <x v="0"/>
          </reference>
          <reference field="1" count="1" selected="0">
            <x v="209"/>
          </reference>
          <reference field="5" count="1" selected="0">
            <x v="2"/>
          </reference>
          <reference field="13" count="1">
            <x v="0"/>
          </reference>
          <reference field="20" count="1" selected="0">
            <x v="5"/>
          </reference>
          <reference field="21" count="1" selected="0">
            <x v="0"/>
          </reference>
          <reference field="22" count="1" selected="0">
            <x v="0"/>
          </reference>
          <reference field="23" count="1" selected="0">
            <x v="0"/>
          </reference>
          <reference field="24" count="1" selected="0">
            <x v="80"/>
          </reference>
        </references>
      </pivotArea>
    </format>
    <format dxfId="1670">
      <pivotArea dataOnly="0" labelOnly="1" outline="0" fieldPosition="0">
        <references count="9">
          <reference field="0" count="1" selected="0">
            <x v="3"/>
          </reference>
          <reference field="1" count="1" selected="0">
            <x v="211"/>
          </reference>
          <reference field="5" count="1" selected="0">
            <x v="2"/>
          </reference>
          <reference field="13" count="1">
            <x v="135"/>
          </reference>
          <reference field="20" count="1" selected="0">
            <x v="0"/>
          </reference>
          <reference field="21" count="1" selected="0">
            <x v="0"/>
          </reference>
          <reference field="22" count="1" selected="0">
            <x v="0"/>
          </reference>
          <reference field="23" count="1" selected="0">
            <x v="36"/>
          </reference>
          <reference field="24" count="1" selected="0">
            <x v="27"/>
          </reference>
        </references>
      </pivotArea>
    </format>
    <format dxfId="1669">
      <pivotArea dataOnly="0" labelOnly="1" outline="0" fieldPosition="0">
        <references count="9">
          <reference field="0" count="1" selected="0">
            <x v="0"/>
          </reference>
          <reference field="1" count="1" selected="0">
            <x v="212"/>
          </reference>
          <reference field="5" count="1" selected="0">
            <x v="2"/>
          </reference>
          <reference field="13" count="1">
            <x v="0"/>
          </reference>
          <reference field="20" count="1" selected="0">
            <x v="8"/>
          </reference>
          <reference field="21" count="1" selected="0">
            <x v="0"/>
          </reference>
          <reference field="22" count="1" selected="0">
            <x v="0"/>
          </reference>
          <reference field="23" count="1" selected="0">
            <x v="0"/>
          </reference>
          <reference field="24" count="1" selected="0">
            <x v="80"/>
          </reference>
        </references>
      </pivotArea>
    </format>
    <format dxfId="1668">
      <pivotArea dataOnly="0" labelOnly="1" outline="0" fieldPosition="0">
        <references count="9">
          <reference field="0" count="1" selected="0">
            <x v="3"/>
          </reference>
          <reference field="1" count="1" selected="0">
            <x v="213"/>
          </reference>
          <reference field="5" count="1" selected="0">
            <x v="2"/>
          </reference>
          <reference field="13" count="1">
            <x v="136"/>
          </reference>
          <reference field="20" count="1" selected="0">
            <x v="0"/>
          </reference>
          <reference field="21" count="1" selected="0">
            <x v="0"/>
          </reference>
          <reference field="22" count="1" selected="0">
            <x v="0"/>
          </reference>
          <reference field="23" count="1" selected="0">
            <x v="99"/>
          </reference>
          <reference field="24" count="1" selected="0">
            <x v="22"/>
          </reference>
        </references>
      </pivotArea>
    </format>
    <format dxfId="1667">
      <pivotArea dataOnly="0" labelOnly="1" outline="0" fieldPosition="0">
        <references count="10">
          <reference field="0" count="1" selected="0">
            <x v="0"/>
          </reference>
          <reference field="1" count="1" selected="0">
            <x v="0"/>
          </reference>
          <reference field="5" count="1" selected="0">
            <x v="2"/>
          </reference>
          <reference field="13" count="1" selected="0">
            <x v="0"/>
          </reference>
          <reference field="17" count="1">
            <x v="0"/>
          </reference>
          <reference field="20" count="1" selected="0">
            <x v="9"/>
          </reference>
          <reference field="21" count="1" selected="0">
            <x v="0"/>
          </reference>
          <reference field="22" count="1" selected="0">
            <x v="0"/>
          </reference>
          <reference field="23" count="1" selected="0">
            <x v="0"/>
          </reference>
          <reference field="24" count="1" selected="0">
            <x v="80"/>
          </reference>
        </references>
      </pivotArea>
    </format>
    <format dxfId="1666">
      <pivotArea dataOnly="0" labelOnly="1" outline="0" fieldPosition="0">
        <references count="10">
          <reference field="0" count="1" selected="0">
            <x v="1"/>
          </reference>
          <reference field="1" count="1" selected="0">
            <x v="1"/>
          </reference>
          <reference field="5" count="1" selected="0">
            <x v="1"/>
          </reference>
          <reference field="13" count="1" selected="0">
            <x v="77"/>
          </reference>
          <reference field="17" count="1">
            <x v="56"/>
          </reference>
          <reference field="20" count="1" selected="0">
            <x v="0"/>
          </reference>
          <reference field="21" count="1" selected="0">
            <x v="12"/>
          </reference>
          <reference field="22" count="1" selected="0">
            <x v="0"/>
          </reference>
          <reference field="23" count="1" selected="0">
            <x v="0"/>
          </reference>
          <reference field="24" count="1" selected="0">
            <x v="8"/>
          </reference>
        </references>
      </pivotArea>
    </format>
    <format dxfId="1665">
      <pivotArea dataOnly="0" labelOnly="1" outline="0" fieldPosition="0">
        <references count="10">
          <reference field="0" count="1" selected="0">
            <x v="1"/>
          </reference>
          <reference field="1" count="1" selected="0">
            <x v="2"/>
          </reference>
          <reference field="5" count="1" selected="0">
            <x v="2"/>
          </reference>
          <reference field="13" count="1" selected="0">
            <x v="78"/>
          </reference>
          <reference field="17" count="1">
            <x v="57"/>
          </reference>
          <reference field="20" count="1" selected="0">
            <x v="0"/>
          </reference>
          <reference field="21" count="1" selected="0">
            <x v="18"/>
          </reference>
          <reference field="22" count="1" selected="0">
            <x v="0"/>
          </reference>
          <reference field="23" count="1" selected="0">
            <x v="0"/>
          </reference>
          <reference field="24" count="1" selected="0">
            <x v="81"/>
          </reference>
        </references>
      </pivotArea>
    </format>
    <format dxfId="1664">
      <pivotArea dataOnly="0" labelOnly="1" outline="0" fieldPosition="0">
        <references count="10">
          <reference field="0" count="1" selected="0">
            <x v="0"/>
          </reference>
          <reference field="1" count="1" selected="0">
            <x v="3"/>
          </reference>
          <reference field="5" count="1" selected="0">
            <x v="2"/>
          </reference>
          <reference field="13" count="1" selected="0">
            <x v="0"/>
          </reference>
          <reference field="17" count="1">
            <x v="0"/>
          </reference>
          <reference field="20" count="1" selected="0">
            <x v="6"/>
          </reference>
          <reference field="21" count="1" selected="0">
            <x v="0"/>
          </reference>
          <reference field="22" count="1" selected="0">
            <x v="0"/>
          </reference>
          <reference field="23" count="1" selected="0">
            <x v="0"/>
          </reference>
          <reference field="24" count="1" selected="0">
            <x v="80"/>
          </reference>
        </references>
      </pivotArea>
    </format>
    <format dxfId="1663">
      <pivotArea dataOnly="0" labelOnly="1" outline="0" fieldPosition="0">
        <references count="10">
          <reference field="0" count="1" selected="0">
            <x v="1"/>
          </reference>
          <reference field="1" count="1" selected="0">
            <x v="4"/>
          </reference>
          <reference field="5" count="1" selected="0">
            <x v="1"/>
          </reference>
          <reference field="13" count="1" selected="0">
            <x v="0"/>
          </reference>
          <reference field="17" count="1">
            <x v="0"/>
          </reference>
          <reference field="20" count="1" selected="0">
            <x v="0"/>
          </reference>
          <reference field="21" count="1" selected="0">
            <x v="6"/>
          </reference>
          <reference field="22" count="1" selected="0">
            <x v="0"/>
          </reference>
          <reference field="23" count="1" selected="0">
            <x v="0"/>
          </reference>
          <reference field="24" count="1" selected="0">
            <x v="80"/>
          </reference>
        </references>
      </pivotArea>
    </format>
    <format dxfId="1662">
      <pivotArea dataOnly="0" labelOnly="1" outline="0" fieldPosition="0">
        <references count="10">
          <reference field="0" count="1" selected="0">
            <x v="2"/>
          </reference>
          <reference field="1" count="1" selected="0">
            <x v="5"/>
          </reference>
          <reference field="5" count="1" selected="0">
            <x v="1"/>
          </reference>
          <reference field="13" count="1" selected="0">
            <x v="0"/>
          </reference>
          <reference field="17" count="1">
            <x v="0"/>
          </reference>
          <reference field="20" count="1" selected="0">
            <x v="0"/>
          </reference>
          <reference field="21" count="1" selected="0">
            <x v="0"/>
          </reference>
          <reference field="22" count="1" selected="0">
            <x v="12"/>
          </reference>
          <reference field="23" count="1" selected="0">
            <x v="0"/>
          </reference>
          <reference field="24" count="1" selected="0">
            <x v="80"/>
          </reference>
        </references>
      </pivotArea>
    </format>
    <format dxfId="1661">
      <pivotArea dataOnly="0" labelOnly="1" outline="0" fieldPosition="0">
        <references count="10">
          <reference field="0" count="1" selected="0">
            <x v="3"/>
          </reference>
          <reference field="1" count="1" selected="0">
            <x v="6"/>
          </reference>
          <reference field="5" count="1" selected="0">
            <x v="0"/>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6"/>
          </reference>
          <reference field="24" count="1" selected="0">
            <x v="37"/>
          </reference>
        </references>
      </pivotArea>
    </format>
    <format dxfId="1660">
      <pivotArea dataOnly="0" labelOnly="1" outline="0" fieldPosition="0">
        <references count="10">
          <reference field="0" count="1" selected="0">
            <x v="3"/>
          </reference>
          <reference field="1" count="1" selected="0">
            <x v="7"/>
          </reference>
          <reference field="5" count="1" selected="0">
            <x v="0"/>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71"/>
          </reference>
          <reference field="24" count="1" selected="0">
            <x v="51"/>
          </reference>
        </references>
      </pivotArea>
    </format>
    <format dxfId="1659">
      <pivotArea dataOnly="0" labelOnly="1" outline="0" fieldPosition="0">
        <references count="10">
          <reference field="0" count="1" selected="0">
            <x v="3"/>
          </reference>
          <reference field="1" count="1" selected="0">
            <x v="8"/>
          </reference>
          <reference field="5" count="1" selected="0">
            <x v="2"/>
          </reference>
          <reference field="13" count="1" selected="0">
            <x v="81"/>
          </reference>
          <reference field="17" count="1">
            <x v="60"/>
          </reference>
          <reference field="20" count="1" selected="0">
            <x v="0"/>
          </reference>
          <reference field="21" count="1" selected="0">
            <x v="0"/>
          </reference>
          <reference field="22" count="1" selected="0">
            <x v="0"/>
          </reference>
          <reference field="23" count="1" selected="0">
            <x v="40"/>
          </reference>
          <reference field="24" count="1" selected="0">
            <x v="82"/>
          </reference>
        </references>
      </pivotArea>
    </format>
    <format dxfId="1658">
      <pivotArea dataOnly="0" labelOnly="1" outline="0" fieldPosition="0">
        <references count="10">
          <reference field="0" count="1" selected="0">
            <x v="1"/>
          </reference>
          <reference field="1" count="1" selected="0">
            <x v="9"/>
          </reference>
          <reference field="5" count="1" selected="0">
            <x v="2"/>
          </reference>
          <reference field="13" count="1" selected="0">
            <x v="0"/>
          </reference>
          <reference field="17" count="1">
            <x v="0"/>
          </reference>
          <reference field="20" count="1" selected="0">
            <x v="0"/>
          </reference>
          <reference field="21" count="1" selected="0">
            <x v="2"/>
          </reference>
          <reference field="22" count="1" selected="0">
            <x v="0"/>
          </reference>
          <reference field="23" count="1" selected="0">
            <x v="0"/>
          </reference>
          <reference field="24" count="1" selected="0">
            <x v="80"/>
          </reference>
        </references>
      </pivotArea>
    </format>
    <format dxfId="1657">
      <pivotArea dataOnly="0" labelOnly="1" outline="0" fieldPosition="0">
        <references count="10">
          <reference field="0" count="1" selected="0">
            <x v="2"/>
          </reference>
          <reference field="1" count="1" selected="0">
            <x v="1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
          </reference>
          <reference field="23" count="1" selected="0">
            <x v="0"/>
          </reference>
          <reference field="24" count="1" selected="0">
            <x v="80"/>
          </reference>
        </references>
      </pivotArea>
    </format>
    <format dxfId="1656">
      <pivotArea dataOnly="0" labelOnly="1" outline="0" fieldPosition="0">
        <references count="10">
          <reference field="0" count="1" selected="0">
            <x v="3"/>
          </reference>
          <reference field="1" count="1" selected="0">
            <x v="11"/>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23"/>
          </reference>
          <reference field="24" count="1" selected="0">
            <x v="40"/>
          </reference>
        </references>
      </pivotArea>
    </format>
    <format dxfId="1655">
      <pivotArea dataOnly="0" labelOnly="1" outline="0" fieldPosition="0">
        <references count="10">
          <reference field="0" count="1" selected="0">
            <x v="3"/>
          </reference>
          <reference field="1" count="1" selected="0">
            <x v="12"/>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93"/>
          </reference>
          <reference field="24" count="1" selected="0">
            <x v="19"/>
          </reference>
        </references>
      </pivotArea>
    </format>
    <format dxfId="1654">
      <pivotArea dataOnly="0" labelOnly="1" outline="0" fieldPosition="0">
        <references count="10">
          <reference field="0" count="1" selected="0">
            <x v="3"/>
          </reference>
          <reference field="1" count="1" selected="0">
            <x v="13"/>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25"/>
          </reference>
          <reference field="24" count="1" selected="0">
            <x v="37"/>
          </reference>
        </references>
      </pivotArea>
    </format>
    <format dxfId="1653">
      <pivotArea dataOnly="0" labelOnly="1" outline="0" fieldPosition="0">
        <references count="10">
          <reference field="0" count="1" selected="0">
            <x v="1"/>
          </reference>
          <reference field="1" count="1" selected="0">
            <x v="14"/>
          </reference>
          <reference field="5" count="1" selected="0">
            <x v="2"/>
          </reference>
          <reference field="13" count="1" selected="0">
            <x v="0"/>
          </reference>
          <reference field="17" count="1">
            <x v="0"/>
          </reference>
          <reference field="20" count="1" selected="0">
            <x v="0"/>
          </reference>
          <reference field="21" count="1" selected="0">
            <x v="10"/>
          </reference>
          <reference field="22" count="1" selected="0">
            <x v="0"/>
          </reference>
          <reference field="23" count="1" selected="0">
            <x v="0"/>
          </reference>
          <reference field="24" count="1" selected="0">
            <x v="80"/>
          </reference>
        </references>
      </pivotArea>
    </format>
    <format dxfId="1652">
      <pivotArea dataOnly="0" labelOnly="1" outline="0" fieldPosition="0">
        <references count="10">
          <reference field="0" count="1" selected="0">
            <x v="2"/>
          </reference>
          <reference field="1" count="1" selected="0">
            <x v="15"/>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3"/>
          </reference>
          <reference field="23" count="1" selected="0">
            <x v="0"/>
          </reference>
          <reference field="24" count="1" selected="0">
            <x v="80"/>
          </reference>
        </references>
      </pivotArea>
    </format>
    <format dxfId="1651">
      <pivotArea dataOnly="0" labelOnly="1" outline="0" fieldPosition="0">
        <references count="10">
          <reference field="0" count="1" selected="0">
            <x v="3"/>
          </reference>
          <reference field="1" count="1" selected="0">
            <x v="16"/>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15"/>
          </reference>
          <reference field="24" count="1" selected="0">
            <x v="37"/>
          </reference>
        </references>
      </pivotArea>
    </format>
    <format dxfId="1650">
      <pivotArea dataOnly="0" labelOnly="1" outline="0" fieldPosition="0">
        <references count="10">
          <reference field="0" count="1" selected="0">
            <x v="3"/>
          </reference>
          <reference field="1" count="1" selected="0">
            <x v="1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1"/>
          </reference>
          <reference field="24" count="1" selected="0">
            <x v="20"/>
          </reference>
        </references>
      </pivotArea>
    </format>
    <format dxfId="1649">
      <pivotArea dataOnly="0" labelOnly="1" outline="0" fieldPosition="0">
        <references count="10">
          <reference field="0" count="1" selected="0">
            <x v="3"/>
          </reference>
          <reference field="1" count="1" selected="0">
            <x v="1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0"/>
          </reference>
          <reference field="24" count="1" selected="0">
            <x v="2"/>
          </reference>
        </references>
      </pivotArea>
    </format>
    <format dxfId="1648">
      <pivotArea dataOnly="0" labelOnly="1" outline="0" fieldPosition="0">
        <references count="10">
          <reference field="0" count="1" selected="0">
            <x v="2"/>
          </reference>
          <reference field="1" count="1" selected="0">
            <x v="1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8"/>
          </reference>
          <reference field="23" count="1" selected="0">
            <x v="0"/>
          </reference>
          <reference field="24" count="1" selected="0">
            <x v="80"/>
          </reference>
        </references>
      </pivotArea>
    </format>
    <format dxfId="1647">
      <pivotArea dataOnly="0" labelOnly="1" outline="0" fieldPosition="0">
        <references count="10">
          <reference field="0" count="1" selected="0">
            <x v="3"/>
          </reference>
          <reference field="1" count="1" selected="0">
            <x v="20"/>
          </reference>
          <reference field="5" count="1" selected="0">
            <x v="2"/>
          </reference>
          <reference field="13" count="1" selected="0">
            <x v="85"/>
          </reference>
          <reference field="17" count="1">
            <x v="64"/>
          </reference>
          <reference field="20" count="1" selected="0">
            <x v="0"/>
          </reference>
          <reference field="21" count="1" selected="0">
            <x v="0"/>
          </reference>
          <reference field="22" count="1" selected="0">
            <x v="0"/>
          </reference>
          <reference field="23" count="1" selected="0">
            <x v="100"/>
          </reference>
          <reference field="24" count="1" selected="0">
            <x v="77"/>
          </reference>
        </references>
      </pivotArea>
    </format>
    <format dxfId="1646">
      <pivotArea dataOnly="0" labelOnly="1" outline="0" fieldPosition="0">
        <references count="10">
          <reference field="0" count="1" selected="0">
            <x v="2"/>
          </reference>
          <reference field="1" count="1" selected="0">
            <x v="2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1"/>
          </reference>
          <reference field="23" count="1" selected="0">
            <x v="0"/>
          </reference>
          <reference field="24" count="1" selected="0">
            <x v="80"/>
          </reference>
        </references>
      </pivotArea>
    </format>
    <format dxfId="1645">
      <pivotArea dataOnly="0" labelOnly="1" outline="0" fieldPosition="0">
        <references count="10">
          <reference field="0" count="1" selected="0">
            <x v="3"/>
          </reference>
          <reference field="1" count="1" selected="0">
            <x v="2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03"/>
          </reference>
          <reference field="24" count="1" selected="0">
            <x v="2"/>
          </reference>
        </references>
      </pivotArea>
    </format>
    <format dxfId="1644">
      <pivotArea dataOnly="0" labelOnly="1" outline="0" fieldPosition="0">
        <references count="10">
          <reference field="0" count="1" selected="0">
            <x v="3"/>
          </reference>
          <reference field="1" count="1" selected="0">
            <x v="2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8"/>
          </reference>
          <reference field="24" count="1" selected="0">
            <x v="2"/>
          </reference>
        </references>
      </pivotArea>
    </format>
    <format dxfId="1643">
      <pivotArea dataOnly="0" labelOnly="1" outline="0" fieldPosition="0">
        <references count="10">
          <reference field="0" count="1" selected="0">
            <x v="1"/>
          </reference>
          <reference field="1" count="1" selected="0">
            <x v="24"/>
          </reference>
          <reference field="5" count="1" selected="0">
            <x v="2"/>
          </reference>
          <reference field="13" count="1" selected="0">
            <x v="0"/>
          </reference>
          <reference field="17" count="1">
            <x v="0"/>
          </reference>
          <reference field="20" count="1" selected="0">
            <x v="0"/>
          </reference>
          <reference field="21" count="1" selected="0">
            <x v="9"/>
          </reference>
          <reference field="22" count="1" selected="0">
            <x v="0"/>
          </reference>
          <reference field="23" count="1" selected="0">
            <x v="0"/>
          </reference>
          <reference field="24" count="1" selected="0">
            <x v="80"/>
          </reference>
        </references>
      </pivotArea>
    </format>
    <format dxfId="1642">
      <pivotArea dataOnly="0" labelOnly="1" outline="0" fieldPosition="0">
        <references count="10">
          <reference field="0" count="1" selected="0">
            <x v="2"/>
          </reference>
          <reference field="1" count="1" selected="0">
            <x v="25"/>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7"/>
          </reference>
          <reference field="23" count="1" selected="0">
            <x v="0"/>
          </reference>
          <reference field="24" count="1" selected="0">
            <x v="80"/>
          </reference>
        </references>
      </pivotArea>
    </format>
    <format dxfId="1641">
      <pivotArea dataOnly="0" labelOnly="1" outline="0" fieldPosition="0">
        <references count="10">
          <reference field="0" count="1" selected="0">
            <x v="3"/>
          </reference>
          <reference field="1" count="1" selected="0">
            <x v="26"/>
          </reference>
          <reference field="5" count="1" selected="0">
            <x v="2"/>
          </reference>
          <reference field="13" count="1" selected="0">
            <x v="86"/>
          </reference>
          <reference field="17" count="1">
            <x v="40"/>
          </reference>
          <reference field="20" count="1" selected="0">
            <x v="0"/>
          </reference>
          <reference field="21" count="1" selected="0">
            <x v="0"/>
          </reference>
          <reference field="22" count="1" selected="0">
            <x v="0"/>
          </reference>
          <reference field="23" count="1" selected="0">
            <x v="66"/>
          </reference>
          <reference field="24" count="1" selected="0">
            <x v="19"/>
          </reference>
        </references>
      </pivotArea>
    </format>
    <format dxfId="1640">
      <pivotArea dataOnly="0" labelOnly="1" outline="0" fieldPosition="0">
        <references count="10">
          <reference field="0" count="1" selected="0">
            <x v="3"/>
          </reference>
          <reference field="1" count="1" selected="0">
            <x v="27"/>
          </reference>
          <reference field="5" count="1" selected="0">
            <x v="2"/>
          </reference>
          <reference field="13" count="1" selected="0">
            <x v="87"/>
          </reference>
          <reference field="17" count="1">
            <x v="65"/>
          </reference>
          <reference field="20" count="1" selected="0">
            <x v="0"/>
          </reference>
          <reference field="21" count="1" selected="0">
            <x v="0"/>
          </reference>
          <reference field="22" count="1" selected="0">
            <x v="0"/>
          </reference>
          <reference field="23" count="1" selected="0">
            <x v="39"/>
          </reference>
          <reference field="24" count="1" selected="0">
            <x v="46"/>
          </reference>
        </references>
      </pivotArea>
    </format>
    <format dxfId="1639">
      <pivotArea dataOnly="0" labelOnly="1" outline="0" fieldPosition="0">
        <references count="10">
          <reference field="0" count="1" selected="0">
            <x v="3"/>
          </reference>
          <reference field="1" count="1" selected="0">
            <x v="28"/>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26"/>
          </reference>
          <reference field="24" count="1" selected="0">
            <x v="20"/>
          </reference>
        </references>
      </pivotArea>
    </format>
    <format dxfId="1638">
      <pivotArea dataOnly="0" labelOnly="1" outline="0" fieldPosition="0">
        <references count="10">
          <reference field="0" count="1" selected="0">
            <x v="1"/>
          </reference>
          <reference field="1" count="1" selected="0">
            <x v="29"/>
          </reference>
          <reference field="5" count="1" selected="0">
            <x v="2"/>
          </reference>
          <reference field="13" count="1" selected="0">
            <x v="0"/>
          </reference>
          <reference field="17" count="1">
            <x v="0"/>
          </reference>
          <reference field="20" count="1" selected="0">
            <x v="0"/>
          </reference>
          <reference field="21" count="1" selected="0">
            <x v="17"/>
          </reference>
          <reference field="22" count="1" selected="0">
            <x v="0"/>
          </reference>
          <reference field="23" count="1" selected="0">
            <x v="0"/>
          </reference>
          <reference field="24" count="1" selected="0">
            <x v="80"/>
          </reference>
        </references>
      </pivotArea>
    </format>
    <format dxfId="1637">
      <pivotArea dataOnly="0" labelOnly="1" outline="0" fieldPosition="0">
        <references count="10">
          <reference field="0" count="1" selected="0">
            <x v="2"/>
          </reference>
          <reference field="1" count="1" selected="0">
            <x v="3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3"/>
          </reference>
          <reference field="23" count="1" selected="0">
            <x v="0"/>
          </reference>
          <reference field="24" count="1" selected="0">
            <x v="80"/>
          </reference>
        </references>
      </pivotArea>
    </format>
    <format dxfId="1636">
      <pivotArea dataOnly="0" labelOnly="1" outline="0" fieldPosition="0">
        <references count="10">
          <reference field="0" count="1" selected="0">
            <x v="3"/>
          </reference>
          <reference field="1" count="1" selected="0">
            <x v="31"/>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87"/>
          </reference>
          <reference field="24" count="1" selected="0">
            <x v="65"/>
          </reference>
        </references>
      </pivotArea>
    </format>
    <format dxfId="1635">
      <pivotArea dataOnly="0" labelOnly="1" outline="0" fieldPosition="0">
        <references count="10">
          <reference field="0" count="1" selected="0">
            <x v="3"/>
          </reference>
          <reference field="1" count="1" selected="0">
            <x v="32"/>
          </reference>
          <reference field="5" count="1" selected="0">
            <x v="2"/>
          </reference>
          <reference field="13" count="1" selected="0">
            <x v="86"/>
          </reference>
          <reference field="17" count="1">
            <x v="40"/>
          </reference>
          <reference field="20" count="1" selected="0">
            <x v="0"/>
          </reference>
          <reference field="21" count="1" selected="0">
            <x v="0"/>
          </reference>
          <reference field="22" count="1" selected="0">
            <x v="0"/>
          </reference>
          <reference field="23" count="1" selected="0">
            <x v="72"/>
          </reference>
          <reference field="24" count="1" selected="0">
            <x v="55"/>
          </reference>
        </references>
      </pivotArea>
    </format>
    <format dxfId="1634">
      <pivotArea dataOnly="0" labelOnly="1" outline="0" fieldPosition="0">
        <references count="10">
          <reference field="0" count="1" selected="0">
            <x v="3"/>
          </reference>
          <reference field="1" count="1" selected="0">
            <x v="33"/>
          </reference>
          <reference field="5" count="1" selected="0">
            <x v="2"/>
          </reference>
          <reference field="13" count="1" selected="0">
            <x v="88"/>
          </reference>
          <reference field="17" count="1">
            <x v="66"/>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633">
      <pivotArea dataOnly="0" labelOnly="1" outline="0" fieldPosition="0">
        <references count="10">
          <reference field="0" count="1" selected="0">
            <x v="3"/>
          </reference>
          <reference field="1" count="1" selected="0">
            <x v="34"/>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73"/>
          </reference>
          <reference field="24" count="1" selected="0">
            <x v="55"/>
          </reference>
        </references>
      </pivotArea>
    </format>
    <format dxfId="1632">
      <pivotArea dataOnly="0" labelOnly="1" outline="0" fieldPosition="0">
        <references count="10">
          <reference field="0" count="1" selected="0">
            <x v="3"/>
          </reference>
          <reference field="1" count="1" selected="0">
            <x v="35"/>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631">
      <pivotArea dataOnly="0" labelOnly="1" outline="0" fieldPosition="0">
        <references count="10">
          <reference field="0" count="1" selected="0">
            <x v="3"/>
          </reference>
          <reference field="1" count="1" selected="0">
            <x v="36"/>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75"/>
          </reference>
          <reference field="24" count="1" selected="0">
            <x v="55"/>
          </reference>
        </references>
      </pivotArea>
    </format>
    <format dxfId="1630">
      <pivotArea dataOnly="0" labelOnly="1" outline="0" fieldPosition="0">
        <references count="10">
          <reference field="0" count="1" selected="0">
            <x v="3"/>
          </reference>
          <reference field="1" count="1" selected="0">
            <x v="37"/>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629">
      <pivotArea dataOnly="0" labelOnly="1" outline="0" fieldPosition="0">
        <references count="10">
          <reference field="0" count="1" selected="0">
            <x v="3"/>
          </reference>
          <reference field="1" count="1" selected="0">
            <x v="38"/>
          </reference>
          <reference field="5" count="1" selected="0">
            <x v="2"/>
          </reference>
          <reference field="13" count="1" selected="0">
            <x v="92"/>
          </reference>
          <reference field="17" count="1">
            <x v="69"/>
          </reference>
          <reference field="20" count="1" selected="0">
            <x v="0"/>
          </reference>
          <reference field="21" count="1" selected="0">
            <x v="0"/>
          </reference>
          <reference field="22" count="1" selected="0">
            <x v="0"/>
          </reference>
          <reference field="23" count="1" selected="0">
            <x v="74"/>
          </reference>
          <reference field="24" count="1" selected="0">
            <x v="55"/>
          </reference>
        </references>
      </pivotArea>
    </format>
    <format dxfId="1628">
      <pivotArea dataOnly="0" labelOnly="1" outline="0" fieldPosition="0">
        <references count="10">
          <reference field="0" count="1" selected="0">
            <x v="3"/>
          </reference>
          <reference field="1" count="1" selected="0">
            <x v="39"/>
          </reference>
          <reference field="5" count="1" selected="0">
            <x v="2"/>
          </reference>
          <reference field="13" count="1" selected="0">
            <x v="93"/>
          </reference>
          <reference field="17" count="1">
            <x v="70"/>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1627">
      <pivotArea dataOnly="0" labelOnly="1" outline="0" fieldPosition="0">
        <references count="10">
          <reference field="0" count="1" selected="0">
            <x v="3"/>
          </reference>
          <reference field="1" count="1" selected="0">
            <x v="40"/>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14"/>
          </reference>
          <reference field="24" count="1" selected="0">
            <x v="15"/>
          </reference>
        </references>
      </pivotArea>
    </format>
    <format dxfId="1626">
      <pivotArea dataOnly="0" labelOnly="1" outline="0" fieldPosition="0">
        <references count="10">
          <reference field="0" count="1" selected="0">
            <x v="1"/>
          </reference>
          <reference field="1" count="1" selected="0">
            <x v="41"/>
          </reference>
          <reference field="5" count="1" selected="0">
            <x v="2"/>
          </reference>
          <reference field="13" count="1" selected="0">
            <x v="0"/>
          </reference>
          <reference field="17" count="1">
            <x v="0"/>
          </reference>
          <reference field="20" count="1" selected="0">
            <x v="0"/>
          </reference>
          <reference field="21" count="1" selected="0">
            <x v="8"/>
          </reference>
          <reference field="22" count="1" selected="0">
            <x v="0"/>
          </reference>
          <reference field="23" count="1" selected="0">
            <x v="0"/>
          </reference>
          <reference field="24" count="1" selected="0">
            <x v="80"/>
          </reference>
        </references>
      </pivotArea>
    </format>
    <format dxfId="1625">
      <pivotArea dataOnly="0" labelOnly="1" outline="0" fieldPosition="0">
        <references count="10">
          <reference field="0" count="1" selected="0">
            <x v="3"/>
          </reference>
          <reference field="1" count="1" selected="0">
            <x v="42"/>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104"/>
          </reference>
          <reference field="24" count="1" selected="0">
            <x v="78"/>
          </reference>
        </references>
      </pivotArea>
    </format>
    <format dxfId="1624">
      <pivotArea dataOnly="0" labelOnly="1" outline="0" fieldPosition="0">
        <references count="10">
          <reference field="0" count="1" selected="0">
            <x v="1"/>
          </reference>
          <reference field="1" count="1" selected="0">
            <x v="43"/>
          </reference>
          <reference field="5" count="1" selected="0">
            <x v="2"/>
          </reference>
          <reference field="13" count="1" selected="0">
            <x v="0"/>
          </reference>
          <reference field="17" count="1">
            <x v="0"/>
          </reference>
          <reference field="20" count="1" selected="0">
            <x v="0"/>
          </reference>
          <reference field="21" count="1" selected="0">
            <x v="16"/>
          </reference>
          <reference field="22" count="1" selected="0">
            <x v="0"/>
          </reference>
          <reference field="23" count="1" selected="0">
            <x v="0"/>
          </reference>
          <reference field="24" count="1" selected="0">
            <x v="80"/>
          </reference>
        </references>
      </pivotArea>
    </format>
    <format dxfId="1623">
      <pivotArea dataOnly="0" labelOnly="1" outline="0" fieldPosition="0">
        <references count="10">
          <reference field="0" count="1" selected="0">
            <x v="3"/>
          </reference>
          <reference field="1" count="1" selected="0">
            <x v="44"/>
          </reference>
          <reference field="5" count="1" selected="0">
            <x v="2"/>
          </reference>
          <reference field="13" count="1" selected="0">
            <x v="95"/>
          </reference>
          <reference field="17" count="1">
            <x v="72"/>
          </reference>
          <reference field="20" count="1" selected="0">
            <x v="0"/>
          </reference>
          <reference field="21" count="1" selected="0">
            <x v="0"/>
          </reference>
          <reference field="22" count="1" selected="0">
            <x v="0"/>
          </reference>
          <reference field="23" count="1" selected="0">
            <x v="63"/>
          </reference>
          <reference field="24" count="1" selected="0">
            <x v="83"/>
          </reference>
        </references>
      </pivotArea>
    </format>
    <format dxfId="1622">
      <pivotArea dataOnly="0" labelOnly="1" outline="0" fieldPosition="0">
        <references count="10">
          <reference field="0" count="1" selected="0">
            <x v="3"/>
          </reference>
          <reference field="1" count="1" selected="0">
            <x v="45"/>
          </reference>
          <reference field="5" count="1" selected="0">
            <x v="2"/>
          </reference>
          <reference field="13" count="1" selected="0">
            <x v="96"/>
          </reference>
          <reference field="17" count="1">
            <x v="73"/>
          </reference>
          <reference field="20" count="1" selected="0">
            <x v="0"/>
          </reference>
          <reference field="21" count="1" selected="0">
            <x v="0"/>
          </reference>
          <reference field="22" count="1" selected="0">
            <x v="0"/>
          </reference>
          <reference field="23" count="1" selected="0">
            <x v="46"/>
          </reference>
          <reference field="24" count="1" selected="0">
            <x v="83"/>
          </reference>
        </references>
      </pivotArea>
    </format>
    <format dxfId="1621">
      <pivotArea dataOnly="0" labelOnly="1" outline="0" fieldPosition="0">
        <references count="10">
          <reference field="0" count="1" selected="0">
            <x v="3"/>
          </reference>
          <reference field="1" count="1" selected="0">
            <x v="46"/>
          </reference>
          <reference field="5" count="1" selected="0">
            <x v="2"/>
          </reference>
          <reference field="13" count="1" selected="0">
            <x v="97"/>
          </reference>
          <reference field="17" count="1">
            <x v="74"/>
          </reference>
          <reference field="20" count="1" selected="0">
            <x v="0"/>
          </reference>
          <reference field="21" count="1" selected="0">
            <x v="0"/>
          </reference>
          <reference field="22" count="1" selected="0">
            <x v="0"/>
          </reference>
          <reference field="23" count="1" selected="0">
            <x v="42"/>
          </reference>
          <reference field="24" count="1" selected="0">
            <x v="83"/>
          </reference>
        </references>
      </pivotArea>
    </format>
    <format dxfId="1620">
      <pivotArea dataOnly="0" labelOnly="1" outline="0" fieldPosition="0">
        <references count="10">
          <reference field="0" count="1" selected="0">
            <x v="3"/>
          </reference>
          <reference field="1" count="1" selected="0">
            <x v="47"/>
          </reference>
          <reference field="5" count="1" selected="0">
            <x v="2"/>
          </reference>
          <reference field="13" count="1" selected="0">
            <x v="98"/>
          </reference>
          <reference field="17" count="1">
            <x v="75"/>
          </reference>
          <reference field="20" count="1" selected="0">
            <x v="0"/>
          </reference>
          <reference field="21" count="1" selected="0">
            <x v="0"/>
          </reference>
          <reference field="22" count="1" selected="0">
            <x v="0"/>
          </reference>
          <reference field="23" count="1" selected="0">
            <x v="44"/>
          </reference>
          <reference field="24" count="1" selected="0">
            <x v="83"/>
          </reference>
        </references>
      </pivotArea>
    </format>
    <format dxfId="1619">
      <pivotArea dataOnly="0" labelOnly="1" outline="0" fieldPosition="0">
        <references count="10">
          <reference field="0" count="1" selected="0">
            <x v="0"/>
          </reference>
          <reference field="1" count="1" selected="0">
            <x v="48"/>
          </reference>
          <reference field="5" count="1" selected="0">
            <x v="2"/>
          </reference>
          <reference field="13" count="1" selected="0">
            <x v="0"/>
          </reference>
          <reference field="17" count="1">
            <x v="0"/>
          </reference>
          <reference field="20" count="1" selected="0">
            <x v="4"/>
          </reference>
          <reference field="21" count="1" selected="0">
            <x v="0"/>
          </reference>
          <reference field="22" count="1" selected="0">
            <x v="0"/>
          </reference>
          <reference field="23" count="1" selected="0">
            <x v="0"/>
          </reference>
          <reference field="24" count="1" selected="0">
            <x v="80"/>
          </reference>
        </references>
      </pivotArea>
    </format>
    <format dxfId="1618">
      <pivotArea dataOnly="0" labelOnly="1" outline="0" fieldPosition="0">
        <references count="10">
          <reference field="0" count="1" selected="0">
            <x v="1"/>
          </reference>
          <reference field="1" count="1" selected="0">
            <x v="49"/>
          </reference>
          <reference field="5" count="1" selected="0">
            <x v="2"/>
          </reference>
          <reference field="13" count="1" selected="0">
            <x v="0"/>
          </reference>
          <reference field="17" count="1">
            <x v="0"/>
          </reference>
          <reference field="20" count="1" selected="0">
            <x v="0"/>
          </reference>
          <reference field="21" count="1" selected="0">
            <x v="4"/>
          </reference>
          <reference field="22" count="1" selected="0">
            <x v="0"/>
          </reference>
          <reference field="23" count="1" selected="0">
            <x v="0"/>
          </reference>
          <reference field="24" count="1" selected="0">
            <x v="80"/>
          </reference>
        </references>
      </pivotArea>
    </format>
    <format dxfId="1617">
      <pivotArea dataOnly="0" labelOnly="1" outline="0" fieldPosition="0">
        <references count="10">
          <reference field="0" count="1" selected="0">
            <x v="2"/>
          </reference>
          <reference field="1" count="1" selected="0">
            <x v="5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5"/>
          </reference>
          <reference field="23" count="1" selected="0">
            <x v="0"/>
          </reference>
          <reference field="24" count="1" selected="0">
            <x v="80"/>
          </reference>
        </references>
      </pivotArea>
    </format>
    <format dxfId="1616">
      <pivotArea dataOnly="0" labelOnly="1" outline="0" fieldPosition="0">
        <references count="10">
          <reference field="0" count="1" selected="0">
            <x v="3"/>
          </reference>
          <reference field="1" count="1" selected="0">
            <x v="5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9"/>
          </reference>
          <reference field="24" count="1" selected="0">
            <x v="3"/>
          </reference>
        </references>
      </pivotArea>
    </format>
    <format dxfId="1615">
      <pivotArea dataOnly="0" labelOnly="1" outline="0" fieldPosition="0">
        <references count="10">
          <reference field="0" count="1" selected="0">
            <x v="1"/>
          </reference>
          <reference field="1" count="1" selected="0">
            <x v="52"/>
          </reference>
          <reference field="5" count="1" selected="0">
            <x v="2"/>
          </reference>
          <reference field="13" count="1" selected="0">
            <x v="0"/>
          </reference>
          <reference field="17" count="1">
            <x v="0"/>
          </reference>
          <reference field="20" count="1" selected="0">
            <x v="0"/>
          </reference>
          <reference field="21" count="1" selected="0">
            <x v="13"/>
          </reference>
          <reference field="22" count="1" selected="0">
            <x v="0"/>
          </reference>
          <reference field="23" count="1" selected="0">
            <x v="0"/>
          </reference>
          <reference field="24" count="1" selected="0">
            <x v="80"/>
          </reference>
        </references>
      </pivotArea>
    </format>
    <format dxfId="1614">
      <pivotArea dataOnly="0" labelOnly="1" outline="0" fieldPosition="0">
        <references count="10">
          <reference field="0" count="1" selected="0">
            <x v="2"/>
          </reference>
          <reference field="1" count="1" selected="0">
            <x v="5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8"/>
          </reference>
          <reference field="23" count="1" selected="0">
            <x v="0"/>
          </reference>
          <reference field="24" count="1" selected="0">
            <x v="80"/>
          </reference>
        </references>
      </pivotArea>
    </format>
    <format dxfId="1613">
      <pivotArea dataOnly="0" labelOnly="1" outline="0" fieldPosition="0">
        <references count="10">
          <reference field="0" count="1" selected="0">
            <x v="3"/>
          </reference>
          <reference field="1" count="1" selected="0">
            <x v="54"/>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32"/>
          </reference>
          <reference field="24" count="1" selected="0">
            <x v="70"/>
          </reference>
        </references>
      </pivotArea>
    </format>
    <format dxfId="1612">
      <pivotArea dataOnly="0" labelOnly="1" outline="0" fieldPosition="0">
        <references count="10">
          <reference field="0" count="1" selected="0">
            <x v="3"/>
          </reference>
          <reference field="1" count="1" selected="0">
            <x v="55"/>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3"/>
          </reference>
          <reference field="24" count="1" selected="0">
            <x v="53"/>
          </reference>
        </references>
      </pivotArea>
    </format>
    <format dxfId="1611">
      <pivotArea dataOnly="0" labelOnly="1" outline="0" fieldPosition="0">
        <references count="10">
          <reference field="0" count="1" selected="0">
            <x v="3"/>
          </reference>
          <reference field="1" count="1" selected="0">
            <x v="56"/>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81"/>
          </reference>
          <reference field="24" count="1" selected="0">
            <x v="53"/>
          </reference>
        </references>
      </pivotArea>
    </format>
    <format dxfId="1610">
      <pivotArea dataOnly="0" labelOnly="1" outline="0" fieldPosition="0">
        <references count="10">
          <reference field="0" count="1" selected="0">
            <x v="1"/>
          </reference>
          <reference field="1" count="1" selected="0">
            <x v="57"/>
          </reference>
          <reference field="5" count="1" selected="0">
            <x v="2"/>
          </reference>
          <reference field="13" count="1" selected="0">
            <x v="0"/>
          </reference>
          <reference field="17" count="1">
            <x v="0"/>
          </reference>
          <reference field="20" count="1" selected="0">
            <x v="0"/>
          </reference>
          <reference field="21" count="1" selected="0">
            <x v="3"/>
          </reference>
          <reference field="22" count="1" selected="0">
            <x v="0"/>
          </reference>
          <reference field="23" count="1" selected="0">
            <x v="0"/>
          </reference>
          <reference field="24" count="1" selected="0">
            <x v="80"/>
          </reference>
        </references>
      </pivotArea>
    </format>
    <format dxfId="1609">
      <pivotArea dataOnly="0" labelOnly="1" outline="0" fieldPosition="0">
        <references count="10">
          <reference field="0" count="1" selected="0">
            <x v="2"/>
          </reference>
          <reference field="1" count="1" selected="0">
            <x v="5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9"/>
          </reference>
          <reference field="23" count="1" selected="0">
            <x v="0"/>
          </reference>
          <reference field="24" count="1" selected="0">
            <x v="80"/>
          </reference>
        </references>
      </pivotArea>
    </format>
    <format dxfId="1608">
      <pivotArea dataOnly="0" labelOnly="1" outline="0" fieldPosition="0">
        <references count="10">
          <reference field="0" count="1" selected="0">
            <x v="3"/>
          </reference>
          <reference field="1" count="1" selected="0">
            <x v="59"/>
          </reference>
          <reference field="5" count="1" selected="0">
            <x v="2"/>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7"/>
          </reference>
          <reference field="24" count="1" selected="0">
            <x v="67"/>
          </reference>
        </references>
      </pivotArea>
    </format>
    <format dxfId="1607">
      <pivotArea dataOnly="0" labelOnly="1" outline="0" fieldPosition="0">
        <references count="10">
          <reference field="0" count="1" selected="0">
            <x v="3"/>
          </reference>
          <reference field="1" count="1" selected="0">
            <x v="60"/>
          </reference>
          <reference field="5" count="1" selected="0">
            <x v="2"/>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8"/>
          </reference>
          <reference field="24" count="1" selected="0">
            <x v="67"/>
          </reference>
        </references>
      </pivotArea>
    </format>
    <format dxfId="1606">
      <pivotArea dataOnly="0" labelOnly="1" outline="0" fieldPosition="0">
        <references count="10">
          <reference field="0" count="1" selected="0">
            <x v="2"/>
          </reference>
          <reference field="1" count="1" selected="0">
            <x v="6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6"/>
          </reference>
          <reference field="23" count="1" selected="0">
            <x v="0"/>
          </reference>
          <reference field="24" count="1" selected="0">
            <x v="80"/>
          </reference>
        </references>
      </pivotArea>
    </format>
    <format dxfId="1605">
      <pivotArea dataOnly="0" labelOnly="1" outline="0" fieldPosition="0">
        <references count="10">
          <reference field="0" count="1" selected="0">
            <x v="3"/>
          </reference>
          <reference field="1" count="1" selected="0">
            <x v="62"/>
          </reference>
          <reference field="5" count="1" selected="0">
            <x v="2"/>
          </reference>
          <reference field="13" count="1" selected="0">
            <x v="99"/>
          </reference>
          <reference field="17" count="1">
            <x v="76"/>
          </reference>
          <reference field="20" count="1" selected="0">
            <x v="0"/>
          </reference>
          <reference field="21" count="1" selected="0">
            <x v="0"/>
          </reference>
          <reference field="22" count="1" selected="0">
            <x v="0"/>
          </reference>
          <reference field="23" count="1" selected="0">
            <x v="109"/>
          </reference>
          <reference field="24" count="1" selected="0">
            <x v="67"/>
          </reference>
        </references>
      </pivotArea>
    </format>
    <format dxfId="1604">
      <pivotArea dataOnly="0" labelOnly="1" outline="0" fieldPosition="0">
        <references count="10">
          <reference field="0" count="1" selected="0">
            <x v="3"/>
          </reference>
          <reference field="1" count="1" selected="0">
            <x v="63"/>
          </reference>
          <reference field="5" count="1" selected="0">
            <x v="2"/>
          </reference>
          <reference field="13" count="1" selected="0">
            <x v="99"/>
          </reference>
          <reference field="17" count="1">
            <x v="76"/>
          </reference>
          <reference field="20" count="1" selected="0">
            <x v="0"/>
          </reference>
          <reference field="21" count="1" selected="0">
            <x v="0"/>
          </reference>
          <reference field="22" count="1" selected="0">
            <x v="0"/>
          </reference>
          <reference field="23" count="1" selected="0">
            <x v="110"/>
          </reference>
          <reference field="24" count="1" selected="0">
            <x v="67"/>
          </reference>
        </references>
      </pivotArea>
    </format>
    <format dxfId="1603">
      <pivotArea dataOnly="0" labelOnly="1" outline="0" fieldPosition="0">
        <references count="10">
          <reference field="0" count="1" selected="0">
            <x v="3"/>
          </reference>
          <reference field="1" count="1" selected="0">
            <x v="64"/>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9"/>
          </reference>
          <reference field="24" count="1" selected="0">
            <x v="66"/>
          </reference>
        </references>
      </pivotArea>
    </format>
    <format dxfId="1602">
      <pivotArea dataOnly="0" labelOnly="1" outline="0" fieldPosition="0">
        <references count="10">
          <reference field="0" count="1" selected="0">
            <x v="3"/>
          </reference>
          <reference field="1" count="1" selected="0">
            <x v="65"/>
          </reference>
          <reference field="5" count="1" selected="0">
            <x v="2"/>
          </reference>
          <reference field="13" count="1" selected="0">
            <x v="100"/>
          </reference>
          <reference field="17" count="1">
            <x v="0"/>
          </reference>
          <reference field="20" count="1" selected="0">
            <x v="0"/>
          </reference>
          <reference field="21" count="1" selected="0">
            <x v="0"/>
          </reference>
          <reference field="22" count="1" selected="0">
            <x v="0"/>
          </reference>
          <reference field="23" count="1" selected="0">
            <x v="101"/>
          </reference>
          <reference field="24" count="1" selected="0">
            <x v="45"/>
          </reference>
        </references>
      </pivotArea>
    </format>
    <format dxfId="1601">
      <pivotArea dataOnly="0" labelOnly="1" outline="0" fieldPosition="0">
        <references count="10">
          <reference field="0" count="1" selected="0">
            <x v="3"/>
          </reference>
          <reference field="1" count="1" selected="0">
            <x v="66"/>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56"/>
          </reference>
          <reference field="24" count="1" selected="0">
            <x v="68"/>
          </reference>
        </references>
      </pivotArea>
    </format>
    <format dxfId="1600">
      <pivotArea dataOnly="0" labelOnly="1" outline="0" fieldPosition="0">
        <references count="10">
          <reference field="0" count="1" selected="0">
            <x v="3"/>
          </reference>
          <reference field="1" count="1" selected="0">
            <x v="67"/>
          </reference>
          <reference field="5" count="1" selected="0">
            <x v="2"/>
          </reference>
          <reference field="13" count="1" selected="0">
            <x v="101"/>
          </reference>
          <reference field="17" count="1">
            <x v="77"/>
          </reference>
          <reference field="20" count="1" selected="0">
            <x v="0"/>
          </reference>
          <reference field="21" count="1" selected="0">
            <x v="0"/>
          </reference>
          <reference field="22" count="1" selected="0">
            <x v="0"/>
          </reference>
          <reference field="23" count="1" selected="0">
            <x v="111"/>
          </reference>
          <reference field="24" count="1" selected="0">
            <x v="68"/>
          </reference>
        </references>
      </pivotArea>
    </format>
    <format dxfId="1599">
      <pivotArea dataOnly="0" labelOnly="1" outline="0" fieldPosition="0">
        <references count="10">
          <reference field="0" count="1" selected="0">
            <x v="2"/>
          </reference>
          <reference field="1" count="1" selected="0">
            <x v="68"/>
          </reference>
          <reference field="5" count="1" selected="0">
            <x v="2"/>
          </reference>
          <reference field="13" count="1" selected="0">
            <x v="102"/>
          </reference>
          <reference field="17" count="1">
            <x v="78"/>
          </reference>
          <reference field="20" count="1" selected="0">
            <x v="0"/>
          </reference>
          <reference field="21" count="1" selected="0">
            <x v="0"/>
          </reference>
          <reference field="22" count="1" selected="0">
            <x v="4"/>
          </reference>
          <reference field="23" count="1" selected="0">
            <x v="0"/>
          </reference>
          <reference field="24" count="1" selected="0">
            <x v="68"/>
          </reference>
        </references>
      </pivotArea>
    </format>
    <format dxfId="1598">
      <pivotArea dataOnly="0" labelOnly="1" outline="0" fieldPosition="0">
        <references count="10">
          <reference field="0" count="1" selected="0">
            <x v="2"/>
          </reference>
          <reference field="1" count="1" selected="0">
            <x v="6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5"/>
          </reference>
          <reference field="23" count="1" selected="0">
            <x v="0"/>
          </reference>
          <reference field="24" count="1" selected="0">
            <x v="80"/>
          </reference>
        </references>
      </pivotArea>
    </format>
    <format dxfId="1597">
      <pivotArea dataOnly="0" labelOnly="1" outline="0" fieldPosition="0">
        <references count="10">
          <reference field="0" count="1" selected="0">
            <x v="3"/>
          </reference>
          <reference field="1" count="1" selected="0">
            <x v="70"/>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67"/>
          </reference>
          <reference field="24" count="1" selected="0">
            <x v="67"/>
          </reference>
        </references>
      </pivotArea>
    </format>
    <format dxfId="1596">
      <pivotArea dataOnly="0" labelOnly="1" outline="0" fieldPosition="0">
        <references count="10">
          <reference field="0" count="1" selected="0">
            <x v="3"/>
          </reference>
          <reference field="1" count="1" selected="0">
            <x v="71"/>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1"/>
          </reference>
          <reference field="24" count="1" selected="0">
            <x v="67"/>
          </reference>
        </references>
      </pivotArea>
    </format>
    <format dxfId="1595">
      <pivotArea dataOnly="0" labelOnly="1" outline="0" fieldPosition="0">
        <references count="10">
          <reference field="0" count="1" selected="0">
            <x v="3"/>
          </reference>
          <reference field="1" count="1" selected="0">
            <x v="72"/>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8"/>
          </reference>
          <reference field="24" count="1" selected="0">
            <x v="67"/>
          </reference>
        </references>
      </pivotArea>
    </format>
    <format dxfId="1594">
      <pivotArea dataOnly="0" labelOnly="1" outline="0" fieldPosition="0">
        <references count="10">
          <reference field="0" count="1" selected="0">
            <x v="3"/>
          </reference>
          <reference field="1" count="1" selected="0">
            <x v="73"/>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60"/>
          </reference>
          <reference field="24" count="1" selected="0">
            <x v="39"/>
          </reference>
        </references>
      </pivotArea>
    </format>
    <format dxfId="1593">
      <pivotArea dataOnly="0" labelOnly="1" outline="0" fieldPosition="0">
        <references count="10">
          <reference field="0" count="1" selected="0">
            <x v="3"/>
          </reference>
          <reference field="1" count="1" selected="0">
            <x v="74"/>
          </reference>
          <reference field="5" count="1" selected="0">
            <x v="2"/>
          </reference>
          <reference field="13" count="1" selected="0">
            <x v="103"/>
          </reference>
          <reference field="17" count="1">
            <x v="79"/>
          </reference>
          <reference field="20" count="1" selected="0">
            <x v="0"/>
          </reference>
          <reference field="21" count="1" selected="0">
            <x v="0"/>
          </reference>
          <reference field="22" count="1" selected="0">
            <x v="0"/>
          </reference>
          <reference field="23" count="1" selected="0">
            <x v="94"/>
          </reference>
          <reference field="24" count="1" selected="0">
            <x v="76"/>
          </reference>
        </references>
      </pivotArea>
    </format>
    <format dxfId="1592">
      <pivotArea dataOnly="0" labelOnly="1" outline="0" fieldPosition="0">
        <references count="10">
          <reference field="0" count="1" selected="0">
            <x v="3"/>
          </reference>
          <reference field="1" count="1" selected="0">
            <x v="75"/>
          </reference>
          <reference field="5" count="1" selected="0">
            <x v="2"/>
          </reference>
          <reference field="13" count="1" selected="0">
            <x v="104"/>
          </reference>
          <reference field="17" count="1">
            <x v="80"/>
          </reference>
          <reference field="20" count="1" selected="0">
            <x v="0"/>
          </reference>
          <reference field="21" count="1" selected="0">
            <x v="0"/>
          </reference>
          <reference field="22" count="1" selected="0">
            <x v="0"/>
          </reference>
          <reference field="23" count="1" selected="0">
            <x v="112"/>
          </reference>
          <reference field="24" count="1" selected="0">
            <x v="68"/>
          </reference>
        </references>
      </pivotArea>
    </format>
    <format dxfId="1591">
      <pivotArea dataOnly="0" labelOnly="1" outline="0" fieldPosition="0">
        <references count="10">
          <reference field="0" count="1" selected="0">
            <x v="3"/>
          </reference>
          <reference field="1" count="1" selected="0">
            <x v="76"/>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8"/>
          </reference>
          <reference field="24" count="1" selected="0">
            <x v="48"/>
          </reference>
        </references>
      </pivotArea>
    </format>
    <format dxfId="1590">
      <pivotArea dataOnly="0" labelOnly="1" outline="0" fieldPosition="0">
        <references count="10">
          <reference field="0" count="1" selected="0">
            <x v="3"/>
          </reference>
          <reference field="1" count="1" selected="0">
            <x v="77"/>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4"/>
          </reference>
          <reference field="24" count="1" selected="0">
            <x v="48"/>
          </reference>
        </references>
      </pivotArea>
    </format>
    <format dxfId="1589">
      <pivotArea dataOnly="0" labelOnly="1" outline="0" fieldPosition="0">
        <references count="10">
          <reference field="0" count="1" selected="0">
            <x v="1"/>
          </reference>
          <reference field="1" count="1" selected="0">
            <x v="78"/>
          </reference>
          <reference field="5" count="1" selected="0">
            <x v="2"/>
          </reference>
          <reference field="13" count="1" selected="0">
            <x v="0"/>
          </reference>
          <reference field="17" count="1">
            <x v="0"/>
          </reference>
          <reference field="20" count="1" selected="0">
            <x v="0"/>
          </reference>
          <reference field="21" count="1" selected="0">
            <x v="11"/>
          </reference>
          <reference field="22" count="1" selected="0">
            <x v="0"/>
          </reference>
          <reference field="23" count="1" selected="0">
            <x v="0"/>
          </reference>
          <reference field="24" count="1" selected="0">
            <x v="80"/>
          </reference>
        </references>
      </pivotArea>
    </format>
    <format dxfId="1588">
      <pivotArea dataOnly="0" labelOnly="1" outline="0" fieldPosition="0">
        <references count="10">
          <reference field="0" count="1" selected="0">
            <x v="2"/>
          </reference>
          <reference field="1" count="1" selected="0">
            <x v="7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6"/>
          </reference>
          <reference field="23" count="1" selected="0">
            <x v="0"/>
          </reference>
          <reference field="24" count="1" selected="0">
            <x v="80"/>
          </reference>
        </references>
      </pivotArea>
    </format>
    <format dxfId="1587">
      <pivotArea dataOnly="0" labelOnly="1" outline="0" fieldPosition="0">
        <references count="10">
          <reference field="0" count="1" selected="0">
            <x v="3"/>
          </reference>
          <reference field="1" count="1" selected="0">
            <x v="80"/>
          </reference>
          <reference field="5" count="1" selected="0">
            <x v="2"/>
          </reference>
          <reference field="13" count="1" selected="0">
            <x v="105"/>
          </reference>
          <reference field="17" count="1">
            <x v="81"/>
          </reference>
          <reference field="20" count="1" selected="0">
            <x v="0"/>
          </reference>
          <reference field="21" count="1" selected="0">
            <x v="0"/>
          </reference>
          <reference field="22" count="1" selected="0">
            <x v="0"/>
          </reference>
          <reference field="23" count="1" selected="0">
            <x v="37"/>
          </reference>
          <reference field="24" count="1" selected="0">
            <x v="36"/>
          </reference>
        </references>
      </pivotArea>
    </format>
    <format dxfId="1586">
      <pivotArea dataOnly="0" labelOnly="1" outline="0" fieldPosition="0">
        <references count="10">
          <reference field="0" count="1" selected="0">
            <x v="3"/>
          </reference>
          <reference field="1" count="1" selected="0">
            <x v="81"/>
          </reference>
          <reference field="5" count="1" selected="0">
            <x v="2"/>
          </reference>
          <reference field="13" count="1" selected="0">
            <x v="106"/>
          </reference>
          <reference field="17" count="1">
            <x v="82"/>
          </reference>
          <reference field="20" count="1" selected="0">
            <x v="0"/>
          </reference>
          <reference field="21" count="1" selected="0">
            <x v="0"/>
          </reference>
          <reference field="22" count="1" selected="0">
            <x v="0"/>
          </reference>
          <reference field="23" count="1" selected="0">
            <x v="12"/>
          </reference>
          <reference field="24" count="1" selected="0">
            <x v="36"/>
          </reference>
        </references>
      </pivotArea>
    </format>
    <format dxfId="1585">
      <pivotArea dataOnly="0" labelOnly="1" outline="0" fieldPosition="0">
        <references count="10">
          <reference field="0" count="1" selected="0">
            <x v="3"/>
          </reference>
          <reference field="1" count="1" selected="0">
            <x v="82"/>
          </reference>
          <reference field="5" count="1" selected="0">
            <x v="2"/>
          </reference>
          <reference field="13" count="1" selected="0">
            <x v="107"/>
          </reference>
          <reference field="17" count="1">
            <x v="83"/>
          </reference>
          <reference field="20" count="1" selected="0">
            <x v="0"/>
          </reference>
          <reference field="21" count="1" selected="0">
            <x v="0"/>
          </reference>
          <reference field="22" count="1" selected="0">
            <x v="0"/>
          </reference>
          <reference field="23" count="1" selected="0">
            <x v="7"/>
          </reference>
          <reference field="24" count="1" selected="0">
            <x v="36"/>
          </reference>
        </references>
      </pivotArea>
    </format>
    <format dxfId="1584">
      <pivotArea dataOnly="0" labelOnly="1" outline="0" fieldPosition="0">
        <references count="10">
          <reference field="0" count="1" selected="0">
            <x v="3"/>
          </reference>
          <reference field="1" count="1" selected="0">
            <x v="83"/>
          </reference>
          <reference field="5" count="1" selected="0">
            <x v="2"/>
          </reference>
          <reference field="13" count="1" selected="0">
            <x v="108"/>
          </reference>
          <reference field="17" count="1">
            <x v="84"/>
          </reference>
          <reference field="20" count="1" selected="0">
            <x v="0"/>
          </reference>
          <reference field="21" count="1" selected="0">
            <x v="0"/>
          </reference>
          <reference field="22" count="1" selected="0">
            <x v="0"/>
          </reference>
          <reference field="23" count="1" selected="0">
            <x v="9"/>
          </reference>
          <reference field="24" count="1" selected="0">
            <x v="36"/>
          </reference>
        </references>
      </pivotArea>
    </format>
    <format dxfId="1583">
      <pivotArea dataOnly="0" labelOnly="1" outline="0" fieldPosition="0">
        <references count="10">
          <reference field="0" count="1" selected="0">
            <x v="3"/>
          </reference>
          <reference field="1" count="1" selected="0">
            <x v="84"/>
          </reference>
          <reference field="5" count="1" selected="0">
            <x v="2"/>
          </reference>
          <reference field="13" count="1" selected="0">
            <x v="109"/>
          </reference>
          <reference field="17" count="1">
            <x v="85"/>
          </reference>
          <reference field="20" count="1" selected="0">
            <x v="0"/>
          </reference>
          <reference field="21" count="1" selected="0">
            <x v="0"/>
          </reference>
          <reference field="22" count="1" selected="0">
            <x v="0"/>
          </reference>
          <reference field="23" count="1" selected="0">
            <x v="11"/>
          </reference>
          <reference field="24" count="1" selected="0">
            <x v="36"/>
          </reference>
        </references>
      </pivotArea>
    </format>
    <format dxfId="1582">
      <pivotArea dataOnly="0" labelOnly="1" outline="0" fieldPosition="0">
        <references count="10">
          <reference field="0" count="1" selected="0">
            <x v="3"/>
          </reference>
          <reference field="1" count="1" selected="0">
            <x v="85"/>
          </reference>
          <reference field="5" count="1" selected="0">
            <x v="2"/>
          </reference>
          <reference field="13" count="1" selected="0">
            <x v="110"/>
          </reference>
          <reference field="17" count="1">
            <x v="86"/>
          </reference>
          <reference field="20" count="1" selected="0">
            <x v="0"/>
          </reference>
          <reference field="21" count="1" selected="0">
            <x v="0"/>
          </reference>
          <reference field="22" count="1" selected="0">
            <x v="0"/>
          </reference>
          <reference field="23" count="1" selected="0">
            <x v="6"/>
          </reference>
          <reference field="24" count="1" selected="0">
            <x v="36"/>
          </reference>
        </references>
      </pivotArea>
    </format>
    <format dxfId="1581">
      <pivotArea dataOnly="0" labelOnly="1" outline="0" fieldPosition="0">
        <references count="10">
          <reference field="0" count="1" selected="0">
            <x v="3"/>
          </reference>
          <reference field="1" count="1" selected="0">
            <x v="86"/>
          </reference>
          <reference field="5" count="1" selected="0">
            <x v="2"/>
          </reference>
          <reference field="13" count="1" selected="0">
            <x v="111"/>
          </reference>
          <reference field="17" count="1">
            <x v="87"/>
          </reference>
          <reference field="20" count="1" selected="0">
            <x v="0"/>
          </reference>
          <reference field="21" count="1" selected="0">
            <x v="0"/>
          </reference>
          <reference field="22" count="1" selected="0">
            <x v="0"/>
          </reference>
          <reference field="23" count="1" selected="0">
            <x v="8"/>
          </reference>
          <reference field="24" count="1" selected="0">
            <x v="36"/>
          </reference>
        </references>
      </pivotArea>
    </format>
    <format dxfId="1580">
      <pivotArea dataOnly="0" labelOnly="1" outline="0" fieldPosition="0">
        <references count="10">
          <reference field="0" count="1" selected="0">
            <x v="3"/>
          </reference>
          <reference field="1" count="1" selected="0">
            <x v="87"/>
          </reference>
          <reference field="5" count="1" selected="0">
            <x v="2"/>
          </reference>
          <reference field="13" count="1" selected="0">
            <x v="112"/>
          </reference>
          <reference field="17" count="1">
            <x v="88"/>
          </reference>
          <reference field="20" count="1" selected="0">
            <x v="0"/>
          </reference>
          <reference field="21" count="1" selected="0">
            <x v="0"/>
          </reference>
          <reference field="22" count="1" selected="0">
            <x v="0"/>
          </reference>
          <reference field="23" count="1" selected="0">
            <x v="10"/>
          </reference>
          <reference field="24" count="1" selected="0">
            <x v="36"/>
          </reference>
        </references>
      </pivotArea>
    </format>
    <format dxfId="1579">
      <pivotArea dataOnly="0" labelOnly="1" outline="0" fieldPosition="0">
        <references count="10">
          <reference field="0" count="1" selected="0">
            <x v="3"/>
          </reference>
          <reference field="1" count="1" selected="0">
            <x v="88"/>
          </reference>
          <reference field="5" count="1" selected="0">
            <x v="2"/>
          </reference>
          <reference field="13" count="1" selected="0">
            <x v="113"/>
          </reference>
          <reference field="17" count="1">
            <x v="89"/>
          </reference>
          <reference field="20" count="1" selected="0">
            <x v="0"/>
          </reference>
          <reference field="21" count="1" selected="0">
            <x v="0"/>
          </reference>
          <reference field="22" count="1" selected="0">
            <x v="0"/>
          </reference>
          <reference field="23" count="1" selected="0">
            <x v="13"/>
          </reference>
          <reference field="24" count="1" selected="0">
            <x v="36"/>
          </reference>
        </references>
      </pivotArea>
    </format>
    <format dxfId="1578">
      <pivotArea dataOnly="0" labelOnly="1" outline="0" fieldPosition="0">
        <references count="10">
          <reference field="0" count="1" selected="0">
            <x v="3"/>
          </reference>
          <reference field="1" count="1" selected="0">
            <x v="89"/>
          </reference>
          <reference field="5" count="1" selected="0">
            <x v="2"/>
          </reference>
          <reference field="13" count="1" selected="0">
            <x v="114"/>
          </reference>
          <reference field="17" count="1">
            <x v="90"/>
          </reference>
          <reference field="20" count="1" selected="0">
            <x v="0"/>
          </reference>
          <reference field="21" count="1" selected="0">
            <x v="0"/>
          </reference>
          <reference field="22" count="1" selected="0">
            <x v="0"/>
          </reference>
          <reference field="23" count="1" selected="0">
            <x v="1"/>
          </reference>
          <reference field="24" count="1" selected="0">
            <x v="36"/>
          </reference>
        </references>
      </pivotArea>
    </format>
    <format dxfId="1577">
      <pivotArea dataOnly="0" labelOnly="1" outline="0" fieldPosition="0">
        <references count="10">
          <reference field="0" count="1" selected="0">
            <x v="2"/>
          </reference>
          <reference field="1" count="1" selected="0">
            <x v="9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9"/>
          </reference>
          <reference field="23" count="1" selected="0">
            <x v="0"/>
          </reference>
          <reference field="24" count="1" selected="0">
            <x v="80"/>
          </reference>
        </references>
      </pivotArea>
    </format>
    <format dxfId="1576">
      <pivotArea dataOnly="0" labelOnly="1" outline="0" fieldPosition="0">
        <references count="10">
          <reference field="0" count="1" selected="0">
            <x v="3"/>
          </reference>
          <reference field="1" count="1" selected="0">
            <x v="91"/>
          </reference>
          <reference field="5" count="1" selected="0">
            <x v="2"/>
          </reference>
          <reference field="13" count="1" selected="0">
            <x v="115"/>
          </reference>
          <reference field="17" count="1">
            <x v="91"/>
          </reference>
          <reference field="20" count="1" selected="0">
            <x v="0"/>
          </reference>
          <reference field="21" count="1" selected="0">
            <x v="0"/>
          </reference>
          <reference field="22" count="1" selected="0">
            <x v="0"/>
          </reference>
          <reference field="23" count="1" selected="0">
            <x v="37"/>
          </reference>
          <reference field="24" count="1" selected="0">
            <x v="35"/>
          </reference>
        </references>
      </pivotArea>
    </format>
    <format dxfId="1575">
      <pivotArea dataOnly="0" labelOnly="1" outline="0" fieldPosition="0">
        <references count="10">
          <reference field="0" count="1" selected="0">
            <x v="3"/>
          </reference>
          <reference field="1" count="1" selected="0">
            <x v="92"/>
          </reference>
          <reference field="5" count="1" selected="0">
            <x v="2"/>
          </reference>
          <reference field="13" count="1" selected="0">
            <x v="116"/>
          </reference>
          <reference field="17" count="1">
            <x v="92"/>
          </reference>
          <reference field="20" count="1" selected="0">
            <x v="0"/>
          </reference>
          <reference field="21" count="1" selected="0">
            <x v="0"/>
          </reference>
          <reference field="22" count="1" selected="0">
            <x v="0"/>
          </reference>
          <reference field="23" count="1" selected="0">
            <x v="12"/>
          </reference>
          <reference field="24" count="1" selected="0">
            <x v="35"/>
          </reference>
        </references>
      </pivotArea>
    </format>
    <format dxfId="1574">
      <pivotArea dataOnly="0" labelOnly="1" outline="0" fieldPosition="0">
        <references count="10">
          <reference field="0" count="1" selected="0">
            <x v="3"/>
          </reference>
          <reference field="1" count="1" selected="0">
            <x v="93"/>
          </reference>
          <reference field="5" count="1" selected="0">
            <x v="2"/>
          </reference>
          <reference field="13" count="1" selected="0">
            <x v="117"/>
          </reference>
          <reference field="17" count="1">
            <x v="93"/>
          </reference>
          <reference field="20" count="1" selected="0">
            <x v="0"/>
          </reference>
          <reference field="21" count="1" selected="0">
            <x v="0"/>
          </reference>
          <reference field="22" count="1" selected="0">
            <x v="0"/>
          </reference>
          <reference field="23" count="1" selected="0">
            <x v="7"/>
          </reference>
          <reference field="24" count="1" selected="0">
            <x v="35"/>
          </reference>
        </references>
      </pivotArea>
    </format>
    <format dxfId="1573">
      <pivotArea dataOnly="0" labelOnly="1" outline="0" fieldPosition="0">
        <references count="10">
          <reference field="0" count="1" selected="0">
            <x v="3"/>
          </reference>
          <reference field="1" count="1" selected="0">
            <x v="94"/>
          </reference>
          <reference field="5" count="1" selected="0">
            <x v="2"/>
          </reference>
          <reference field="13" count="1" selected="0">
            <x v="118"/>
          </reference>
          <reference field="17" count="1">
            <x v="94"/>
          </reference>
          <reference field="20" count="1" selected="0">
            <x v="0"/>
          </reference>
          <reference field="21" count="1" selected="0">
            <x v="0"/>
          </reference>
          <reference field="22" count="1" selected="0">
            <x v="0"/>
          </reference>
          <reference field="23" count="1" selected="0">
            <x v="9"/>
          </reference>
          <reference field="24" count="1" selected="0">
            <x v="35"/>
          </reference>
        </references>
      </pivotArea>
    </format>
    <format dxfId="1572">
      <pivotArea dataOnly="0" labelOnly="1" outline="0" fieldPosition="0">
        <references count="10">
          <reference field="0" count="1" selected="0">
            <x v="3"/>
          </reference>
          <reference field="1" count="1" selected="0">
            <x v="95"/>
          </reference>
          <reference field="5" count="1" selected="0">
            <x v="2"/>
          </reference>
          <reference field="13" count="1" selected="0">
            <x v="119"/>
          </reference>
          <reference field="17" count="1">
            <x v="95"/>
          </reference>
          <reference field="20" count="1" selected="0">
            <x v="0"/>
          </reference>
          <reference field="21" count="1" selected="0">
            <x v="0"/>
          </reference>
          <reference field="22" count="1" selected="0">
            <x v="0"/>
          </reference>
          <reference field="23" count="1" selected="0">
            <x v="11"/>
          </reference>
          <reference field="24" count="1" selected="0">
            <x v="35"/>
          </reference>
        </references>
      </pivotArea>
    </format>
    <format dxfId="1571">
      <pivotArea dataOnly="0" labelOnly="1" outline="0" fieldPosition="0">
        <references count="10">
          <reference field="0" count="1" selected="0">
            <x v="3"/>
          </reference>
          <reference field="1" count="1" selected="0">
            <x v="96"/>
          </reference>
          <reference field="5" count="1" selected="0">
            <x v="2"/>
          </reference>
          <reference field="13" count="1" selected="0">
            <x v="120"/>
          </reference>
          <reference field="17" count="1">
            <x v="96"/>
          </reference>
          <reference field="20" count="1" selected="0">
            <x v="0"/>
          </reference>
          <reference field="21" count="1" selected="0">
            <x v="0"/>
          </reference>
          <reference field="22" count="1" selected="0">
            <x v="0"/>
          </reference>
          <reference field="23" count="1" selected="0">
            <x v="6"/>
          </reference>
          <reference field="24" count="1" selected="0">
            <x v="35"/>
          </reference>
        </references>
      </pivotArea>
    </format>
    <format dxfId="1570">
      <pivotArea dataOnly="0" labelOnly="1" outline="0" fieldPosition="0">
        <references count="10">
          <reference field="0" count="1" selected="0">
            <x v="3"/>
          </reference>
          <reference field="1" count="1" selected="0">
            <x v="97"/>
          </reference>
          <reference field="5" count="1" selected="0">
            <x v="2"/>
          </reference>
          <reference field="13" count="1" selected="0">
            <x v="121"/>
          </reference>
          <reference field="17" count="1">
            <x v="97"/>
          </reference>
          <reference field="20" count="1" selected="0">
            <x v="0"/>
          </reference>
          <reference field="21" count="1" selected="0">
            <x v="0"/>
          </reference>
          <reference field="22" count="1" selected="0">
            <x v="0"/>
          </reference>
          <reference field="23" count="1" selected="0">
            <x v="8"/>
          </reference>
          <reference field="24" count="1" selected="0">
            <x v="35"/>
          </reference>
        </references>
      </pivotArea>
    </format>
    <format dxfId="1569">
      <pivotArea dataOnly="0" labelOnly="1" outline="0" fieldPosition="0">
        <references count="10">
          <reference field="0" count="1" selected="0">
            <x v="3"/>
          </reference>
          <reference field="1" count="1" selected="0">
            <x v="98"/>
          </reference>
          <reference field="5" count="1" selected="0">
            <x v="2"/>
          </reference>
          <reference field="13" count="1" selected="0">
            <x v="122"/>
          </reference>
          <reference field="17" count="1">
            <x v="98"/>
          </reference>
          <reference field="20" count="1" selected="0">
            <x v="0"/>
          </reference>
          <reference field="21" count="1" selected="0">
            <x v="0"/>
          </reference>
          <reference field="22" count="1" selected="0">
            <x v="0"/>
          </reference>
          <reference field="23" count="1" selected="0">
            <x v="10"/>
          </reference>
          <reference field="24" count="1" selected="0">
            <x v="35"/>
          </reference>
        </references>
      </pivotArea>
    </format>
    <format dxfId="1568">
      <pivotArea dataOnly="0" labelOnly="1" outline="0" fieldPosition="0">
        <references count="10">
          <reference field="0" count="1" selected="0">
            <x v="3"/>
          </reference>
          <reference field="1" count="1" selected="0">
            <x v="99"/>
          </reference>
          <reference field="5" count="1" selected="0">
            <x v="2"/>
          </reference>
          <reference field="13" count="1" selected="0">
            <x v="123"/>
          </reference>
          <reference field="17" count="1">
            <x v="99"/>
          </reference>
          <reference field="20" count="1" selected="0">
            <x v="0"/>
          </reference>
          <reference field="21" count="1" selected="0">
            <x v="0"/>
          </reference>
          <reference field="22" count="1" selected="0">
            <x v="0"/>
          </reference>
          <reference field="23" count="1" selected="0">
            <x v="13"/>
          </reference>
          <reference field="24" count="1" selected="0">
            <x v="35"/>
          </reference>
        </references>
      </pivotArea>
    </format>
    <format dxfId="1567">
      <pivotArea dataOnly="0" labelOnly="1" outline="0" fieldPosition="0">
        <references count="10">
          <reference field="0" count="1" selected="0">
            <x v="3"/>
          </reference>
          <reference field="1" count="1" selected="0">
            <x v="100"/>
          </reference>
          <reference field="5" count="1" selected="0">
            <x v="2"/>
          </reference>
          <reference field="13" count="1" selected="0">
            <x v="124"/>
          </reference>
          <reference field="17" count="1">
            <x v="100"/>
          </reference>
          <reference field="20" count="1" selected="0">
            <x v="0"/>
          </reference>
          <reference field="21" count="1" selected="0">
            <x v="0"/>
          </reference>
          <reference field="22" count="1" selected="0">
            <x v="0"/>
          </reference>
          <reference field="23" count="1" selected="0">
            <x v="1"/>
          </reference>
          <reference field="24" count="1" selected="0">
            <x v="35"/>
          </reference>
        </references>
      </pivotArea>
    </format>
    <format dxfId="1566">
      <pivotArea dataOnly="0" labelOnly="1" outline="0" fieldPosition="0">
        <references count="10">
          <reference field="0" count="1" selected="0">
            <x v="2"/>
          </reference>
          <reference field="1" count="1" selected="0">
            <x v="10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0"/>
          </reference>
          <reference field="23" count="1" selected="0">
            <x v="0"/>
          </reference>
          <reference field="24" count="1" selected="0">
            <x v="80"/>
          </reference>
        </references>
      </pivotArea>
    </format>
    <format dxfId="1565">
      <pivotArea dataOnly="0" labelOnly="1" outline="0" fieldPosition="0">
        <references count="10">
          <reference field="0" count="1" selected="0">
            <x v="3"/>
          </reference>
          <reference field="1" count="1" selected="0">
            <x v="102"/>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4"/>
          </reference>
          <reference field="24" count="1" selected="0">
            <x v="33"/>
          </reference>
        </references>
      </pivotArea>
    </format>
    <format dxfId="1564">
      <pivotArea dataOnly="0" labelOnly="1" outline="0" fieldPosition="0">
        <references count="10">
          <reference field="0" count="1" selected="0">
            <x v="3"/>
          </reference>
          <reference field="1" count="1" selected="0">
            <x v="103"/>
          </reference>
          <reference field="5" count="1" selected="0">
            <x v="2"/>
          </reference>
          <reference field="13" count="1" selected="0">
            <x v="125"/>
          </reference>
          <reference field="17" count="1">
            <x v="101"/>
          </reference>
          <reference field="20" count="1" selected="0">
            <x v="0"/>
          </reference>
          <reference field="21" count="1" selected="0">
            <x v="0"/>
          </reference>
          <reference field="22" count="1" selected="0">
            <x v="0"/>
          </reference>
          <reference field="23" count="1" selected="0">
            <x v="49"/>
          </reference>
          <reference field="24" count="1" selected="0">
            <x v="29"/>
          </reference>
        </references>
      </pivotArea>
    </format>
    <format dxfId="1563">
      <pivotArea dataOnly="0" labelOnly="1" outline="0" fieldPosition="0">
        <references count="10">
          <reference field="0" count="1" selected="0">
            <x v="3"/>
          </reference>
          <reference field="1" count="1" selected="0">
            <x v="104"/>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1"/>
          </reference>
          <reference field="24" count="1" selected="0">
            <x v="30"/>
          </reference>
        </references>
      </pivotArea>
    </format>
    <format dxfId="1562">
      <pivotArea dataOnly="0" labelOnly="1" outline="0" fieldPosition="0">
        <references count="10">
          <reference field="0" count="1" selected="0">
            <x v="3"/>
          </reference>
          <reference field="1" count="1" selected="0">
            <x v="105"/>
          </reference>
          <reference field="5" count="1" selected="0">
            <x v="2"/>
          </reference>
          <reference field="13" count="1" selected="0">
            <x v="125"/>
          </reference>
          <reference field="17" count="1">
            <x v="101"/>
          </reference>
          <reference field="20" count="1" selected="0">
            <x v="0"/>
          </reference>
          <reference field="21" count="1" selected="0">
            <x v="0"/>
          </reference>
          <reference field="22" count="1" selected="0">
            <x v="0"/>
          </reference>
          <reference field="23" count="1" selected="0">
            <x v="48"/>
          </reference>
          <reference field="24" count="1" selected="0">
            <x v="29"/>
          </reference>
        </references>
      </pivotArea>
    </format>
    <format dxfId="1561">
      <pivotArea dataOnly="0" labelOnly="1" outline="0" fieldPosition="0">
        <references count="10">
          <reference field="0" count="1" selected="0">
            <x v="3"/>
          </reference>
          <reference field="1" count="1" selected="0">
            <x v="106"/>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0"/>
          </reference>
          <reference field="24" count="1" selected="0">
            <x v="31"/>
          </reference>
        </references>
      </pivotArea>
    </format>
    <format dxfId="1560">
      <pivotArea dataOnly="0" labelOnly="1" outline="0" fieldPosition="0">
        <references count="10">
          <reference field="0" count="1" selected="0">
            <x v="3"/>
          </reference>
          <reference field="1" count="1" selected="0">
            <x v="107"/>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3"/>
          </reference>
          <reference field="24" count="1" selected="0">
            <x v="69"/>
          </reference>
        </references>
      </pivotArea>
    </format>
    <format dxfId="1559">
      <pivotArea dataOnly="0" labelOnly="1" outline="0" fieldPosition="0">
        <references count="10">
          <reference field="0" count="1" selected="0">
            <x v="3"/>
          </reference>
          <reference field="1" count="1" selected="0">
            <x v="108"/>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82"/>
          </reference>
          <reference field="24" count="1" selected="0">
            <x v="58"/>
          </reference>
        </references>
      </pivotArea>
    </format>
    <format dxfId="1558">
      <pivotArea dataOnly="0" labelOnly="1" outline="0" fieldPosition="0">
        <references count="10">
          <reference field="0" count="1" selected="0">
            <x v="3"/>
          </reference>
          <reference field="1" count="1" selected="0">
            <x v="109"/>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95"/>
          </reference>
          <reference field="24" count="1" selected="0">
            <x v="73"/>
          </reference>
        </references>
      </pivotArea>
    </format>
    <format dxfId="1557">
      <pivotArea dataOnly="0" labelOnly="1" outline="0" fieldPosition="0">
        <references count="10">
          <reference field="0" count="1" selected="0">
            <x v="3"/>
          </reference>
          <reference field="1" count="1" selected="0">
            <x v="110"/>
          </reference>
          <reference field="5" count="1" selected="0">
            <x v="2"/>
          </reference>
          <reference field="13" count="1" selected="0">
            <x v="126"/>
          </reference>
          <reference field="17" count="1">
            <x v="102"/>
          </reference>
          <reference field="20" count="1" selected="0">
            <x v="0"/>
          </reference>
          <reference field="21" count="1" selected="0">
            <x v="0"/>
          </reference>
          <reference field="22" count="1" selected="0">
            <x v="0"/>
          </reference>
          <reference field="23" count="1" selected="0">
            <x v="83"/>
          </reference>
          <reference field="24" count="1" selected="0">
            <x v="23"/>
          </reference>
        </references>
      </pivotArea>
    </format>
    <format dxfId="1556">
      <pivotArea dataOnly="0" labelOnly="1" outline="0" fieldPosition="0">
        <references count="10">
          <reference field="0" count="1" selected="0">
            <x v="2"/>
          </reference>
          <reference field="1" count="1" selected="0">
            <x v="11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8"/>
          </reference>
          <reference field="23" count="1" selected="0">
            <x v="0"/>
          </reference>
          <reference field="24" count="1" selected="0">
            <x v="80"/>
          </reference>
        </references>
      </pivotArea>
    </format>
    <format dxfId="1555">
      <pivotArea dataOnly="0" labelOnly="1" outline="0" fieldPosition="0">
        <references count="10">
          <reference field="0" count="1" selected="0">
            <x v="3"/>
          </reference>
          <reference field="1" count="1" selected="0">
            <x v="112"/>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52"/>
          </reference>
          <reference field="24" count="1" selected="0">
            <x v="49"/>
          </reference>
        </references>
      </pivotArea>
    </format>
    <format dxfId="1554">
      <pivotArea dataOnly="0" labelOnly="1" outline="0" fieldPosition="0">
        <references count="10">
          <reference field="0" count="1" selected="0">
            <x v="3"/>
          </reference>
          <reference field="1" count="1" selected="0">
            <x v="113"/>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24"/>
          </reference>
          <reference field="24" count="1" selected="0">
            <x v="20"/>
          </reference>
        </references>
      </pivotArea>
    </format>
    <format dxfId="1553">
      <pivotArea dataOnly="0" labelOnly="1" outline="0" fieldPosition="0">
        <references count="10">
          <reference field="0" count="1" selected="0">
            <x v="3"/>
          </reference>
          <reference field="1" count="1" selected="0">
            <x v="114"/>
          </reference>
          <reference field="5" count="1" selected="0">
            <x v="2"/>
          </reference>
          <reference field="13" count="1" selected="0">
            <x v="127"/>
          </reference>
          <reference field="17" count="1">
            <x v="103"/>
          </reference>
          <reference field="20" count="1" selected="0">
            <x v="0"/>
          </reference>
          <reference field="21" count="1" selected="0">
            <x v="0"/>
          </reference>
          <reference field="22" count="1" selected="0">
            <x v="0"/>
          </reference>
          <reference field="23" count="1" selected="0">
            <x v="77"/>
          </reference>
          <reference field="24" count="1" selected="0">
            <x v="13"/>
          </reference>
        </references>
      </pivotArea>
    </format>
    <format dxfId="1552">
      <pivotArea dataOnly="0" labelOnly="1" outline="0" fieldPosition="0">
        <references count="10">
          <reference field="0" count="1" selected="0">
            <x v="3"/>
          </reference>
          <reference field="1" count="1" selected="0">
            <x v="115"/>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29"/>
          </reference>
          <reference field="24" count="1" selected="0">
            <x v="14"/>
          </reference>
        </references>
      </pivotArea>
    </format>
    <format dxfId="1551">
      <pivotArea dataOnly="0" labelOnly="1" outline="0" fieldPosition="0">
        <references count="10">
          <reference field="0" count="1" selected="0">
            <x v="3"/>
          </reference>
          <reference field="1" count="1" selected="0">
            <x v="116"/>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22"/>
          </reference>
          <reference field="24" count="1" selected="0">
            <x v="47"/>
          </reference>
        </references>
      </pivotArea>
    </format>
    <format dxfId="1550">
      <pivotArea dataOnly="0" labelOnly="1" outline="0" fieldPosition="0">
        <references count="10">
          <reference field="0" count="1" selected="0">
            <x v="2"/>
          </reference>
          <reference field="1" count="1" selected="0">
            <x v="11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1"/>
          </reference>
          <reference field="23" count="1" selected="0">
            <x v="0"/>
          </reference>
          <reference field="24" count="1" selected="0">
            <x v="80"/>
          </reference>
        </references>
      </pivotArea>
    </format>
    <format dxfId="1549">
      <pivotArea dataOnly="0" labelOnly="1" outline="0" fieldPosition="0">
        <references count="10">
          <reference field="0" count="1" selected="0">
            <x v="3"/>
          </reference>
          <reference field="1" count="1" selected="0">
            <x v="118"/>
          </reference>
          <reference field="5" count="1" selected="0">
            <x v="2"/>
          </reference>
          <reference field="13" count="1" selected="0">
            <x v="128"/>
          </reference>
          <reference field="17" count="1">
            <x v="104"/>
          </reference>
          <reference field="20" count="1" selected="0">
            <x v="0"/>
          </reference>
          <reference field="21" count="1" selected="0">
            <x v="0"/>
          </reference>
          <reference field="22" count="1" selected="0">
            <x v="0"/>
          </reference>
          <reference field="23" count="1" selected="0">
            <x v="78"/>
          </reference>
          <reference field="24" count="1" selected="0">
            <x v="68"/>
          </reference>
        </references>
      </pivotArea>
    </format>
    <format dxfId="1548">
      <pivotArea dataOnly="0" labelOnly="1" outline="0" fieldPosition="0">
        <references count="10">
          <reference field="0" count="1" selected="0">
            <x v="3"/>
          </reference>
          <reference field="1" count="1" selected="0">
            <x v="119"/>
          </reference>
          <reference field="5" count="1" selected="0">
            <x v="2"/>
          </reference>
          <reference field="13" count="1" selected="0">
            <x v="129"/>
          </reference>
          <reference field="17" count="1">
            <x v="105"/>
          </reference>
          <reference field="20" count="1" selected="0">
            <x v="0"/>
          </reference>
          <reference field="21" count="1" selected="0">
            <x v="0"/>
          </reference>
          <reference field="22" count="1" selected="0">
            <x v="0"/>
          </reference>
          <reference field="23" count="1" selected="0">
            <x v="79"/>
          </reference>
          <reference field="24" count="1" selected="0">
            <x v="44"/>
          </reference>
        </references>
      </pivotArea>
    </format>
    <format dxfId="1547">
      <pivotArea dataOnly="0" labelOnly="1" outline="0" fieldPosition="0">
        <references count="10">
          <reference field="0" count="1" selected="0">
            <x v="3"/>
          </reference>
          <reference field="1" count="1" selected="0">
            <x v="120"/>
          </reference>
          <reference field="5" count="1" selected="0">
            <x v="2"/>
          </reference>
          <reference field="13" count="1" selected="0">
            <x v="130"/>
          </reference>
          <reference field="17" count="1">
            <x v="106"/>
          </reference>
          <reference field="20" count="1" selected="0">
            <x v="0"/>
          </reference>
          <reference field="21" count="1" selected="0">
            <x v="0"/>
          </reference>
          <reference field="22" count="1" selected="0">
            <x v="0"/>
          </reference>
          <reference field="23" count="1" selected="0">
            <x v="80"/>
          </reference>
          <reference field="24" count="1" selected="0">
            <x v="44"/>
          </reference>
        </references>
      </pivotArea>
    </format>
    <format dxfId="1546">
      <pivotArea dataOnly="0" labelOnly="1" outline="0" fieldPosition="0">
        <references count="10">
          <reference field="0" count="1" selected="0">
            <x v="0"/>
          </reference>
          <reference field="1" count="1" selected="0">
            <x v="121"/>
          </reference>
          <reference field="5" count="1" selected="0">
            <x v="2"/>
          </reference>
          <reference field="13" count="1" selected="0">
            <x v="0"/>
          </reference>
          <reference field="17" count="1">
            <x v="0"/>
          </reference>
          <reference field="20" count="1" selected="0">
            <x v="2"/>
          </reference>
          <reference field="21" count="1" selected="0">
            <x v="0"/>
          </reference>
          <reference field="22" count="1" selected="0">
            <x v="0"/>
          </reference>
          <reference field="23" count="1" selected="0">
            <x v="0"/>
          </reference>
          <reference field="24" count="1" selected="0">
            <x v="80"/>
          </reference>
        </references>
      </pivotArea>
    </format>
    <format dxfId="1545">
      <pivotArea dataOnly="0" labelOnly="1" outline="0" fieldPosition="0">
        <references count="10">
          <reference field="0" count="1" selected="0">
            <x v="2"/>
          </reference>
          <reference field="1" count="1" selected="0">
            <x v="12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0"/>
          </reference>
          <reference field="23" count="1" selected="0">
            <x v="0"/>
          </reference>
          <reference field="24" count="1" selected="0">
            <x v="80"/>
          </reference>
        </references>
      </pivotArea>
    </format>
    <format dxfId="1544">
      <pivotArea dataOnly="0" labelOnly="1" outline="0" fieldPosition="0">
        <references count="10">
          <reference field="0" count="1" selected="0">
            <x v="3"/>
          </reference>
          <reference field="1" count="1" selected="0">
            <x v="12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2"/>
          </reference>
          <reference field="24" count="1" selected="0">
            <x v="1"/>
          </reference>
        </references>
      </pivotArea>
    </format>
    <format dxfId="1543">
      <pivotArea dataOnly="0" labelOnly="1" outline="0" fieldPosition="0">
        <references count="10">
          <reference field="0" count="1" selected="0">
            <x v="3"/>
          </reference>
          <reference field="1" count="1" selected="0">
            <x v="124"/>
          </reference>
          <reference field="5" count="1" selected="0">
            <x v="2"/>
          </reference>
          <reference field="13" count="1" selected="0">
            <x v="131"/>
          </reference>
          <reference field="17" count="1">
            <x v="107"/>
          </reference>
          <reference field="20" count="1" selected="0">
            <x v="0"/>
          </reference>
          <reference field="21" count="1" selected="0">
            <x v="0"/>
          </reference>
          <reference field="22" count="1" selected="0">
            <x v="0"/>
          </reference>
          <reference field="23" count="1" selected="0">
            <x v="45"/>
          </reference>
          <reference field="24" count="1" selected="0">
            <x v="1"/>
          </reference>
        </references>
      </pivotArea>
    </format>
    <format dxfId="1542">
      <pivotArea dataOnly="0" labelOnly="1" outline="0" fieldPosition="0">
        <references count="10">
          <reference field="0" count="1" selected="0">
            <x v="3"/>
          </reference>
          <reference field="1" count="1" selected="0">
            <x v="125"/>
          </reference>
          <reference field="5" count="1" selected="0">
            <x v="2"/>
          </reference>
          <reference field="13" count="1" selected="0">
            <x v="132"/>
          </reference>
          <reference field="17" count="1">
            <x v="108"/>
          </reference>
          <reference field="20" count="1" selected="0">
            <x v="0"/>
          </reference>
          <reference field="21" count="1" selected="0">
            <x v="0"/>
          </reference>
          <reference field="22" count="1" selected="0">
            <x v="0"/>
          </reference>
          <reference field="23" count="1" selected="0">
            <x v="43"/>
          </reference>
          <reference field="24" count="1" selected="0">
            <x v="1"/>
          </reference>
        </references>
      </pivotArea>
    </format>
    <format dxfId="1541">
      <pivotArea dataOnly="0" labelOnly="1" outline="0" fieldPosition="0">
        <references count="10">
          <reference field="0" count="1" selected="0">
            <x v="3"/>
          </reference>
          <reference field="1" count="1" selected="0">
            <x v="126"/>
          </reference>
          <reference field="5" count="1" selected="0">
            <x v="2"/>
          </reference>
          <reference field="13" count="1" selected="0">
            <x v="133"/>
          </reference>
          <reference field="17" count="1">
            <x v="109"/>
          </reference>
          <reference field="20" count="1" selected="0">
            <x v="0"/>
          </reference>
          <reference field="21" count="1" selected="0">
            <x v="0"/>
          </reference>
          <reference field="22" count="1" selected="0">
            <x v="0"/>
          </reference>
          <reference field="23" count="1" selected="0">
            <x v="41"/>
          </reference>
          <reference field="24" count="1" selected="0">
            <x v="1"/>
          </reference>
        </references>
      </pivotArea>
    </format>
    <format dxfId="1540">
      <pivotArea dataOnly="0" labelOnly="1" outline="0" fieldPosition="0">
        <references count="10">
          <reference field="0" count="1" selected="0">
            <x v="0"/>
          </reference>
          <reference field="1" count="1" selected="0">
            <x v="127"/>
          </reference>
          <reference field="5" count="1" selected="0">
            <x v="2"/>
          </reference>
          <reference field="13" count="1" selected="0">
            <x v="0"/>
          </reference>
          <reference field="17" count="1">
            <x v="0"/>
          </reference>
          <reference field="20" count="1" selected="0">
            <x v="1"/>
          </reference>
          <reference field="21" count="1" selected="0">
            <x v="0"/>
          </reference>
          <reference field="22" count="1" selected="0">
            <x v="0"/>
          </reference>
          <reference field="23" count="1" selected="0">
            <x v="0"/>
          </reference>
          <reference field="24" count="1" selected="0">
            <x v="80"/>
          </reference>
        </references>
      </pivotArea>
    </format>
    <format dxfId="1539">
      <pivotArea dataOnly="0" labelOnly="1" outline="0" fieldPosition="0">
        <references count="10">
          <reference field="0" count="1" selected="0">
            <x v="1"/>
          </reference>
          <reference field="1" count="1" selected="0">
            <x v="128"/>
          </reference>
          <reference field="5" count="1" selected="0">
            <x v="2"/>
          </reference>
          <reference field="13" count="1" selected="0">
            <x v="0"/>
          </reference>
          <reference field="17" count="1">
            <x v="0"/>
          </reference>
          <reference field="20" count="1" selected="0">
            <x v="0"/>
          </reference>
          <reference field="21" count="1" selected="0">
            <x v="1"/>
          </reference>
          <reference field="22" count="1" selected="0">
            <x v="0"/>
          </reference>
          <reference field="23" count="1" selected="0">
            <x v="0"/>
          </reference>
          <reference field="24" count="1" selected="0">
            <x v="80"/>
          </reference>
        </references>
      </pivotArea>
    </format>
    <format dxfId="1538">
      <pivotArea dataOnly="0" labelOnly="1" outline="0" fieldPosition="0">
        <references count="10">
          <reference field="0" count="1" selected="0">
            <x v="2"/>
          </reference>
          <reference field="1" count="1" selected="0">
            <x v="12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5"/>
          </reference>
          <reference field="23" count="1" selected="0">
            <x v="0"/>
          </reference>
          <reference field="24" count="1" selected="0">
            <x v="80"/>
          </reference>
        </references>
      </pivotArea>
    </format>
    <format dxfId="1537">
      <pivotArea dataOnly="0" labelOnly="1" outline="0" fieldPosition="0">
        <references count="10">
          <reference field="0" count="1" selected="0">
            <x v="3"/>
          </reference>
          <reference field="1" count="1" selected="0">
            <x v="130"/>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30"/>
          </reference>
          <reference field="24" count="1" selected="0">
            <x v="63"/>
          </reference>
        </references>
      </pivotArea>
    </format>
    <format dxfId="1536">
      <pivotArea dataOnly="0" labelOnly="1" outline="0" fieldPosition="0">
        <references count="10">
          <reference field="0" count="1" selected="0">
            <x v="2"/>
          </reference>
          <reference field="1" count="1" selected="0">
            <x v="13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9"/>
          </reference>
          <reference field="23" count="1" selected="0">
            <x v="0"/>
          </reference>
          <reference field="24" count="1" selected="0">
            <x v="80"/>
          </reference>
        </references>
      </pivotArea>
    </format>
    <format dxfId="1535">
      <pivotArea dataOnly="0" labelOnly="1" outline="0" fieldPosition="0">
        <references count="10">
          <reference field="0" count="1" selected="0">
            <x v="3"/>
          </reference>
          <reference field="1" count="1" selected="0">
            <x v="132"/>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5"/>
          </reference>
          <reference field="24" count="1" selected="0">
            <x v="54"/>
          </reference>
        </references>
      </pivotArea>
    </format>
    <format dxfId="1534">
      <pivotArea dataOnly="0" labelOnly="1" outline="0" fieldPosition="0">
        <references count="10">
          <reference field="0" count="1" selected="0">
            <x v="3"/>
          </reference>
          <reference field="1" count="1" selected="0">
            <x v="133"/>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113"/>
          </reference>
          <reference field="24" count="1" selected="0">
            <x v="16"/>
          </reference>
        </references>
      </pivotArea>
    </format>
    <format dxfId="1533">
      <pivotArea dataOnly="0" labelOnly="1" outline="0" fieldPosition="0">
        <references count="10">
          <reference field="0" count="1" selected="0">
            <x v="3"/>
          </reference>
          <reference field="1" count="1" selected="0">
            <x v="134"/>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102"/>
          </reference>
          <reference field="24" count="1" selected="0">
            <x v="20"/>
          </reference>
        </references>
      </pivotArea>
    </format>
    <format dxfId="1532">
      <pivotArea dataOnly="0" labelOnly="1" outline="0" fieldPosition="0">
        <references count="10">
          <reference field="0" count="1" selected="0">
            <x v="3"/>
          </reference>
          <reference field="1" count="1" selected="0">
            <x v="135"/>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97"/>
          </reference>
          <reference field="24" count="1" selected="0">
            <x v="75"/>
          </reference>
        </references>
      </pivotArea>
    </format>
    <format dxfId="1531">
      <pivotArea dataOnly="0" labelOnly="1" outline="0" fieldPosition="0">
        <references count="10">
          <reference field="0" count="1" selected="0">
            <x v="2"/>
          </reference>
          <reference field="1" count="1" selected="0">
            <x v="136"/>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
          </reference>
          <reference field="23" count="1" selected="0">
            <x v="0"/>
          </reference>
          <reference field="24" count="1" selected="0">
            <x v="80"/>
          </reference>
        </references>
      </pivotArea>
    </format>
    <format dxfId="1530">
      <pivotArea dataOnly="0" labelOnly="1" outline="0" fieldPosition="0">
        <references count="10">
          <reference field="0" count="1" selected="0">
            <x v="3"/>
          </reference>
          <reference field="1" count="1" selected="0">
            <x v="137"/>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89"/>
          </reference>
          <reference field="24" count="1" selected="0">
            <x v="20"/>
          </reference>
        </references>
      </pivotArea>
    </format>
    <format dxfId="1529">
      <pivotArea dataOnly="0" labelOnly="1" outline="0" fieldPosition="0">
        <references count="10">
          <reference field="0" count="1" selected="0">
            <x v="3"/>
          </reference>
          <reference field="1" count="1" selected="0">
            <x v="139"/>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88"/>
          </reference>
          <reference field="24" count="1" selected="0">
            <x v="72"/>
          </reference>
        </references>
      </pivotArea>
    </format>
    <format dxfId="1528">
      <pivotArea dataOnly="0" labelOnly="1" outline="0" fieldPosition="0">
        <references count="10">
          <reference field="0" count="1" selected="0">
            <x v="2"/>
          </reference>
          <reference field="1" count="1" selected="0">
            <x v="14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7"/>
          </reference>
          <reference field="23" count="1" selected="0">
            <x v="0"/>
          </reference>
          <reference field="24" count="1" selected="0">
            <x v="80"/>
          </reference>
        </references>
      </pivotArea>
    </format>
    <format dxfId="1527">
      <pivotArea dataOnly="0" labelOnly="1" outline="0" fieldPosition="0">
        <references count="10">
          <reference field="0" count="1" selected="0">
            <x v="3"/>
          </reference>
          <reference field="1" count="1" selected="0">
            <x v="141"/>
          </reference>
          <reference field="5" count="1" selected="0">
            <x v="2"/>
          </reference>
          <reference field="13" count="1" selected="0">
            <x v="134"/>
          </reference>
          <reference field="17" count="1">
            <x v="110"/>
          </reference>
          <reference field="20" count="1" selected="0">
            <x v="0"/>
          </reference>
          <reference field="21" count="1" selected="0">
            <x v="0"/>
          </reference>
          <reference field="22" count="1" selected="0">
            <x v="0"/>
          </reference>
          <reference field="23" count="1" selected="0">
            <x v="86"/>
          </reference>
          <reference field="24" count="1" selected="0">
            <x v="26"/>
          </reference>
        </references>
      </pivotArea>
    </format>
    <format dxfId="1526">
      <pivotArea dataOnly="0" labelOnly="1" outline="0" fieldPosition="0">
        <references count="10">
          <reference field="0" count="1" selected="0">
            <x v="3"/>
          </reference>
          <reference field="1" count="1" selected="0">
            <x v="14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14"/>
          </reference>
          <reference field="24" count="1" selected="0">
            <x v="84"/>
          </reference>
        </references>
      </pivotArea>
    </format>
    <format dxfId="1525">
      <pivotArea dataOnly="0" labelOnly="1" outline="0" fieldPosition="0">
        <references count="10">
          <reference field="0" count="1" selected="0">
            <x v="3"/>
          </reference>
          <reference field="1" count="1" selected="0">
            <x v="14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9"/>
          </reference>
          <reference field="24" count="1" selected="0">
            <x v="4"/>
          </reference>
        </references>
      </pivotArea>
    </format>
    <format dxfId="1524">
      <pivotArea dataOnly="0" labelOnly="1" outline="0" fieldPosition="0">
        <references count="10">
          <reference field="0" count="1" selected="0">
            <x v="3"/>
          </reference>
          <reference field="1" count="1" selected="0">
            <x v="144"/>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4"/>
          </reference>
          <reference field="24" count="1" selected="0">
            <x v="5"/>
          </reference>
        </references>
      </pivotArea>
    </format>
    <format dxfId="1523">
      <pivotArea dataOnly="0" labelOnly="1" outline="0" fieldPosition="0">
        <references count="10">
          <reference field="0" count="1" selected="0">
            <x v="0"/>
          </reference>
          <reference field="1" count="1" selected="0">
            <x v="146"/>
          </reference>
          <reference field="5" count="1" selected="0">
            <x v="2"/>
          </reference>
          <reference field="13" count="1" selected="0">
            <x v="0"/>
          </reference>
          <reference field="17" count="1">
            <x v="0"/>
          </reference>
          <reference field="20" count="1" selected="0">
            <x v="3"/>
          </reference>
          <reference field="21" count="1" selected="0">
            <x v="0"/>
          </reference>
          <reference field="22" count="1" selected="0">
            <x v="0"/>
          </reference>
          <reference field="23" count="1" selected="0">
            <x v="0"/>
          </reference>
          <reference field="24" count="1" selected="0">
            <x v="80"/>
          </reference>
        </references>
      </pivotArea>
    </format>
    <format dxfId="1522">
      <pivotArea dataOnly="0" labelOnly="1" outline="0" fieldPosition="0">
        <references count="10">
          <reference field="0" count="1" selected="0">
            <x v="1"/>
          </reference>
          <reference field="1" count="1" selected="0">
            <x v="147"/>
          </reference>
          <reference field="5" count="1" selected="0">
            <x v="2"/>
          </reference>
          <reference field="13" count="1" selected="0">
            <x v="0"/>
          </reference>
          <reference field="17" count="1">
            <x v="0"/>
          </reference>
          <reference field="20" count="1" selected="0">
            <x v="0"/>
          </reference>
          <reference field="21" count="1" selected="0">
            <x v="15"/>
          </reference>
          <reference field="22" count="1" selected="0">
            <x v="0"/>
          </reference>
          <reference field="23" count="1" selected="0">
            <x v="0"/>
          </reference>
          <reference field="24" count="1" selected="0">
            <x v="80"/>
          </reference>
        </references>
      </pivotArea>
    </format>
    <format dxfId="1521">
      <pivotArea dataOnly="0" labelOnly="1" outline="0" fieldPosition="0">
        <references count="10">
          <reference field="0" count="1" selected="0">
            <x v="2"/>
          </reference>
          <reference field="1" count="1" selected="0">
            <x v="14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4"/>
          </reference>
          <reference field="23" count="1" selected="0">
            <x v="0"/>
          </reference>
          <reference field="24" count="1" selected="0">
            <x v="2"/>
          </reference>
        </references>
      </pivotArea>
    </format>
    <format dxfId="1520">
      <pivotArea dataOnly="0" labelOnly="1" outline="0" fieldPosition="0">
        <references count="10">
          <reference field="0" count="1" selected="0">
            <x v="3"/>
          </reference>
          <reference field="1" count="1" selected="0">
            <x v="14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7"/>
          </reference>
          <reference field="24" count="1" selected="0">
            <x v="2"/>
          </reference>
        </references>
      </pivotArea>
    </format>
    <format dxfId="1519">
      <pivotArea dataOnly="0" labelOnly="1" outline="0" fieldPosition="0">
        <references count="10">
          <reference field="0" count="1" selected="0">
            <x v="3"/>
          </reference>
          <reference field="1" count="1" selected="0">
            <x v="15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57"/>
          </reference>
          <reference field="24" count="1" selected="0">
            <x v="2"/>
          </reference>
        </references>
      </pivotArea>
    </format>
    <format dxfId="1518">
      <pivotArea dataOnly="0" labelOnly="1" outline="0" fieldPosition="0">
        <references count="10">
          <reference field="0" count="1" selected="0">
            <x v="3"/>
          </reference>
          <reference field="1" count="1" selected="0">
            <x v="15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8"/>
          </reference>
          <reference field="24" count="1" selected="0">
            <x v="2"/>
          </reference>
        </references>
      </pivotArea>
    </format>
    <format dxfId="1517">
      <pivotArea dataOnly="0" labelOnly="1" outline="0" fieldPosition="0">
        <references count="10">
          <reference field="0" count="1" selected="0">
            <x v="2"/>
          </reference>
          <reference field="1" count="1" selected="0">
            <x v="15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4"/>
          </reference>
          <reference field="23" count="1" selected="0">
            <x v="0"/>
          </reference>
          <reference field="24" count="1" selected="0">
            <x v="80"/>
          </reference>
        </references>
      </pivotArea>
    </format>
    <format dxfId="1516">
      <pivotArea dataOnly="0" labelOnly="1" outline="0" fieldPosition="0">
        <references count="10">
          <reference field="0" count="1" selected="0">
            <x v="3"/>
          </reference>
          <reference field="1" count="1" selected="0">
            <x v="153"/>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17"/>
          </reference>
          <reference field="24" count="1" selected="0">
            <x v="17"/>
          </reference>
        </references>
      </pivotArea>
    </format>
    <format dxfId="1515">
      <pivotArea dataOnly="0" labelOnly="1" outline="0" fieldPosition="0">
        <references count="10">
          <reference field="0" count="1" selected="0">
            <x v="6"/>
          </reference>
          <reference field="1" count="1" selected="0">
            <x v="154"/>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0"/>
          </reference>
          <reference field="24" count="1" selected="0">
            <x v="24"/>
          </reference>
        </references>
      </pivotArea>
    </format>
    <format dxfId="1514">
      <pivotArea dataOnly="0" labelOnly="1" outline="0" fieldPosition="0">
        <references count="10">
          <reference field="0" count="1" selected="0">
            <x v="3"/>
          </reference>
          <reference field="1" count="1" selected="0">
            <x v="155"/>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70"/>
          </reference>
          <reference field="24" count="1" selected="0">
            <x v="50"/>
          </reference>
        </references>
      </pivotArea>
    </format>
    <format dxfId="1513">
      <pivotArea dataOnly="0" labelOnly="1" outline="0" fieldPosition="0">
        <references count="10">
          <reference field="0" count="1" selected="0">
            <x v="3"/>
          </reference>
          <reference field="1" count="1" selected="0">
            <x v="156"/>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3"/>
          </reference>
          <reference field="24" count="1" selected="0">
            <x v="25"/>
          </reference>
        </references>
      </pivotArea>
    </format>
    <format dxfId="1512">
      <pivotArea dataOnly="0" labelOnly="1" outline="0" fieldPosition="0">
        <references count="10">
          <reference field="0" count="1" selected="0">
            <x v="7"/>
          </reference>
          <reference field="1" count="1" selected="0">
            <x v="157"/>
          </reference>
          <reference field="5" count="1" selected="0">
            <x v="2"/>
          </reference>
          <reference field="13" count="1" selected="0">
            <x v="92"/>
          </reference>
          <reference field="17" count="1">
            <x v="69"/>
          </reference>
          <reference field="20" count="1" selected="0">
            <x v="0"/>
          </reference>
          <reference field="21" count="1" selected="0">
            <x v="0"/>
          </reference>
          <reference field="22" count="1" selected="0">
            <x v="0"/>
          </reference>
          <reference field="23" count="1" selected="0">
            <x v="0"/>
          </reference>
          <reference field="24" count="1" selected="0">
            <x v="11"/>
          </reference>
        </references>
      </pivotArea>
    </format>
    <format dxfId="1511">
      <pivotArea dataOnly="0" labelOnly="1" outline="0" fieldPosition="0">
        <references count="10">
          <reference field="0" count="1" selected="0">
            <x v="3"/>
          </reference>
          <reference field="1" count="1" selected="0">
            <x v="158"/>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85"/>
          </reference>
          <reference field="24" count="1" selected="0">
            <x v="64"/>
          </reference>
        </references>
      </pivotArea>
    </format>
    <format dxfId="1510">
      <pivotArea dataOnly="0" labelOnly="1" outline="0" fieldPosition="0">
        <references count="10">
          <reference field="0" count="1" selected="0">
            <x v="1"/>
          </reference>
          <reference field="1" count="1" selected="0">
            <x v="159"/>
          </reference>
          <reference field="5" count="1" selected="0">
            <x v="2"/>
          </reference>
          <reference field="13" count="1" selected="0">
            <x v="0"/>
          </reference>
          <reference field="17" count="1">
            <x v="0"/>
          </reference>
          <reference field="20" count="1" selected="0">
            <x v="0"/>
          </reference>
          <reference field="21" count="1" selected="0">
            <x v="7"/>
          </reference>
          <reference field="22" count="1" selected="0">
            <x v="0"/>
          </reference>
          <reference field="23" count="1" selected="0">
            <x v="0"/>
          </reference>
          <reference field="24" count="1" selected="0">
            <x v="80"/>
          </reference>
        </references>
      </pivotArea>
    </format>
    <format dxfId="1509">
      <pivotArea dataOnly="0" labelOnly="1" outline="0" fieldPosition="0">
        <references count="10">
          <reference field="0" count="1" selected="0">
            <x v="2"/>
          </reference>
          <reference field="1" count="1" selected="0">
            <x v="16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6"/>
          </reference>
          <reference field="23" count="1" selected="0">
            <x v="0"/>
          </reference>
          <reference field="24" count="1" selected="0">
            <x v="6"/>
          </reference>
        </references>
      </pivotArea>
    </format>
    <format dxfId="1508">
      <pivotArea dataOnly="0" labelOnly="1" outline="0" fieldPosition="0">
        <references count="10">
          <reference field="0" count="1" selected="0">
            <x v="3"/>
          </reference>
          <reference field="1" count="1" selected="0">
            <x v="16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1"/>
          </reference>
          <reference field="24" count="1" selected="0">
            <x v="6"/>
          </reference>
        </references>
      </pivotArea>
    </format>
    <format dxfId="1507">
      <pivotArea dataOnly="0" labelOnly="1" outline="0" fieldPosition="0">
        <references count="10">
          <reference field="0" count="1" selected="0">
            <x v="3"/>
          </reference>
          <reference field="1" count="1" selected="0">
            <x v="16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4"/>
          </reference>
          <reference field="24" count="1" selected="0">
            <x v="6"/>
          </reference>
        </references>
      </pivotArea>
    </format>
    <format dxfId="1506">
      <pivotArea dataOnly="0" labelOnly="1" outline="0" fieldPosition="0">
        <references count="10">
          <reference field="0" count="1" selected="0">
            <x v="3"/>
          </reference>
          <reference field="1" count="1" selected="0">
            <x v="16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6"/>
          </reference>
          <reference field="24" count="1" selected="0">
            <x v="6"/>
          </reference>
        </references>
      </pivotArea>
    </format>
    <format dxfId="1505">
      <pivotArea dataOnly="0" labelOnly="1" outline="0" fieldPosition="0">
        <references count="10">
          <reference field="0" count="1" selected="0">
            <x v="2"/>
          </reference>
          <reference field="1" count="1" selected="0">
            <x v="164"/>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3"/>
          </reference>
          <reference field="23" count="1" selected="0">
            <x v="0"/>
          </reference>
          <reference field="24" count="1" selected="0">
            <x v="80"/>
          </reference>
        </references>
      </pivotArea>
    </format>
    <format dxfId="1504">
      <pivotArea dataOnly="0" labelOnly="1" outline="0" fieldPosition="0">
        <references count="10">
          <reference field="0" count="1" selected="0">
            <x v="3"/>
          </reference>
          <reference field="1" count="1" selected="0">
            <x v="165"/>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90"/>
          </reference>
          <reference field="24" count="1" selected="0">
            <x v="38"/>
          </reference>
        </references>
      </pivotArea>
    </format>
    <format dxfId="1503">
      <pivotArea dataOnly="0" labelOnly="1" outline="0" fieldPosition="0">
        <references count="10">
          <reference field="0" count="1" selected="0">
            <x v="5"/>
          </reference>
          <reference field="1" count="1" selected="0">
            <x v="166"/>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0"/>
          </reference>
          <reference field="24" count="1" selected="0">
            <x v="10"/>
          </reference>
        </references>
      </pivotArea>
    </format>
    <format dxfId="1502">
      <pivotArea dataOnly="0" labelOnly="1" outline="0" fieldPosition="0">
        <references count="10">
          <reference field="0" count="1" selected="0">
            <x v="3"/>
          </reference>
          <reference field="1" count="1" selected="0">
            <x v="16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1"/>
          </reference>
          <reference field="24" count="1" selected="0">
            <x v="80"/>
          </reference>
        </references>
      </pivotArea>
    </format>
    <format dxfId="1501">
      <pivotArea dataOnly="0" labelOnly="1" outline="0" fieldPosition="0">
        <references count="10">
          <reference field="0" count="1" selected="0">
            <x v="0"/>
          </reference>
          <reference field="1" count="1" selected="0">
            <x v="168"/>
          </reference>
          <reference field="5" count="1" selected="0">
            <x v="2"/>
          </reference>
          <reference field="13" count="1" selected="0">
            <x v="0"/>
          </reference>
          <reference field="17" count="1">
            <x v="0"/>
          </reference>
          <reference field="20" count="1" selected="0">
            <x v="7"/>
          </reference>
          <reference field="21" count="1" selected="0">
            <x v="0"/>
          </reference>
          <reference field="22" count="1" selected="0">
            <x v="0"/>
          </reference>
          <reference field="23" count="1" selected="0">
            <x v="0"/>
          </reference>
          <reference field="24" count="1" selected="0">
            <x v="80"/>
          </reference>
        </references>
      </pivotArea>
    </format>
    <format dxfId="1500">
      <pivotArea dataOnly="0" labelOnly="1" outline="0" fieldPosition="0">
        <references count="10">
          <reference field="0" count="1" selected="0">
            <x v="1"/>
          </reference>
          <reference field="1" count="1" selected="0">
            <x v="169"/>
          </reference>
          <reference field="5" count="1" selected="0">
            <x v="2"/>
          </reference>
          <reference field="13" count="1" selected="0">
            <x v="0"/>
          </reference>
          <reference field="17" count="1">
            <x v="0"/>
          </reference>
          <reference field="20" count="1" selected="0">
            <x v="0"/>
          </reference>
          <reference field="21" count="1" selected="0">
            <x v="14"/>
          </reference>
          <reference field="22" count="1" selected="0">
            <x v="0"/>
          </reference>
          <reference field="23" count="1" selected="0">
            <x v="0"/>
          </reference>
          <reference field="24" count="1" selected="0">
            <x v="80"/>
          </reference>
        </references>
      </pivotArea>
    </format>
    <format dxfId="1499">
      <pivotArea dataOnly="0" labelOnly="1" outline="0" fieldPosition="0">
        <references count="10">
          <reference field="0" count="1" selected="0">
            <x v="2"/>
          </reference>
          <reference field="1" count="1" selected="0">
            <x v="17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2"/>
          </reference>
          <reference field="23" count="1" selected="0">
            <x v="0"/>
          </reference>
          <reference field="24" count="1" selected="0">
            <x v="80"/>
          </reference>
        </references>
      </pivotArea>
    </format>
    <format dxfId="1498">
      <pivotArea dataOnly="0" labelOnly="1" outline="0" fieldPosition="0">
        <references count="10">
          <reference field="0" count="1" selected="0">
            <x v="3"/>
          </reference>
          <reference field="1" count="1" selected="0">
            <x v="171"/>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84"/>
          </reference>
          <reference field="24" count="1" selected="0">
            <x v="62"/>
          </reference>
        </references>
      </pivotArea>
    </format>
    <format dxfId="1497">
      <pivotArea dataOnly="0" labelOnly="1" outline="0" fieldPosition="0">
        <references count="10">
          <reference field="0" count="1" selected="0">
            <x v="3"/>
          </reference>
          <reference field="1" count="1" selected="0">
            <x v="172"/>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105"/>
          </reference>
          <reference field="24" count="1" selected="0">
            <x v="79"/>
          </reference>
        </references>
      </pivotArea>
    </format>
    <format dxfId="1496">
      <pivotArea dataOnly="0" labelOnly="1" outline="0" fieldPosition="0">
        <references count="10">
          <reference field="0" count="1" selected="0">
            <x v="3"/>
          </reference>
          <reference field="1" count="1" selected="0">
            <x v="173"/>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5"/>
          </reference>
          <reference field="24" count="1" selected="0">
            <x v="34"/>
          </reference>
        </references>
      </pivotArea>
    </format>
    <format dxfId="1495">
      <pivotArea dataOnly="0" labelOnly="1" outline="0" fieldPosition="0">
        <references count="10">
          <reference field="0" count="1" selected="0">
            <x v="0"/>
          </reference>
          <reference field="1" count="1" selected="0">
            <x v="209"/>
          </reference>
          <reference field="5" count="1" selected="0">
            <x v="2"/>
          </reference>
          <reference field="13" count="1" selected="0">
            <x v="0"/>
          </reference>
          <reference field="17" count="1">
            <x v="0"/>
          </reference>
          <reference field="20" count="1" selected="0">
            <x v="5"/>
          </reference>
          <reference field="21" count="1" selected="0">
            <x v="0"/>
          </reference>
          <reference field="22" count="1" selected="0">
            <x v="0"/>
          </reference>
          <reference field="23" count="1" selected="0">
            <x v="0"/>
          </reference>
          <reference field="24" count="1" selected="0">
            <x v="80"/>
          </reference>
        </references>
      </pivotArea>
    </format>
    <format dxfId="1494">
      <pivotArea dataOnly="0" labelOnly="1" outline="0" fieldPosition="0">
        <references count="10">
          <reference field="0" count="1" selected="0">
            <x v="1"/>
          </reference>
          <reference field="1" count="1" selected="0">
            <x v="210"/>
          </reference>
          <reference field="5" count="1" selected="0">
            <x v="2"/>
          </reference>
          <reference field="13" count="1" selected="0">
            <x v="0"/>
          </reference>
          <reference field="17" count="1">
            <x v="0"/>
          </reference>
          <reference field="20" count="1" selected="0">
            <x v="0"/>
          </reference>
          <reference field="21" count="1" selected="0">
            <x v="5"/>
          </reference>
          <reference field="22" count="1" selected="0">
            <x v="0"/>
          </reference>
          <reference field="23" count="1" selected="0">
            <x v="0"/>
          </reference>
          <reference field="24" count="1" selected="0">
            <x v="80"/>
          </reference>
        </references>
      </pivotArea>
    </format>
    <format dxfId="1493">
      <pivotArea dataOnly="0" labelOnly="1" outline="0" fieldPosition="0">
        <references count="10">
          <reference field="0" count="1" selected="0">
            <x v="3"/>
          </reference>
          <reference field="1" count="1" selected="0">
            <x v="211"/>
          </reference>
          <reference field="5" count="1" selected="0">
            <x v="2"/>
          </reference>
          <reference field="13" count="1" selected="0">
            <x v="135"/>
          </reference>
          <reference field="17" count="1">
            <x v="0"/>
          </reference>
          <reference field="20" count="1" selected="0">
            <x v="0"/>
          </reference>
          <reference field="21" count="1" selected="0">
            <x v="0"/>
          </reference>
          <reference field="22" count="1" selected="0">
            <x v="0"/>
          </reference>
          <reference field="23" count="1" selected="0">
            <x v="36"/>
          </reference>
          <reference field="24" count="1" selected="0">
            <x v="27"/>
          </reference>
        </references>
      </pivotArea>
    </format>
    <format dxfId="1492">
      <pivotArea dataOnly="0" labelOnly="1" outline="0" fieldPosition="0">
        <references count="10">
          <reference field="0" count="1" selected="0">
            <x v="0"/>
          </reference>
          <reference field="1" count="1" selected="0">
            <x v="212"/>
          </reference>
          <reference field="5" count="1" selected="0">
            <x v="2"/>
          </reference>
          <reference field="13" count="1" selected="0">
            <x v="0"/>
          </reference>
          <reference field="17" count="1">
            <x v="0"/>
          </reference>
          <reference field="20" count="1" selected="0">
            <x v="8"/>
          </reference>
          <reference field="21" count="1" selected="0">
            <x v="0"/>
          </reference>
          <reference field="22" count="1" selected="0">
            <x v="0"/>
          </reference>
          <reference field="23" count="1" selected="0">
            <x v="0"/>
          </reference>
          <reference field="24" count="1" selected="0">
            <x v="80"/>
          </reference>
        </references>
      </pivotArea>
    </format>
    <format dxfId="1491">
      <pivotArea dataOnly="0" labelOnly="1" outline="0" fieldPosition="0">
        <references count="10">
          <reference field="0" count="1" selected="0">
            <x v="3"/>
          </reference>
          <reference field="1" count="1" selected="0">
            <x v="213"/>
          </reference>
          <reference field="5" count="1" selected="0">
            <x v="2"/>
          </reference>
          <reference field="13" count="1" selected="0">
            <x v="136"/>
          </reference>
          <reference field="17" count="1">
            <x v="0"/>
          </reference>
          <reference field="20" count="1" selected="0">
            <x v="0"/>
          </reference>
          <reference field="21" count="1" selected="0">
            <x v="0"/>
          </reference>
          <reference field="22" count="1" selected="0">
            <x v="0"/>
          </reference>
          <reference field="23" count="1" selected="0">
            <x v="99"/>
          </reference>
          <reference field="24" count="1" selected="0">
            <x v="22"/>
          </reference>
        </references>
      </pivotArea>
    </format>
    <format dxfId="1490">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89">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88">
      <pivotArea dataOnly="0" labelOnly="1" outline="0"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9"/>
            <x v="140"/>
            <x v="141"/>
            <x v="142"/>
            <x v="143"/>
            <x v="144"/>
            <x v="146"/>
            <x v="147"/>
            <x v="148"/>
            <x v="149"/>
            <x v="150"/>
            <x v="151"/>
          </reference>
        </references>
      </pivotArea>
    </format>
    <format dxfId="1487">
      <pivotArea dataOnly="0" labelOnly="1" outline="0" fieldPosition="0">
        <references count="1">
          <reference field="1" count="27">
            <x v="152"/>
            <x v="153"/>
            <x v="154"/>
            <x v="155"/>
            <x v="156"/>
            <x v="157"/>
            <x v="158"/>
            <x v="159"/>
            <x v="160"/>
            <x v="161"/>
            <x v="162"/>
            <x v="163"/>
            <x v="164"/>
            <x v="165"/>
            <x v="166"/>
            <x v="167"/>
            <x v="168"/>
            <x v="169"/>
            <x v="170"/>
            <x v="171"/>
            <x v="172"/>
            <x v="173"/>
            <x v="209"/>
            <x v="210"/>
            <x v="211"/>
            <x v="212"/>
            <x v="213"/>
          </reference>
        </references>
      </pivotArea>
    </format>
    <format dxfId="1486">
      <pivotArea dataOnly="0" labelOnly="1" outline="0" fieldPosition="0">
        <references count="2">
          <reference field="0" count="1">
            <x v="0"/>
          </reference>
          <reference field="1" count="1" selected="0">
            <x v="0"/>
          </reference>
        </references>
      </pivotArea>
    </format>
    <format dxfId="1485">
      <pivotArea dataOnly="0" labelOnly="1" outline="0" fieldPosition="0">
        <references count="2">
          <reference field="0" count="1">
            <x v="1"/>
          </reference>
          <reference field="1" count="1" selected="0">
            <x v="1"/>
          </reference>
        </references>
      </pivotArea>
    </format>
    <format dxfId="1484">
      <pivotArea dataOnly="0" labelOnly="1" outline="0" fieldPosition="0">
        <references count="2">
          <reference field="0" count="1">
            <x v="0"/>
          </reference>
          <reference field="1" count="1" selected="0">
            <x v="3"/>
          </reference>
        </references>
      </pivotArea>
    </format>
    <format dxfId="1483">
      <pivotArea dataOnly="0" labelOnly="1" outline="0" fieldPosition="0">
        <references count="2">
          <reference field="0" count="1">
            <x v="1"/>
          </reference>
          <reference field="1" count="1" selected="0">
            <x v="4"/>
          </reference>
        </references>
      </pivotArea>
    </format>
    <format dxfId="1482">
      <pivotArea dataOnly="0" labelOnly="1" outline="0" fieldPosition="0">
        <references count="2">
          <reference field="0" count="1">
            <x v="2"/>
          </reference>
          <reference field="1" count="1" selected="0">
            <x v="5"/>
          </reference>
        </references>
      </pivotArea>
    </format>
    <format dxfId="1481">
      <pivotArea dataOnly="0" labelOnly="1" outline="0" fieldPosition="0">
        <references count="2">
          <reference field="0" count="1">
            <x v="3"/>
          </reference>
          <reference field="1" count="1" selected="0">
            <x v="6"/>
          </reference>
        </references>
      </pivotArea>
    </format>
    <format dxfId="1480">
      <pivotArea dataOnly="0" labelOnly="1" outline="0" fieldPosition="0">
        <references count="2">
          <reference field="0" count="1">
            <x v="1"/>
          </reference>
          <reference field="1" count="1" selected="0">
            <x v="9"/>
          </reference>
        </references>
      </pivotArea>
    </format>
    <format dxfId="1479">
      <pivotArea dataOnly="0" labelOnly="1" outline="0" fieldPosition="0">
        <references count="2">
          <reference field="0" count="1">
            <x v="2"/>
          </reference>
          <reference field="1" count="1" selected="0">
            <x v="10"/>
          </reference>
        </references>
      </pivotArea>
    </format>
    <format dxfId="1478">
      <pivotArea dataOnly="0" labelOnly="1" outline="0" fieldPosition="0">
        <references count="2">
          <reference field="0" count="1">
            <x v="3"/>
          </reference>
          <reference field="1" count="1" selected="0">
            <x v="11"/>
          </reference>
        </references>
      </pivotArea>
    </format>
    <format dxfId="1477">
      <pivotArea dataOnly="0" labelOnly="1" outline="0" fieldPosition="0">
        <references count="2">
          <reference field="0" count="1">
            <x v="1"/>
          </reference>
          <reference field="1" count="1" selected="0">
            <x v="14"/>
          </reference>
        </references>
      </pivotArea>
    </format>
    <format dxfId="1476">
      <pivotArea dataOnly="0" labelOnly="1" outline="0" fieldPosition="0">
        <references count="2">
          <reference field="0" count="1">
            <x v="2"/>
          </reference>
          <reference field="1" count="1" selected="0">
            <x v="15"/>
          </reference>
        </references>
      </pivotArea>
    </format>
    <format dxfId="1475">
      <pivotArea dataOnly="0" labelOnly="1" outline="0" fieldPosition="0">
        <references count="2">
          <reference field="0" count="1">
            <x v="3"/>
          </reference>
          <reference field="1" count="1" selected="0">
            <x v="16"/>
          </reference>
        </references>
      </pivotArea>
    </format>
    <format dxfId="1474">
      <pivotArea dataOnly="0" labelOnly="1" outline="0" fieldPosition="0">
        <references count="2">
          <reference field="0" count="1">
            <x v="2"/>
          </reference>
          <reference field="1" count="1" selected="0">
            <x v="19"/>
          </reference>
        </references>
      </pivotArea>
    </format>
    <format dxfId="1473">
      <pivotArea dataOnly="0" labelOnly="1" outline="0" fieldPosition="0">
        <references count="2">
          <reference field="0" count="1">
            <x v="3"/>
          </reference>
          <reference field="1" count="1" selected="0">
            <x v="20"/>
          </reference>
        </references>
      </pivotArea>
    </format>
    <format dxfId="1472">
      <pivotArea dataOnly="0" labelOnly="1" outline="0" fieldPosition="0">
        <references count="2">
          <reference field="0" count="1">
            <x v="2"/>
          </reference>
          <reference field="1" count="1" selected="0">
            <x v="21"/>
          </reference>
        </references>
      </pivotArea>
    </format>
    <format dxfId="1471">
      <pivotArea dataOnly="0" labelOnly="1" outline="0" fieldPosition="0">
        <references count="2">
          <reference field="0" count="1">
            <x v="3"/>
          </reference>
          <reference field="1" count="1" selected="0">
            <x v="22"/>
          </reference>
        </references>
      </pivotArea>
    </format>
    <format dxfId="1470">
      <pivotArea dataOnly="0" labelOnly="1" outline="0" fieldPosition="0">
        <references count="2">
          <reference field="0" count="1">
            <x v="1"/>
          </reference>
          <reference field="1" count="1" selected="0">
            <x v="24"/>
          </reference>
        </references>
      </pivotArea>
    </format>
    <format dxfId="1469">
      <pivotArea dataOnly="0" labelOnly="1" outline="0" fieldPosition="0">
        <references count="2">
          <reference field="0" count="1">
            <x v="2"/>
          </reference>
          <reference field="1" count="1" selected="0">
            <x v="25"/>
          </reference>
        </references>
      </pivotArea>
    </format>
    <format dxfId="1468">
      <pivotArea dataOnly="0" labelOnly="1" outline="0" fieldPosition="0">
        <references count="2">
          <reference field="0" count="1">
            <x v="3"/>
          </reference>
          <reference field="1" count="1" selected="0">
            <x v="26"/>
          </reference>
        </references>
      </pivotArea>
    </format>
    <format dxfId="1467">
      <pivotArea dataOnly="0" labelOnly="1" outline="0" fieldPosition="0">
        <references count="2">
          <reference field="0" count="1">
            <x v="1"/>
          </reference>
          <reference field="1" count="1" selected="0">
            <x v="29"/>
          </reference>
        </references>
      </pivotArea>
    </format>
    <format dxfId="1466">
      <pivotArea dataOnly="0" labelOnly="1" outline="0" fieldPosition="0">
        <references count="2">
          <reference field="0" count="1">
            <x v="2"/>
          </reference>
          <reference field="1" count="1" selected="0">
            <x v="30"/>
          </reference>
        </references>
      </pivotArea>
    </format>
    <format dxfId="1465">
      <pivotArea dataOnly="0" labelOnly="1" outline="0" fieldPosition="0">
        <references count="2">
          <reference field="0" count="1">
            <x v="3"/>
          </reference>
          <reference field="1" count="1" selected="0">
            <x v="31"/>
          </reference>
        </references>
      </pivotArea>
    </format>
    <format dxfId="1464">
      <pivotArea dataOnly="0" labelOnly="1" outline="0" fieldPosition="0">
        <references count="2">
          <reference field="0" count="1">
            <x v="1"/>
          </reference>
          <reference field="1" count="1" selected="0">
            <x v="41"/>
          </reference>
        </references>
      </pivotArea>
    </format>
    <format dxfId="1463">
      <pivotArea dataOnly="0" labelOnly="1" outline="0" fieldPosition="0">
        <references count="2">
          <reference field="0" count="1">
            <x v="3"/>
          </reference>
          <reference field="1" count="1" selected="0">
            <x v="42"/>
          </reference>
        </references>
      </pivotArea>
    </format>
    <format dxfId="1462">
      <pivotArea dataOnly="0" labelOnly="1" outline="0" fieldPosition="0">
        <references count="2">
          <reference field="0" count="1">
            <x v="1"/>
          </reference>
          <reference field="1" count="1" selected="0">
            <x v="43"/>
          </reference>
        </references>
      </pivotArea>
    </format>
    <format dxfId="1461">
      <pivotArea dataOnly="0" labelOnly="1" outline="0" fieldPosition="0">
        <references count="2">
          <reference field="0" count="1">
            <x v="3"/>
          </reference>
          <reference field="1" count="1" selected="0">
            <x v="44"/>
          </reference>
        </references>
      </pivotArea>
    </format>
    <format dxfId="1460">
      <pivotArea dataOnly="0" labelOnly="1" outline="0" fieldPosition="0">
        <references count="2">
          <reference field="0" count="1">
            <x v="0"/>
          </reference>
          <reference field="1" count="1" selected="0">
            <x v="48"/>
          </reference>
        </references>
      </pivotArea>
    </format>
    <format dxfId="1459">
      <pivotArea dataOnly="0" labelOnly="1" outline="0" fieldPosition="0">
        <references count="2">
          <reference field="0" count="1">
            <x v="1"/>
          </reference>
          <reference field="1" count="1" selected="0">
            <x v="49"/>
          </reference>
        </references>
      </pivotArea>
    </format>
    <format dxfId="1458">
      <pivotArea dataOnly="0" labelOnly="1" outline="0" fieldPosition="0">
        <references count="2">
          <reference field="0" count="1">
            <x v="2"/>
          </reference>
          <reference field="1" count="1" selected="0">
            <x v="50"/>
          </reference>
        </references>
      </pivotArea>
    </format>
    <format dxfId="1457">
      <pivotArea dataOnly="0" labelOnly="1" outline="0" fieldPosition="0">
        <references count="2">
          <reference field="0" count="1">
            <x v="3"/>
          </reference>
          <reference field="1" count="1" selected="0">
            <x v="51"/>
          </reference>
        </references>
      </pivotArea>
    </format>
    <format dxfId="1456">
      <pivotArea dataOnly="0" labelOnly="1" outline="0" fieldPosition="0">
        <references count="2">
          <reference field="0" count="1">
            <x v="1"/>
          </reference>
          <reference field="1" count="1" selected="0">
            <x v="52"/>
          </reference>
        </references>
      </pivotArea>
    </format>
    <format dxfId="1455">
      <pivotArea dataOnly="0" labelOnly="1" outline="0" fieldPosition="0">
        <references count="2">
          <reference field="0" count="1">
            <x v="2"/>
          </reference>
          <reference field="1" count="1" selected="0">
            <x v="53"/>
          </reference>
        </references>
      </pivotArea>
    </format>
    <format dxfId="1454">
      <pivotArea dataOnly="0" labelOnly="1" outline="0" fieldPosition="0">
        <references count="2">
          <reference field="0" count="1">
            <x v="3"/>
          </reference>
          <reference field="1" count="1" selected="0">
            <x v="54"/>
          </reference>
        </references>
      </pivotArea>
    </format>
    <format dxfId="1453">
      <pivotArea dataOnly="0" labelOnly="1" outline="0" fieldPosition="0">
        <references count="2">
          <reference field="0" count="1">
            <x v="1"/>
          </reference>
          <reference field="1" count="1" selected="0">
            <x v="57"/>
          </reference>
        </references>
      </pivotArea>
    </format>
    <format dxfId="1452">
      <pivotArea dataOnly="0" labelOnly="1" outline="0" fieldPosition="0">
        <references count="2">
          <reference field="0" count="1">
            <x v="2"/>
          </reference>
          <reference field="1" count="1" selected="0">
            <x v="58"/>
          </reference>
        </references>
      </pivotArea>
    </format>
    <format dxfId="1451">
      <pivotArea dataOnly="0" labelOnly="1" outline="0" fieldPosition="0">
        <references count="2">
          <reference field="0" count="1">
            <x v="3"/>
          </reference>
          <reference field="1" count="1" selected="0">
            <x v="59"/>
          </reference>
        </references>
      </pivotArea>
    </format>
    <format dxfId="1450">
      <pivotArea dataOnly="0" labelOnly="1" outline="0" fieldPosition="0">
        <references count="2">
          <reference field="0" count="1">
            <x v="2"/>
          </reference>
          <reference field="1" count="1" selected="0">
            <x v="61"/>
          </reference>
        </references>
      </pivotArea>
    </format>
    <format dxfId="1449">
      <pivotArea dataOnly="0" labelOnly="1" outline="0" fieldPosition="0">
        <references count="2">
          <reference field="0" count="1">
            <x v="3"/>
          </reference>
          <reference field="1" count="1" selected="0">
            <x v="62"/>
          </reference>
        </references>
      </pivotArea>
    </format>
    <format dxfId="1448">
      <pivotArea dataOnly="0" labelOnly="1" outline="0" fieldPosition="0">
        <references count="2">
          <reference field="0" count="1">
            <x v="2"/>
          </reference>
          <reference field="1" count="1" selected="0">
            <x v="68"/>
          </reference>
        </references>
      </pivotArea>
    </format>
    <format dxfId="1447">
      <pivotArea dataOnly="0" labelOnly="1" outline="0" fieldPosition="0">
        <references count="2">
          <reference field="0" count="1">
            <x v="3"/>
          </reference>
          <reference field="1" count="1" selected="0">
            <x v="70"/>
          </reference>
        </references>
      </pivotArea>
    </format>
    <format dxfId="1446">
      <pivotArea dataOnly="0" labelOnly="1" outline="0" fieldPosition="0">
        <references count="2">
          <reference field="0" count="1">
            <x v="1"/>
          </reference>
          <reference field="1" count="1" selected="0">
            <x v="78"/>
          </reference>
        </references>
      </pivotArea>
    </format>
    <format dxfId="1445">
      <pivotArea dataOnly="0" labelOnly="1" outline="0" fieldPosition="0">
        <references count="2">
          <reference field="0" count="1">
            <x v="2"/>
          </reference>
          <reference field="1" count="1" selected="0">
            <x v="79"/>
          </reference>
        </references>
      </pivotArea>
    </format>
    <format dxfId="1444">
      <pivotArea dataOnly="0" labelOnly="1" outline="0" fieldPosition="0">
        <references count="2">
          <reference field="0" count="1">
            <x v="3"/>
          </reference>
          <reference field="1" count="1" selected="0">
            <x v="80"/>
          </reference>
        </references>
      </pivotArea>
    </format>
    <format dxfId="1443">
      <pivotArea dataOnly="0" labelOnly="1" outline="0" fieldPosition="0">
        <references count="2">
          <reference field="0" count="1">
            <x v="2"/>
          </reference>
          <reference field="1" count="1" selected="0">
            <x v="90"/>
          </reference>
        </references>
      </pivotArea>
    </format>
    <format dxfId="1442">
      <pivotArea dataOnly="0" labelOnly="1" outline="0" fieldPosition="0">
        <references count="2">
          <reference field="0" count="1">
            <x v="3"/>
          </reference>
          <reference field="1" count="1" selected="0">
            <x v="91"/>
          </reference>
        </references>
      </pivotArea>
    </format>
    <format dxfId="1441">
      <pivotArea dataOnly="0" labelOnly="1" outline="0" fieldPosition="0">
        <references count="2">
          <reference field="0" count="1">
            <x v="2"/>
          </reference>
          <reference field="1" count="1" selected="0">
            <x v="101"/>
          </reference>
        </references>
      </pivotArea>
    </format>
    <format dxfId="1440">
      <pivotArea dataOnly="0" labelOnly="1" outline="0" fieldPosition="0">
        <references count="2">
          <reference field="0" count="1">
            <x v="3"/>
          </reference>
          <reference field="1" count="1" selected="0">
            <x v="102"/>
          </reference>
        </references>
      </pivotArea>
    </format>
    <format dxfId="1439">
      <pivotArea dataOnly="0" labelOnly="1" outline="0" fieldPosition="0">
        <references count="2">
          <reference field="0" count="1">
            <x v="2"/>
          </reference>
          <reference field="1" count="1" selected="0">
            <x v="111"/>
          </reference>
        </references>
      </pivotArea>
    </format>
    <format dxfId="1438">
      <pivotArea dataOnly="0" labelOnly="1" outline="0" fieldPosition="0">
        <references count="2">
          <reference field="0" count="1">
            <x v="3"/>
          </reference>
          <reference field="1" count="1" selected="0">
            <x v="112"/>
          </reference>
        </references>
      </pivotArea>
    </format>
    <format dxfId="1437">
      <pivotArea dataOnly="0" labelOnly="1" outline="0" fieldPosition="0">
        <references count="2">
          <reference field="0" count="1">
            <x v="2"/>
          </reference>
          <reference field="1" count="1" selected="0">
            <x v="117"/>
          </reference>
        </references>
      </pivotArea>
    </format>
    <format dxfId="1436">
      <pivotArea dataOnly="0" labelOnly="1" outline="0" fieldPosition="0">
        <references count="2">
          <reference field="0" count="1">
            <x v="3"/>
          </reference>
          <reference field="1" count="1" selected="0">
            <x v="118"/>
          </reference>
        </references>
      </pivotArea>
    </format>
    <format dxfId="1435">
      <pivotArea dataOnly="0" labelOnly="1" outline="0" fieldPosition="0">
        <references count="2">
          <reference field="0" count="1">
            <x v="0"/>
          </reference>
          <reference field="1" count="1" selected="0">
            <x v="121"/>
          </reference>
        </references>
      </pivotArea>
    </format>
    <format dxfId="1434">
      <pivotArea dataOnly="0" labelOnly="1" outline="0" fieldPosition="0">
        <references count="2">
          <reference field="0" count="1">
            <x v="2"/>
          </reference>
          <reference field="1" count="1" selected="0">
            <x v="122"/>
          </reference>
        </references>
      </pivotArea>
    </format>
    <format dxfId="1433">
      <pivotArea dataOnly="0" labelOnly="1" outline="0" fieldPosition="0">
        <references count="2">
          <reference field="0" count="1">
            <x v="3"/>
          </reference>
          <reference field="1" count="1" selected="0">
            <x v="123"/>
          </reference>
        </references>
      </pivotArea>
    </format>
    <format dxfId="1432">
      <pivotArea dataOnly="0" labelOnly="1" outline="0" fieldPosition="0">
        <references count="2">
          <reference field="0" count="1">
            <x v="0"/>
          </reference>
          <reference field="1" count="1" selected="0">
            <x v="127"/>
          </reference>
        </references>
      </pivotArea>
    </format>
    <format dxfId="1431">
      <pivotArea dataOnly="0" labelOnly="1" outline="0" fieldPosition="0">
        <references count="2">
          <reference field="0" count="1">
            <x v="1"/>
          </reference>
          <reference field="1" count="1" selected="0">
            <x v="128"/>
          </reference>
        </references>
      </pivotArea>
    </format>
    <format dxfId="1430">
      <pivotArea dataOnly="0" labelOnly="1" outline="0" fieldPosition="0">
        <references count="2">
          <reference field="0" count="1">
            <x v="2"/>
          </reference>
          <reference field="1" count="1" selected="0">
            <x v="129"/>
          </reference>
        </references>
      </pivotArea>
    </format>
    <format dxfId="1429">
      <pivotArea dataOnly="0" labelOnly="1" outline="0" fieldPosition="0">
        <references count="2">
          <reference field="0" count="1">
            <x v="3"/>
          </reference>
          <reference field="1" count="1" selected="0">
            <x v="130"/>
          </reference>
        </references>
      </pivotArea>
    </format>
    <format dxfId="1428">
      <pivotArea dataOnly="0" labelOnly="1" outline="0" fieldPosition="0">
        <references count="2">
          <reference field="0" count="1">
            <x v="2"/>
          </reference>
          <reference field="1" count="1" selected="0">
            <x v="131"/>
          </reference>
        </references>
      </pivotArea>
    </format>
    <format dxfId="1427">
      <pivotArea dataOnly="0" labelOnly="1" outline="0" fieldPosition="0">
        <references count="2">
          <reference field="0" count="1">
            <x v="3"/>
          </reference>
          <reference field="1" count="1" selected="0">
            <x v="132"/>
          </reference>
        </references>
      </pivotArea>
    </format>
    <format dxfId="1426">
      <pivotArea dataOnly="0" labelOnly="1" outline="0" fieldPosition="0">
        <references count="2">
          <reference field="0" count="1">
            <x v="2"/>
          </reference>
          <reference field="1" count="1" selected="0">
            <x v="136"/>
          </reference>
        </references>
      </pivotArea>
    </format>
    <format dxfId="1425">
      <pivotArea dataOnly="0" labelOnly="1" outline="0" fieldPosition="0">
        <references count="2">
          <reference field="0" count="1">
            <x v="3"/>
          </reference>
          <reference field="1" count="1" selected="0">
            <x v="137"/>
          </reference>
        </references>
      </pivotArea>
    </format>
    <format dxfId="1424">
      <pivotArea dataOnly="0" labelOnly="1" outline="0" fieldPosition="0">
        <references count="2">
          <reference field="0" count="1">
            <x v="2"/>
          </reference>
          <reference field="1" count="1" selected="0">
            <x v="140"/>
          </reference>
        </references>
      </pivotArea>
    </format>
    <format dxfId="1423">
      <pivotArea dataOnly="0" labelOnly="1" outline="0" fieldPosition="0">
        <references count="2">
          <reference field="0" count="1">
            <x v="3"/>
          </reference>
          <reference field="1" count="1" selected="0">
            <x v="141"/>
          </reference>
        </references>
      </pivotArea>
    </format>
    <format dxfId="1422">
      <pivotArea dataOnly="0" labelOnly="1" outline="0" fieldPosition="0">
        <references count="2">
          <reference field="0" count="1">
            <x v="0"/>
          </reference>
          <reference field="1" count="1" selected="0">
            <x v="146"/>
          </reference>
        </references>
      </pivotArea>
    </format>
    <format dxfId="1421">
      <pivotArea dataOnly="0" labelOnly="1" outline="0" fieldPosition="0">
        <references count="2">
          <reference field="0" count="1">
            <x v="1"/>
          </reference>
          <reference field="1" count="1" selected="0">
            <x v="147"/>
          </reference>
        </references>
      </pivotArea>
    </format>
    <format dxfId="1420">
      <pivotArea dataOnly="0" labelOnly="1" outline="0" fieldPosition="0">
        <references count="2">
          <reference field="0" count="1">
            <x v="2"/>
          </reference>
          <reference field="1" count="1" selected="0">
            <x v="148"/>
          </reference>
        </references>
      </pivotArea>
    </format>
    <format dxfId="1419">
      <pivotArea dataOnly="0" labelOnly="1" outline="0" fieldPosition="0">
        <references count="2">
          <reference field="0" count="1">
            <x v="3"/>
          </reference>
          <reference field="1" count="1" selected="0">
            <x v="149"/>
          </reference>
        </references>
      </pivotArea>
    </format>
    <format dxfId="1418">
      <pivotArea dataOnly="0" labelOnly="1" outline="0" fieldPosition="0">
        <references count="2">
          <reference field="0" count="1">
            <x v="2"/>
          </reference>
          <reference field="1" count="1" selected="0">
            <x v="152"/>
          </reference>
        </references>
      </pivotArea>
    </format>
    <format dxfId="1417">
      <pivotArea dataOnly="0" labelOnly="1" outline="0" fieldPosition="0">
        <references count="2">
          <reference field="0" count="1">
            <x v="3"/>
          </reference>
          <reference field="1" count="1" selected="0">
            <x v="153"/>
          </reference>
        </references>
      </pivotArea>
    </format>
    <format dxfId="1416">
      <pivotArea dataOnly="0" labelOnly="1" outline="0" fieldPosition="0">
        <references count="2">
          <reference field="0" count="1">
            <x v="6"/>
          </reference>
          <reference field="1" count="1" selected="0">
            <x v="154"/>
          </reference>
        </references>
      </pivotArea>
    </format>
    <format dxfId="1415">
      <pivotArea dataOnly="0" labelOnly="1" outline="0" fieldPosition="0">
        <references count="2">
          <reference field="0" count="1">
            <x v="3"/>
          </reference>
          <reference field="1" count="1" selected="0">
            <x v="155"/>
          </reference>
        </references>
      </pivotArea>
    </format>
    <format dxfId="1414">
      <pivotArea dataOnly="0" labelOnly="1" outline="0" fieldPosition="0">
        <references count="2">
          <reference field="0" count="1">
            <x v="7"/>
          </reference>
          <reference field="1" count="1" selected="0">
            <x v="157"/>
          </reference>
        </references>
      </pivotArea>
    </format>
    <format dxfId="1413">
      <pivotArea dataOnly="0" labelOnly="1" outline="0" fieldPosition="0">
        <references count="2">
          <reference field="0" count="1">
            <x v="3"/>
          </reference>
          <reference field="1" count="1" selected="0">
            <x v="158"/>
          </reference>
        </references>
      </pivotArea>
    </format>
    <format dxfId="1412">
      <pivotArea dataOnly="0" labelOnly="1" outline="0" fieldPosition="0">
        <references count="2">
          <reference field="0" count="1">
            <x v="1"/>
          </reference>
          <reference field="1" count="1" selected="0">
            <x v="159"/>
          </reference>
        </references>
      </pivotArea>
    </format>
    <format dxfId="1411">
      <pivotArea dataOnly="0" labelOnly="1" outline="0" fieldPosition="0">
        <references count="2">
          <reference field="0" count="1">
            <x v="2"/>
          </reference>
          <reference field="1" count="1" selected="0">
            <x v="160"/>
          </reference>
        </references>
      </pivotArea>
    </format>
    <format dxfId="1410">
      <pivotArea dataOnly="0" labelOnly="1" outline="0" fieldPosition="0">
        <references count="2">
          <reference field="0" count="1">
            <x v="3"/>
          </reference>
          <reference field="1" count="1" selected="0">
            <x v="161"/>
          </reference>
        </references>
      </pivotArea>
    </format>
    <format dxfId="1409">
      <pivotArea dataOnly="0" labelOnly="1" outline="0" fieldPosition="0">
        <references count="2">
          <reference field="0" count="1">
            <x v="2"/>
          </reference>
          <reference field="1" count="1" selected="0">
            <x v="164"/>
          </reference>
        </references>
      </pivotArea>
    </format>
    <format dxfId="1408">
      <pivotArea dataOnly="0" labelOnly="1" outline="0" fieldPosition="0">
        <references count="2">
          <reference field="0" count="1">
            <x v="3"/>
          </reference>
          <reference field="1" count="1" selected="0">
            <x v="165"/>
          </reference>
        </references>
      </pivotArea>
    </format>
    <format dxfId="1407">
      <pivotArea dataOnly="0" labelOnly="1" outline="0" fieldPosition="0">
        <references count="2">
          <reference field="0" count="1">
            <x v="5"/>
          </reference>
          <reference field="1" count="1" selected="0">
            <x v="166"/>
          </reference>
        </references>
      </pivotArea>
    </format>
    <format dxfId="1406">
      <pivotArea dataOnly="0" labelOnly="1" outline="0" fieldPosition="0">
        <references count="2">
          <reference field="0" count="1">
            <x v="3"/>
          </reference>
          <reference field="1" count="1" selected="0">
            <x v="167"/>
          </reference>
        </references>
      </pivotArea>
    </format>
    <format dxfId="1405">
      <pivotArea dataOnly="0" labelOnly="1" outline="0" fieldPosition="0">
        <references count="2">
          <reference field="0" count="1">
            <x v="0"/>
          </reference>
          <reference field="1" count="1" selected="0">
            <x v="168"/>
          </reference>
        </references>
      </pivotArea>
    </format>
    <format dxfId="1404">
      <pivotArea dataOnly="0" labelOnly="1" outline="0" fieldPosition="0">
        <references count="2">
          <reference field="0" count="1">
            <x v="1"/>
          </reference>
          <reference field="1" count="1" selected="0">
            <x v="169"/>
          </reference>
        </references>
      </pivotArea>
    </format>
    <format dxfId="1403">
      <pivotArea dataOnly="0" labelOnly="1" outline="0" fieldPosition="0">
        <references count="2">
          <reference field="0" count="1">
            <x v="2"/>
          </reference>
          <reference field="1" count="1" selected="0">
            <x v="170"/>
          </reference>
        </references>
      </pivotArea>
    </format>
    <format dxfId="1402">
      <pivotArea dataOnly="0" labelOnly="1" outline="0" fieldPosition="0">
        <references count="2">
          <reference field="0" count="1">
            <x v="3"/>
          </reference>
          <reference field="1" count="1" selected="0">
            <x v="171"/>
          </reference>
        </references>
      </pivotArea>
    </format>
    <format dxfId="1401">
      <pivotArea dataOnly="0" labelOnly="1" outline="0" fieldPosition="0">
        <references count="2">
          <reference field="0" count="1">
            <x v="0"/>
          </reference>
          <reference field="1" count="1" selected="0">
            <x v="209"/>
          </reference>
        </references>
      </pivotArea>
    </format>
    <format dxfId="1400">
      <pivotArea dataOnly="0" labelOnly="1" outline="0" fieldPosition="0">
        <references count="2">
          <reference field="0" count="1">
            <x v="1"/>
          </reference>
          <reference field="1" count="1" selected="0">
            <x v="210"/>
          </reference>
        </references>
      </pivotArea>
    </format>
    <format dxfId="1399">
      <pivotArea dataOnly="0" labelOnly="1" outline="0" fieldPosition="0">
        <references count="2">
          <reference field="0" count="1">
            <x v="3"/>
          </reference>
          <reference field="1" count="1" selected="0">
            <x v="211"/>
          </reference>
        </references>
      </pivotArea>
    </format>
    <format dxfId="1398">
      <pivotArea dataOnly="0" labelOnly="1" outline="0" fieldPosition="0">
        <references count="2">
          <reference field="0" count="1">
            <x v="0"/>
          </reference>
          <reference field="1" count="1" selected="0">
            <x v="212"/>
          </reference>
        </references>
      </pivotArea>
    </format>
    <format dxfId="1397">
      <pivotArea dataOnly="0" labelOnly="1" outline="0" fieldPosition="0">
        <references count="2">
          <reference field="0" count="1">
            <x v="3"/>
          </reference>
          <reference field="1" count="1" selected="0">
            <x v="213"/>
          </reference>
        </references>
      </pivotArea>
    </format>
    <format dxfId="1396">
      <pivotArea dataOnly="0" labelOnly="1" outline="0" fieldPosition="0">
        <references count="3">
          <reference field="0" count="1" selected="0">
            <x v="0"/>
          </reference>
          <reference field="1" count="1" selected="0">
            <x v="0"/>
          </reference>
          <reference field="20" count="1">
            <x v="9"/>
          </reference>
        </references>
      </pivotArea>
    </format>
    <format dxfId="1395">
      <pivotArea dataOnly="0" labelOnly="1" outline="0" fieldPosition="0">
        <references count="3">
          <reference field="0" count="1" selected="0">
            <x v="1"/>
          </reference>
          <reference field="1" count="1" selected="0">
            <x v="1"/>
          </reference>
          <reference field="20" count="1">
            <x v="0"/>
          </reference>
        </references>
      </pivotArea>
    </format>
    <format dxfId="1394">
      <pivotArea dataOnly="0" labelOnly="1" outline="0" fieldPosition="0">
        <references count="3">
          <reference field="0" count="1" selected="0">
            <x v="0"/>
          </reference>
          <reference field="1" count="1" selected="0">
            <x v="3"/>
          </reference>
          <reference field="20" count="1">
            <x v="6"/>
          </reference>
        </references>
      </pivotArea>
    </format>
    <format dxfId="1393">
      <pivotArea dataOnly="0" labelOnly="1" outline="0" fieldPosition="0">
        <references count="3">
          <reference field="0" count="1" selected="0">
            <x v="1"/>
          </reference>
          <reference field="1" count="1" selected="0">
            <x v="4"/>
          </reference>
          <reference field="20" count="1">
            <x v="0"/>
          </reference>
        </references>
      </pivotArea>
    </format>
    <format dxfId="1392">
      <pivotArea dataOnly="0" labelOnly="1" outline="0" fieldPosition="0">
        <references count="3">
          <reference field="0" count="1" selected="0">
            <x v="0"/>
          </reference>
          <reference field="1" count="1" selected="0">
            <x v="48"/>
          </reference>
          <reference field="20" count="1">
            <x v="4"/>
          </reference>
        </references>
      </pivotArea>
    </format>
    <format dxfId="1391">
      <pivotArea dataOnly="0" labelOnly="1" outline="0" fieldPosition="0">
        <references count="3">
          <reference field="0" count="1" selected="0">
            <x v="1"/>
          </reference>
          <reference field="1" count="1" selected="0">
            <x v="49"/>
          </reference>
          <reference field="20" count="1">
            <x v="0"/>
          </reference>
        </references>
      </pivotArea>
    </format>
    <format dxfId="1390">
      <pivotArea dataOnly="0" labelOnly="1" outline="0" fieldPosition="0">
        <references count="3">
          <reference field="0" count="1" selected="0">
            <x v="0"/>
          </reference>
          <reference field="1" count="1" selected="0">
            <x v="121"/>
          </reference>
          <reference field="20" count="1">
            <x v="2"/>
          </reference>
        </references>
      </pivotArea>
    </format>
    <format dxfId="1389">
      <pivotArea dataOnly="0" labelOnly="1" outline="0" fieldPosition="0">
        <references count="3">
          <reference field="0" count="1" selected="0">
            <x v="2"/>
          </reference>
          <reference field="1" count="1" selected="0">
            <x v="122"/>
          </reference>
          <reference field="20" count="1">
            <x v="0"/>
          </reference>
        </references>
      </pivotArea>
    </format>
    <format dxfId="1388">
      <pivotArea dataOnly="0" labelOnly="1" outline="0" fieldPosition="0">
        <references count="3">
          <reference field="0" count="1" selected="0">
            <x v="0"/>
          </reference>
          <reference field="1" count="1" selected="0">
            <x v="127"/>
          </reference>
          <reference field="20" count="1">
            <x v="1"/>
          </reference>
        </references>
      </pivotArea>
    </format>
    <format dxfId="1387">
      <pivotArea dataOnly="0" labelOnly="1" outline="0" fieldPosition="0">
        <references count="3">
          <reference field="0" count="1" selected="0">
            <x v="1"/>
          </reference>
          <reference field="1" count="1" selected="0">
            <x v="128"/>
          </reference>
          <reference field="20" count="1">
            <x v="0"/>
          </reference>
        </references>
      </pivotArea>
    </format>
    <format dxfId="1386">
      <pivotArea dataOnly="0" labelOnly="1" outline="0" fieldPosition="0">
        <references count="3">
          <reference field="0" count="1" selected="0">
            <x v="0"/>
          </reference>
          <reference field="1" count="1" selected="0">
            <x v="146"/>
          </reference>
          <reference field="20" count="1">
            <x v="3"/>
          </reference>
        </references>
      </pivotArea>
    </format>
    <format dxfId="1385">
      <pivotArea dataOnly="0" labelOnly="1" outline="0" fieldPosition="0">
        <references count="3">
          <reference field="0" count="1" selected="0">
            <x v="1"/>
          </reference>
          <reference field="1" count="1" selected="0">
            <x v="147"/>
          </reference>
          <reference field="20" count="1">
            <x v="0"/>
          </reference>
        </references>
      </pivotArea>
    </format>
    <format dxfId="1384">
      <pivotArea dataOnly="0" labelOnly="1" outline="0" fieldPosition="0">
        <references count="3">
          <reference field="0" count="1" selected="0">
            <x v="0"/>
          </reference>
          <reference field="1" count="1" selected="0">
            <x v="168"/>
          </reference>
          <reference field="20" count="1">
            <x v="7"/>
          </reference>
        </references>
      </pivotArea>
    </format>
    <format dxfId="1383">
      <pivotArea dataOnly="0" labelOnly="1" outline="0" fieldPosition="0">
        <references count="3">
          <reference field="0" count="1" selected="0">
            <x v="1"/>
          </reference>
          <reference field="1" count="1" selected="0">
            <x v="169"/>
          </reference>
          <reference field="20" count="1">
            <x v="0"/>
          </reference>
        </references>
      </pivotArea>
    </format>
    <format dxfId="1382">
      <pivotArea dataOnly="0" labelOnly="1" outline="0" fieldPosition="0">
        <references count="3">
          <reference field="0" count="1" selected="0">
            <x v="0"/>
          </reference>
          <reference field="1" count="1" selected="0">
            <x v="209"/>
          </reference>
          <reference field="20" count="1">
            <x v="5"/>
          </reference>
        </references>
      </pivotArea>
    </format>
    <format dxfId="1381">
      <pivotArea dataOnly="0" labelOnly="1" outline="0" fieldPosition="0">
        <references count="3">
          <reference field="0" count="1" selected="0">
            <x v="1"/>
          </reference>
          <reference field="1" count="1" selected="0">
            <x v="210"/>
          </reference>
          <reference field="20" count="1">
            <x v="0"/>
          </reference>
        </references>
      </pivotArea>
    </format>
    <format dxfId="1380">
      <pivotArea dataOnly="0" labelOnly="1" outline="0" fieldPosition="0">
        <references count="3">
          <reference field="0" count="1" selected="0">
            <x v="0"/>
          </reference>
          <reference field="1" count="1" selected="0">
            <x v="212"/>
          </reference>
          <reference field="20" count="1">
            <x v="8"/>
          </reference>
        </references>
      </pivotArea>
    </format>
    <format dxfId="1379">
      <pivotArea dataOnly="0" labelOnly="1" outline="0" fieldPosition="0">
        <references count="4">
          <reference field="0" count="1" selected="0">
            <x v="0"/>
          </reference>
          <reference field="1" count="1" selected="0">
            <x v="0"/>
          </reference>
          <reference field="20" count="1" selected="0">
            <x v="9"/>
          </reference>
          <reference field="21" count="1">
            <x v="0"/>
          </reference>
        </references>
      </pivotArea>
    </format>
    <format dxfId="1378">
      <pivotArea dataOnly="0" labelOnly="1" outline="0" fieldPosition="0">
        <references count="4">
          <reference field="0" count="1" selected="0">
            <x v="1"/>
          </reference>
          <reference field="1" count="1" selected="0">
            <x v="1"/>
          </reference>
          <reference field="20" count="1" selected="0">
            <x v="0"/>
          </reference>
          <reference field="21" count="1">
            <x v="12"/>
          </reference>
        </references>
      </pivotArea>
    </format>
    <format dxfId="1377">
      <pivotArea dataOnly="0" labelOnly="1" outline="0" fieldPosition="0">
        <references count="4">
          <reference field="0" count="1" selected="0">
            <x v="1"/>
          </reference>
          <reference field="1" count="1" selected="0">
            <x v="2"/>
          </reference>
          <reference field="20" count="1" selected="0">
            <x v="0"/>
          </reference>
          <reference field="21" count="1">
            <x v="18"/>
          </reference>
        </references>
      </pivotArea>
    </format>
    <format dxfId="1376">
      <pivotArea dataOnly="0" labelOnly="1" outline="0" fieldPosition="0">
        <references count="4">
          <reference field="0" count="1" selected="0">
            <x v="0"/>
          </reference>
          <reference field="1" count="1" selected="0">
            <x v="3"/>
          </reference>
          <reference field="20" count="1" selected="0">
            <x v="6"/>
          </reference>
          <reference field="21" count="1">
            <x v="0"/>
          </reference>
        </references>
      </pivotArea>
    </format>
    <format dxfId="1375">
      <pivotArea dataOnly="0" labelOnly="1" outline="0" fieldPosition="0">
        <references count="4">
          <reference field="0" count="1" selected="0">
            <x v="1"/>
          </reference>
          <reference field="1" count="1" selected="0">
            <x v="4"/>
          </reference>
          <reference field="20" count="1" selected="0">
            <x v="0"/>
          </reference>
          <reference field="21" count="1">
            <x v="6"/>
          </reference>
        </references>
      </pivotArea>
    </format>
    <format dxfId="1374">
      <pivotArea dataOnly="0" labelOnly="1" outline="0" fieldPosition="0">
        <references count="4">
          <reference field="0" count="1" selected="0">
            <x v="2"/>
          </reference>
          <reference field="1" count="1" selected="0">
            <x v="5"/>
          </reference>
          <reference field="20" count="1" selected="0">
            <x v="0"/>
          </reference>
          <reference field="21" count="1">
            <x v="0"/>
          </reference>
        </references>
      </pivotArea>
    </format>
    <format dxfId="1373">
      <pivotArea dataOnly="0" labelOnly="1" outline="0" fieldPosition="0">
        <references count="4">
          <reference field="0" count="1" selected="0">
            <x v="1"/>
          </reference>
          <reference field="1" count="1" selected="0">
            <x v="9"/>
          </reference>
          <reference field="20" count="1" selected="0">
            <x v="0"/>
          </reference>
          <reference field="21" count="1">
            <x v="2"/>
          </reference>
        </references>
      </pivotArea>
    </format>
    <format dxfId="1372">
      <pivotArea dataOnly="0" labelOnly="1" outline="0" fieldPosition="0">
        <references count="4">
          <reference field="0" count="1" selected="0">
            <x v="2"/>
          </reference>
          <reference field="1" count="1" selected="0">
            <x v="10"/>
          </reference>
          <reference field="20" count="1" selected="0">
            <x v="0"/>
          </reference>
          <reference field="21" count="1">
            <x v="0"/>
          </reference>
        </references>
      </pivotArea>
    </format>
    <format dxfId="1371">
      <pivotArea dataOnly="0" labelOnly="1" outline="0" fieldPosition="0">
        <references count="4">
          <reference field="0" count="1" selected="0">
            <x v="1"/>
          </reference>
          <reference field="1" count="1" selected="0">
            <x v="14"/>
          </reference>
          <reference field="20" count="1" selected="0">
            <x v="0"/>
          </reference>
          <reference field="21" count="1">
            <x v="10"/>
          </reference>
        </references>
      </pivotArea>
    </format>
    <format dxfId="1370">
      <pivotArea dataOnly="0" labelOnly="1" outline="0" fieldPosition="0">
        <references count="4">
          <reference field="0" count="1" selected="0">
            <x v="2"/>
          </reference>
          <reference field="1" count="1" selected="0">
            <x v="15"/>
          </reference>
          <reference field="20" count="1" selected="0">
            <x v="0"/>
          </reference>
          <reference field="21" count="1">
            <x v="0"/>
          </reference>
        </references>
      </pivotArea>
    </format>
    <format dxfId="1369">
      <pivotArea dataOnly="0" labelOnly="1" outline="0" fieldPosition="0">
        <references count="4">
          <reference field="0" count="1" selected="0">
            <x v="1"/>
          </reference>
          <reference field="1" count="1" selected="0">
            <x v="24"/>
          </reference>
          <reference field="20" count="1" selected="0">
            <x v="0"/>
          </reference>
          <reference field="21" count="1">
            <x v="9"/>
          </reference>
        </references>
      </pivotArea>
    </format>
    <format dxfId="1368">
      <pivotArea dataOnly="0" labelOnly="1" outline="0" fieldPosition="0">
        <references count="4">
          <reference field="0" count="1" selected="0">
            <x v="2"/>
          </reference>
          <reference field="1" count="1" selected="0">
            <x v="25"/>
          </reference>
          <reference field="20" count="1" selected="0">
            <x v="0"/>
          </reference>
          <reference field="21" count="1">
            <x v="0"/>
          </reference>
        </references>
      </pivotArea>
    </format>
    <format dxfId="1367">
      <pivotArea dataOnly="0" labelOnly="1" outline="0" fieldPosition="0">
        <references count="4">
          <reference field="0" count="1" selected="0">
            <x v="1"/>
          </reference>
          <reference field="1" count="1" selected="0">
            <x v="29"/>
          </reference>
          <reference field="20" count="1" selected="0">
            <x v="0"/>
          </reference>
          <reference field="21" count="1">
            <x v="17"/>
          </reference>
        </references>
      </pivotArea>
    </format>
    <format dxfId="1366">
      <pivotArea dataOnly="0" labelOnly="1" outline="0" fieldPosition="0">
        <references count="4">
          <reference field="0" count="1" selected="0">
            <x v="2"/>
          </reference>
          <reference field="1" count="1" selected="0">
            <x v="30"/>
          </reference>
          <reference field="20" count="1" selected="0">
            <x v="0"/>
          </reference>
          <reference field="21" count="1">
            <x v="0"/>
          </reference>
        </references>
      </pivotArea>
    </format>
    <format dxfId="1365">
      <pivotArea dataOnly="0" labelOnly="1" outline="0" fieldPosition="0">
        <references count="4">
          <reference field="0" count="1" selected="0">
            <x v="1"/>
          </reference>
          <reference field="1" count="1" selected="0">
            <x v="41"/>
          </reference>
          <reference field="20" count="1" selected="0">
            <x v="0"/>
          </reference>
          <reference field="21" count="1">
            <x v="8"/>
          </reference>
        </references>
      </pivotArea>
    </format>
    <format dxfId="1364">
      <pivotArea dataOnly="0" labelOnly="1" outline="0" fieldPosition="0">
        <references count="4">
          <reference field="0" count="1" selected="0">
            <x v="3"/>
          </reference>
          <reference field="1" count="1" selected="0">
            <x v="42"/>
          </reference>
          <reference field="20" count="1" selected="0">
            <x v="0"/>
          </reference>
          <reference field="21" count="1">
            <x v="0"/>
          </reference>
        </references>
      </pivotArea>
    </format>
    <format dxfId="1363">
      <pivotArea dataOnly="0" labelOnly="1" outline="0" fieldPosition="0">
        <references count="4">
          <reference field="0" count="1" selected="0">
            <x v="1"/>
          </reference>
          <reference field="1" count="1" selected="0">
            <x v="43"/>
          </reference>
          <reference field="20" count="1" selected="0">
            <x v="0"/>
          </reference>
          <reference field="21" count="1">
            <x v="16"/>
          </reference>
        </references>
      </pivotArea>
    </format>
    <format dxfId="1362">
      <pivotArea dataOnly="0" labelOnly="1" outline="0" fieldPosition="0">
        <references count="4">
          <reference field="0" count="1" selected="0">
            <x v="3"/>
          </reference>
          <reference field="1" count="1" selected="0">
            <x v="44"/>
          </reference>
          <reference field="20" count="1" selected="0">
            <x v="0"/>
          </reference>
          <reference field="21" count="1">
            <x v="0"/>
          </reference>
        </references>
      </pivotArea>
    </format>
    <format dxfId="1361">
      <pivotArea dataOnly="0" labelOnly="1" outline="0" fieldPosition="0">
        <references count="4">
          <reference field="0" count="1" selected="0">
            <x v="1"/>
          </reference>
          <reference field="1" count="1" selected="0">
            <x v="49"/>
          </reference>
          <reference field="20" count="1" selected="0">
            <x v="0"/>
          </reference>
          <reference field="21" count="1">
            <x v="4"/>
          </reference>
        </references>
      </pivotArea>
    </format>
    <format dxfId="1360">
      <pivotArea dataOnly="0" labelOnly="1" outline="0" fieldPosition="0">
        <references count="4">
          <reference field="0" count="1" selected="0">
            <x v="2"/>
          </reference>
          <reference field="1" count="1" selected="0">
            <x v="50"/>
          </reference>
          <reference field="20" count="1" selected="0">
            <x v="0"/>
          </reference>
          <reference field="21" count="1">
            <x v="0"/>
          </reference>
        </references>
      </pivotArea>
    </format>
    <format dxfId="1359">
      <pivotArea dataOnly="0" labelOnly="1" outline="0" fieldPosition="0">
        <references count="4">
          <reference field="0" count="1" selected="0">
            <x v="1"/>
          </reference>
          <reference field="1" count="1" selected="0">
            <x v="52"/>
          </reference>
          <reference field="20" count="1" selected="0">
            <x v="0"/>
          </reference>
          <reference field="21" count="1">
            <x v="13"/>
          </reference>
        </references>
      </pivotArea>
    </format>
    <format dxfId="1358">
      <pivotArea dataOnly="0" labelOnly="1" outline="0" fieldPosition="0">
        <references count="4">
          <reference field="0" count="1" selected="0">
            <x v="2"/>
          </reference>
          <reference field="1" count="1" selected="0">
            <x v="53"/>
          </reference>
          <reference field="20" count="1" selected="0">
            <x v="0"/>
          </reference>
          <reference field="21" count="1">
            <x v="0"/>
          </reference>
        </references>
      </pivotArea>
    </format>
    <format dxfId="1357">
      <pivotArea dataOnly="0" labelOnly="1" outline="0" fieldPosition="0">
        <references count="4">
          <reference field="0" count="1" selected="0">
            <x v="1"/>
          </reference>
          <reference field="1" count="1" selected="0">
            <x v="57"/>
          </reference>
          <reference field="20" count="1" selected="0">
            <x v="0"/>
          </reference>
          <reference field="21" count="1">
            <x v="3"/>
          </reference>
        </references>
      </pivotArea>
    </format>
    <format dxfId="1356">
      <pivotArea dataOnly="0" labelOnly="1" outline="0" fieldPosition="0">
        <references count="4">
          <reference field="0" count="1" selected="0">
            <x v="2"/>
          </reference>
          <reference field="1" count="1" selected="0">
            <x v="58"/>
          </reference>
          <reference field="20" count="1" selected="0">
            <x v="0"/>
          </reference>
          <reference field="21" count="1">
            <x v="0"/>
          </reference>
        </references>
      </pivotArea>
    </format>
    <format dxfId="1355">
      <pivotArea dataOnly="0" labelOnly="1" outline="0" fieldPosition="0">
        <references count="4">
          <reference field="0" count="1" selected="0">
            <x v="1"/>
          </reference>
          <reference field="1" count="1" selected="0">
            <x v="78"/>
          </reference>
          <reference field="20" count="1" selected="0">
            <x v="0"/>
          </reference>
          <reference field="21" count="1">
            <x v="11"/>
          </reference>
        </references>
      </pivotArea>
    </format>
    <format dxfId="1354">
      <pivotArea dataOnly="0" labelOnly="1" outline="0" fieldPosition="0">
        <references count="4">
          <reference field="0" count="1" selected="0">
            <x v="2"/>
          </reference>
          <reference field="1" count="1" selected="0">
            <x v="79"/>
          </reference>
          <reference field="20" count="1" selected="0">
            <x v="0"/>
          </reference>
          <reference field="21" count="1">
            <x v="0"/>
          </reference>
        </references>
      </pivotArea>
    </format>
    <format dxfId="1353">
      <pivotArea dataOnly="0" labelOnly="1" outline="0" fieldPosition="0">
        <references count="4">
          <reference field="0" count="1" selected="0">
            <x v="1"/>
          </reference>
          <reference field="1" count="1" selected="0">
            <x v="128"/>
          </reference>
          <reference field="20" count="1" selected="0">
            <x v="0"/>
          </reference>
          <reference field="21" count="1">
            <x v="1"/>
          </reference>
        </references>
      </pivotArea>
    </format>
    <format dxfId="1352">
      <pivotArea dataOnly="0" labelOnly="1" outline="0" fieldPosition="0">
        <references count="4">
          <reference field="0" count="1" selected="0">
            <x v="2"/>
          </reference>
          <reference field="1" count="1" selected="0">
            <x v="129"/>
          </reference>
          <reference field="20" count="1" selected="0">
            <x v="0"/>
          </reference>
          <reference field="21" count="1">
            <x v="0"/>
          </reference>
        </references>
      </pivotArea>
    </format>
    <format dxfId="1351">
      <pivotArea dataOnly="0" labelOnly="1" outline="0" fieldPosition="0">
        <references count="4">
          <reference field="0" count="1" selected="0">
            <x v="1"/>
          </reference>
          <reference field="1" count="1" selected="0">
            <x v="147"/>
          </reference>
          <reference field="20" count="1" selected="0">
            <x v="0"/>
          </reference>
          <reference field="21" count="1">
            <x v="15"/>
          </reference>
        </references>
      </pivotArea>
    </format>
    <format dxfId="1350">
      <pivotArea dataOnly="0" labelOnly="1" outline="0" fieldPosition="0">
        <references count="4">
          <reference field="0" count="1" selected="0">
            <x v="2"/>
          </reference>
          <reference field="1" count="1" selected="0">
            <x v="148"/>
          </reference>
          <reference field="20" count="1" selected="0">
            <x v="0"/>
          </reference>
          <reference field="21" count="1">
            <x v="0"/>
          </reference>
        </references>
      </pivotArea>
    </format>
    <format dxfId="1349">
      <pivotArea dataOnly="0" labelOnly="1" outline="0" fieldPosition="0">
        <references count="4">
          <reference field="0" count="1" selected="0">
            <x v="1"/>
          </reference>
          <reference field="1" count="1" selected="0">
            <x v="159"/>
          </reference>
          <reference field="20" count="1" selected="0">
            <x v="0"/>
          </reference>
          <reference field="21" count="1">
            <x v="7"/>
          </reference>
        </references>
      </pivotArea>
    </format>
    <format dxfId="1348">
      <pivotArea dataOnly="0" labelOnly="1" outline="0" fieldPosition="0">
        <references count="4">
          <reference field="0" count="1" selected="0">
            <x v="2"/>
          </reference>
          <reference field="1" count="1" selected="0">
            <x v="160"/>
          </reference>
          <reference field="20" count="1" selected="0">
            <x v="0"/>
          </reference>
          <reference field="21" count="1">
            <x v="0"/>
          </reference>
        </references>
      </pivotArea>
    </format>
    <format dxfId="1347">
      <pivotArea dataOnly="0" labelOnly="1" outline="0" fieldPosition="0">
        <references count="4">
          <reference field="0" count="1" selected="0">
            <x v="1"/>
          </reference>
          <reference field="1" count="1" selected="0">
            <x v="169"/>
          </reference>
          <reference field="20" count="1" selected="0">
            <x v="0"/>
          </reference>
          <reference field="21" count="1">
            <x v="14"/>
          </reference>
        </references>
      </pivotArea>
    </format>
    <format dxfId="1346">
      <pivotArea dataOnly="0" labelOnly="1" outline="0" fieldPosition="0">
        <references count="4">
          <reference field="0" count="1" selected="0">
            <x v="2"/>
          </reference>
          <reference field="1" count="1" selected="0">
            <x v="170"/>
          </reference>
          <reference field="20" count="1" selected="0">
            <x v="0"/>
          </reference>
          <reference field="21" count="1">
            <x v="0"/>
          </reference>
        </references>
      </pivotArea>
    </format>
    <format dxfId="1345">
      <pivotArea dataOnly="0" labelOnly="1" outline="0" fieldPosition="0">
        <references count="4">
          <reference field="0" count="1" selected="0">
            <x v="1"/>
          </reference>
          <reference field="1" count="1" selected="0">
            <x v="210"/>
          </reference>
          <reference field="20" count="1" selected="0">
            <x v="0"/>
          </reference>
          <reference field="21" count="1">
            <x v="5"/>
          </reference>
        </references>
      </pivotArea>
    </format>
    <format dxfId="1344">
      <pivotArea dataOnly="0" labelOnly="1" outline="0" fieldPosition="0">
        <references count="5">
          <reference field="0" count="1" selected="0">
            <x v="0"/>
          </reference>
          <reference field="1" count="1" selected="0">
            <x v="0"/>
          </reference>
          <reference field="20" count="1" selected="0">
            <x v="9"/>
          </reference>
          <reference field="21" count="1" selected="0">
            <x v="0"/>
          </reference>
          <reference field="22" count="1">
            <x v="0"/>
          </reference>
        </references>
      </pivotArea>
    </format>
    <format dxfId="1343">
      <pivotArea dataOnly="0" labelOnly="1" outline="0" fieldPosition="0">
        <references count="5">
          <reference field="0" count="1" selected="0">
            <x v="2"/>
          </reference>
          <reference field="1" count="1" selected="0">
            <x v="5"/>
          </reference>
          <reference field="20" count="1" selected="0">
            <x v="0"/>
          </reference>
          <reference field="21" count="1" selected="0">
            <x v="0"/>
          </reference>
          <reference field="22" count="1">
            <x v="12"/>
          </reference>
        </references>
      </pivotArea>
    </format>
    <format dxfId="1342">
      <pivotArea dataOnly="0" labelOnly="1" outline="0" fieldPosition="0">
        <references count="5">
          <reference field="0" count="1" selected="0">
            <x v="3"/>
          </reference>
          <reference field="1" count="1" selected="0">
            <x v="6"/>
          </reference>
          <reference field="20" count="1" selected="0">
            <x v="0"/>
          </reference>
          <reference field="21" count="1" selected="0">
            <x v="0"/>
          </reference>
          <reference field="22" count="1">
            <x v="0"/>
          </reference>
        </references>
      </pivotArea>
    </format>
    <format dxfId="1341">
      <pivotArea dataOnly="0" labelOnly="1" outline="0" fieldPosition="0">
        <references count="5">
          <reference field="0" count="1" selected="0">
            <x v="2"/>
          </reference>
          <reference field="1" count="1" selected="0">
            <x v="10"/>
          </reference>
          <reference field="20" count="1" selected="0">
            <x v="0"/>
          </reference>
          <reference field="21" count="1" selected="0">
            <x v="0"/>
          </reference>
          <reference field="22" count="1">
            <x v="2"/>
          </reference>
        </references>
      </pivotArea>
    </format>
    <format dxfId="1340">
      <pivotArea dataOnly="0" labelOnly="1" outline="0" fieldPosition="0">
        <references count="5">
          <reference field="0" count="1" selected="0">
            <x v="3"/>
          </reference>
          <reference field="1" count="1" selected="0">
            <x v="11"/>
          </reference>
          <reference field="20" count="1" selected="0">
            <x v="0"/>
          </reference>
          <reference field="21" count="1" selected="0">
            <x v="0"/>
          </reference>
          <reference field="22" count="1">
            <x v="0"/>
          </reference>
        </references>
      </pivotArea>
    </format>
    <format dxfId="1339">
      <pivotArea dataOnly="0" labelOnly="1" outline="0" fieldPosition="0">
        <references count="5">
          <reference field="0" count="1" selected="0">
            <x v="2"/>
          </reference>
          <reference field="1" count="1" selected="0">
            <x v="15"/>
          </reference>
          <reference field="20" count="1" selected="0">
            <x v="0"/>
          </reference>
          <reference field="21" count="1" selected="0">
            <x v="0"/>
          </reference>
          <reference field="22" count="1">
            <x v="13"/>
          </reference>
        </references>
      </pivotArea>
    </format>
    <format dxfId="1338">
      <pivotArea dataOnly="0" labelOnly="1" outline="0" fieldPosition="0">
        <references count="5">
          <reference field="0" count="1" selected="0">
            <x v="3"/>
          </reference>
          <reference field="1" count="1" selected="0">
            <x v="16"/>
          </reference>
          <reference field="20" count="1" selected="0">
            <x v="0"/>
          </reference>
          <reference field="21" count="1" selected="0">
            <x v="0"/>
          </reference>
          <reference field="22" count="1">
            <x v="0"/>
          </reference>
        </references>
      </pivotArea>
    </format>
    <format dxfId="1337">
      <pivotArea dataOnly="0" labelOnly="1" outline="0" fieldPosition="0">
        <references count="5">
          <reference field="0" count="1" selected="0">
            <x v="2"/>
          </reference>
          <reference field="1" count="1" selected="0">
            <x v="19"/>
          </reference>
          <reference field="20" count="1" selected="0">
            <x v="0"/>
          </reference>
          <reference field="21" count="1" selected="0">
            <x v="0"/>
          </reference>
          <reference field="22" count="1">
            <x v="28"/>
          </reference>
        </references>
      </pivotArea>
    </format>
    <format dxfId="1336">
      <pivotArea dataOnly="0" labelOnly="1" outline="0" fieldPosition="0">
        <references count="5">
          <reference field="0" count="1" selected="0">
            <x v="3"/>
          </reference>
          <reference field="1" count="1" selected="0">
            <x v="20"/>
          </reference>
          <reference field="20" count="1" selected="0">
            <x v="0"/>
          </reference>
          <reference field="21" count="1" selected="0">
            <x v="0"/>
          </reference>
          <reference field="22" count="1">
            <x v="0"/>
          </reference>
        </references>
      </pivotArea>
    </format>
    <format dxfId="1335">
      <pivotArea dataOnly="0" labelOnly="1" outline="0" fieldPosition="0">
        <references count="5">
          <reference field="0" count="1" selected="0">
            <x v="2"/>
          </reference>
          <reference field="1" count="1" selected="0">
            <x v="21"/>
          </reference>
          <reference field="20" count="1" selected="0">
            <x v="0"/>
          </reference>
          <reference field="21" count="1" selected="0">
            <x v="0"/>
          </reference>
          <reference field="22" count="1">
            <x v="21"/>
          </reference>
        </references>
      </pivotArea>
    </format>
    <format dxfId="1334">
      <pivotArea dataOnly="0" labelOnly="1" outline="0" fieldPosition="0">
        <references count="5">
          <reference field="0" count="1" selected="0">
            <x v="3"/>
          </reference>
          <reference field="1" count="1" selected="0">
            <x v="22"/>
          </reference>
          <reference field="20" count="1" selected="0">
            <x v="0"/>
          </reference>
          <reference field="21" count="1" selected="0">
            <x v="0"/>
          </reference>
          <reference field="22" count="1">
            <x v="0"/>
          </reference>
        </references>
      </pivotArea>
    </format>
    <format dxfId="1333">
      <pivotArea dataOnly="0" labelOnly="1" outline="0" fieldPosition="0">
        <references count="5">
          <reference field="0" count="1" selected="0">
            <x v="2"/>
          </reference>
          <reference field="1" count="1" selected="0">
            <x v="25"/>
          </reference>
          <reference field="20" count="1" selected="0">
            <x v="0"/>
          </reference>
          <reference field="21" count="1" selected="0">
            <x v="0"/>
          </reference>
          <reference field="22" count="1">
            <x v="17"/>
          </reference>
        </references>
      </pivotArea>
    </format>
    <format dxfId="1332">
      <pivotArea dataOnly="0" labelOnly="1" outline="0" fieldPosition="0">
        <references count="5">
          <reference field="0" count="1" selected="0">
            <x v="3"/>
          </reference>
          <reference field="1" count="1" selected="0">
            <x v="26"/>
          </reference>
          <reference field="20" count="1" selected="0">
            <x v="0"/>
          </reference>
          <reference field="21" count="1" selected="0">
            <x v="0"/>
          </reference>
          <reference field="22" count="1">
            <x v="0"/>
          </reference>
        </references>
      </pivotArea>
    </format>
    <format dxfId="1331">
      <pivotArea dataOnly="0" labelOnly="1" outline="0" fieldPosition="0">
        <references count="5">
          <reference field="0" count="1" selected="0">
            <x v="2"/>
          </reference>
          <reference field="1" count="1" selected="0">
            <x v="30"/>
          </reference>
          <reference field="20" count="1" selected="0">
            <x v="0"/>
          </reference>
          <reference field="21" count="1" selected="0">
            <x v="0"/>
          </reference>
          <reference field="22" count="1">
            <x v="3"/>
          </reference>
        </references>
      </pivotArea>
    </format>
    <format dxfId="1330">
      <pivotArea dataOnly="0" labelOnly="1" outline="0" fieldPosition="0">
        <references count="5">
          <reference field="0" count="1" selected="0">
            <x v="3"/>
          </reference>
          <reference field="1" count="1" selected="0">
            <x v="31"/>
          </reference>
          <reference field="20" count="1" selected="0">
            <x v="0"/>
          </reference>
          <reference field="21" count="1" selected="0">
            <x v="0"/>
          </reference>
          <reference field="22" count="1">
            <x v="0"/>
          </reference>
        </references>
      </pivotArea>
    </format>
    <format dxfId="1329">
      <pivotArea dataOnly="0" labelOnly="1" outline="0" fieldPosition="0">
        <references count="5">
          <reference field="0" count="1" selected="0">
            <x v="2"/>
          </reference>
          <reference field="1" count="1" selected="0">
            <x v="50"/>
          </reference>
          <reference field="20" count="1" selected="0">
            <x v="0"/>
          </reference>
          <reference field="21" count="1" selected="0">
            <x v="0"/>
          </reference>
          <reference field="22" count="1">
            <x v="15"/>
          </reference>
        </references>
      </pivotArea>
    </format>
    <format dxfId="1328">
      <pivotArea dataOnly="0" labelOnly="1" outline="0" fieldPosition="0">
        <references count="5">
          <reference field="0" count="1" selected="0">
            <x v="3"/>
          </reference>
          <reference field="1" count="1" selected="0">
            <x v="51"/>
          </reference>
          <reference field="20" count="1" selected="0">
            <x v="0"/>
          </reference>
          <reference field="21" count="1" selected="0">
            <x v="0"/>
          </reference>
          <reference field="22" count="1">
            <x v="0"/>
          </reference>
        </references>
      </pivotArea>
    </format>
    <format dxfId="1327">
      <pivotArea dataOnly="0" labelOnly="1" outline="0" fieldPosition="0">
        <references count="5">
          <reference field="0" count="1" selected="0">
            <x v="2"/>
          </reference>
          <reference field="1" count="1" selected="0">
            <x v="53"/>
          </reference>
          <reference field="20" count="1" selected="0">
            <x v="0"/>
          </reference>
          <reference field="21" count="1" selected="0">
            <x v="0"/>
          </reference>
          <reference field="22" count="1">
            <x v="8"/>
          </reference>
        </references>
      </pivotArea>
    </format>
    <format dxfId="1326">
      <pivotArea dataOnly="0" labelOnly="1" outline="0" fieldPosition="0">
        <references count="5">
          <reference field="0" count="1" selected="0">
            <x v="3"/>
          </reference>
          <reference field="1" count="1" selected="0">
            <x v="54"/>
          </reference>
          <reference field="20" count="1" selected="0">
            <x v="0"/>
          </reference>
          <reference field="21" count="1" selected="0">
            <x v="0"/>
          </reference>
          <reference field="22" count="1">
            <x v="0"/>
          </reference>
        </references>
      </pivotArea>
    </format>
    <format dxfId="1325">
      <pivotArea dataOnly="0" labelOnly="1" outline="0" fieldPosition="0">
        <references count="5">
          <reference field="0" count="1" selected="0">
            <x v="2"/>
          </reference>
          <reference field="1" count="1" selected="0">
            <x v="58"/>
          </reference>
          <reference field="20" count="1" selected="0">
            <x v="0"/>
          </reference>
          <reference field="21" count="1" selected="0">
            <x v="0"/>
          </reference>
          <reference field="22" count="1">
            <x v="9"/>
          </reference>
        </references>
      </pivotArea>
    </format>
    <format dxfId="1324">
      <pivotArea dataOnly="0" labelOnly="1" outline="0" fieldPosition="0">
        <references count="5">
          <reference field="0" count="1" selected="0">
            <x v="3"/>
          </reference>
          <reference field="1" count="1" selected="0">
            <x v="59"/>
          </reference>
          <reference field="20" count="1" selected="0">
            <x v="0"/>
          </reference>
          <reference field="21" count="1" selected="0">
            <x v="0"/>
          </reference>
          <reference field="22" count="1">
            <x v="0"/>
          </reference>
        </references>
      </pivotArea>
    </format>
    <format dxfId="1323">
      <pivotArea dataOnly="0" labelOnly="1" outline="0" fieldPosition="0">
        <references count="5">
          <reference field="0" count="1" selected="0">
            <x v="2"/>
          </reference>
          <reference field="1" count="1" selected="0">
            <x v="61"/>
          </reference>
          <reference field="20" count="1" selected="0">
            <x v="0"/>
          </reference>
          <reference field="21" count="1" selected="0">
            <x v="0"/>
          </reference>
          <reference field="22" count="1">
            <x v="16"/>
          </reference>
        </references>
      </pivotArea>
    </format>
    <format dxfId="1322">
      <pivotArea dataOnly="0" labelOnly="1" outline="0" fieldPosition="0">
        <references count="5">
          <reference field="0" count="1" selected="0">
            <x v="3"/>
          </reference>
          <reference field="1" count="1" selected="0">
            <x v="62"/>
          </reference>
          <reference field="20" count="1" selected="0">
            <x v="0"/>
          </reference>
          <reference field="21" count="1" selected="0">
            <x v="0"/>
          </reference>
          <reference field="22" count="1">
            <x v="0"/>
          </reference>
        </references>
      </pivotArea>
    </format>
    <format dxfId="1321">
      <pivotArea dataOnly="0" labelOnly="1" outline="0" fieldPosition="0">
        <references count="5">
          <reference field="0" count="1" selected="0">
            <x v="2"/>
          </reference>
          <reference field="1" count="1" selected="0">
            <x v="68"/>
          </reference>
          <reference field="20" count="1" selected="0">
            <x v="0"/>
          </reference>
          <reference field="21" count="1" selected="0">
            <x v="0"/>
          </reference>
          <reference field="22" count="1">
            <x v="4"/>
          </reference>
        </references>
      </pivotArea>
    </format>
    <format dxfId="1320">
      <pivotArea dataOnly="0" labelOnly="1" outline="0" fieldPosition="0">
        <references count="5">
          <reference field="0" count="1" selected="0">
            <x v="2"/>
          </reference>
          <reference field="1" count="1" selected="0">
            <x v="69"/>
          </reference>
          <reference field="20" count="1" selected="0">
            <x v="0"/>
          </reference>
          <reference field="21" count="1" selected="0">
            <x v="0"/>
          </reference>
          <reference field="22" count="1">
            <x v="25"/>
          </reference>
        </references>
      </pivotArea>
    </format>
    <format dxfId="1319">
      <pivotArea dataOnly="0" labelOnly="1" outline="0" fieldPosition="0">
        <references count="5">
          <reference field="0" count="1" selected="0">
            <x v="3"/>
          </reference>
          <reference field="1" count="1" selected="0">
            <x v="70"/>
          </reference>
          <reference field="20" count="1" selected="0">
            <x v="0"/>
          </reference>
          <reference field="21" count="1" selected="0">
            <x v="0"/>
          </reference>
          <reference field="22" count="1">
            <x v="0"/>
          </reference>
        </references>
      </pivotArea>
    </format>
    <format dxfId="1318">
      <pivotArea dataOnly="0" labelOnly="1" outline="0" fieldPosition="0">
        <references count="5">
          <reference field="0" count="1" selected="0">
            <x v="2"/>
          </reference>
          <reference field="1" count="1" selected="0">
            <x v="79"/>
          </reference>
          <reference field="20" count="1" selected="0">
            <x v="0"/>
          </reference>
          <reference field="21" count="1" selected="0">
            <x v="0"/>
          </reference>
          <reference field="22" count="1">
            <x v="6"/>
          </reference>
        </references>
      </pivotArea>
    </format>
    <format dxfId="1317">
      <pivotArea dataOnly="0" labelOnly="1" outline="0" fieldPosition="0">
        <references count="5">
          <reference field="0" count="1" selected="0">
            <x v="3"/>
          </reference>
          <reference field="1" count="1" selected="0">
            <x v="80"/>
          </reference>
          <reference field="20" count="1" selected="0">
            <x v="0"/>
          </reference>
          <reference field="21" count="1" selected="0">
            <x v="0"/>
          </reference>
          <reference field="22" count="1">
            <x v="0"/>
          </reference>
        </references>
      </pivotArea>
    </format>
    <format dxfId="1316">
      <pivotArea dataOnly="0" labelOnly="1" outline="0" fieldPosition="0">
        <references count="5">
          <reference field="0" count="1" selected="0">
            <x v="2"/>
          </reference>
          <reference field="1" count="1" selected="0">
            <x v="90"/>
          </reference>
          <reference field="20" count="1" selected="0">
            <x v="0"/>
          </reference>
          <reference field="21" count="1" selected="0">
            <x v="0"/>
          </reference>
          <reference field="22" count="1">
            <x v="29"/>
          </reference>
        </references>
      </pivotArea>
    </format>
    <format dxfId="1315">
      <pivotArea dataOnly="0" labelOnly="1" outline="0" fieldPosition="0">
        <references count="5">
          <reference field="0" count="1" selected="0">
            <x v="3"/>
          </reference>
          <reference field="1" count="1" selected="0">
            <x v="91"/>
          </reference>
          <reference field="20" count="1" selected="0">
            <x v="0"/>
          </reference>
          <reference field="21" count="1" selected="0">
            <x v="0"/>
          </reference>
          <reference field="22" count="1">
            <x v="0"/>
          </reference>
        </references>
      </pivotArea>
    </format>
    <format dxfId="1314">
      <pivotArea dataOnly="0" labelOnly="1" outline="0" fieldPosition="0">
        <references count="5">
          <reference field="0" count="1" selected="0">
            <x v="2"/>
          </reference>
          <reference field="1" count="1" selected="0">
            <x v="101"/>
          </reference>
          <reference field="20" count="1" selected="0">
            <x v="0"/>
          </reference>
          <reference field="21" count="1" selected="0">
            <x v="0"/>
          </reference>
          <reference field="22" count="1">
            <x v="10"/>
          </reference>
        </references>
      </pivotArea>
    </format>
    <format dxfId="1313">
      <pivotArea dataOnly="0" labelOnly="1" outline="0" fieldPosition="0">
        <references count="5">
          <reference field="0" count="1" selected="0">
            <x v="3"/>
          </reference>
          <reference field="1" count="1" selected="0">
            <x v="102"/>
          </reference>
          <reference field="20" count="1" selected="0">
            <x v="0"/>
          </reference>
          <reference field="21" count="1" selected="0">
            <x v="0"/>
          </reference>
          <reference field="22" count="1">
            <x v="0"/>
          </reference>
        </references>
      </pivotArea>
    </format>
    <format dxfId="1312">
      <pivotArea dataOnly="0" labelOnly="1" outline="0" fieldPosition="0">
        <references count="5">
          <reference field="0" count="1" selected="0">
            <x v="2"/>
          </reference>
          <reference field="1" count="1" selected="0">
            <x v="111"/>
          </reference>
          <reference field="20" count="1" selected="0">
            <x v="0"/>
          </reference>
          <reference field="21" count="1" selected="0">
            <x v="0"/>
          </reference>
          <reference field="22" count="1">
            <x v="18"/>
          </reference>
        </references>
      </pivotArea>
    </format>
    <format dxfId="1311">
      <pivotArea dataOnly="0" labelOnly="1" outline="0" fieldPosition="0">
        <references count="5">
          <reference field="0" count="1" selected="0">
            <x v="3"/>
          </reference>
          <reference field="1" count="1" selected="0">
            <x v="112"/>
          </reference>
          <reference field="20" count="1" selected="0">
            <x v="0"/>
          </reference>
          <reference field="21" count="1" selected="0">
            <x v="0"/>
          </reference>
          <reference field="22" count="1">
            <x v="0"/>
          </reference>
        </references>
      </pivotArea>
    </format>
    <format dxfId="1310">
      <pivotArea dataOnly="0" labelOnly="1" outline="0" fieldPosition="0">
        <references count="5">
          <reference field="0" count="1" selected="0">
            <x v="2"/>
          </reference>
          <reference field="1" count="1" selected="0">
            <x v="117"/>
          </reference>
          <reference field="20" count="1" selected="0">
            <x v="0"/>
          </reference>
          <reference field="21" count="1" selected="0">
            <x v="0"/>
          </reference>
          <reference field="22" count="1">
            <x v="11"/>
          </reference>
        </references>
      </pivotArea>
    </format>
    <format dxfId="1309">
      <pivotArea dataOnly="0" labelOnly="1" outline="0" fieldPosition="0">
        <references count="5">
          <reference field="0" count="1" selected="0">
            <x v="3"/>
          </reference>
          <reference field="1" count="1" selected="0">
            <x v="118"/>
          </reference>
          <reference field="20" count="1" selected="0">
            <x v="0"/>
          </reference>
          <reference field="21" count="1" selected="0">
            <x v="0"/>
          </reference>
          <reference field="22" count="1">
            <x v="0"/>
          </reference>
        </references>
      </pivotArea>
    </format>
    <format dxfId="1308">
      <pivotArea dataOnly="0" labelOnly="1" outline="0" fieldPosition="0">
        <references count="5">
          <reference field="0" count="1" selected="0">
            <x v="2"/>
          </reference>
          <reference field="1" count="1" selected="0">
            <x v="122"/>
          </reference>
          <reference field="20" count="1" selected="0">
            <x v="0"/>
          </reference>
          <reference field="21" count="1" selected="0">
            <x v="0"/>
          </reference>
          <reference field="22" count="1">
            <x v="20"/>
          </reference>
        </references>
      </pivotArea>
    </format>
    <format dxfId="1307">
      <pivotArea dataOnly="0" labelOnly="1" outline="0" fieldPosition="0">
        <references count="5">
          <reference field="0" count="1" selected="0">
            <x v="3"/>
          </reference>
          <reference field="1" count="1" selected="0">
            <x v="123"/>
          </reference>
          <reference field="20" count="1" selected="0">
            <x v="0"/>
          </reference>
          <reference field="21" count="1" selected="0">
            <x v="0"/>
          </reference>
          <reference field="22" count="1">
            <x v="0"/>
          </reference>
        </references>
      </pivotArea>
    </format>
    <format dxfId="1306">
      <pivotArea dataOnly="0" labelOnly="1" outline="0" fieldPosition="0">
        <references count="5">
          <reference field="0" count="1" selected="0">
            <x v="2"/>
          </reference>
          <reference field="1" count="1" selected="0">
            <x v="129"/>
          </reference>
          <reference field="20" count="1" selected="0">
            <x v="0"/>
          </reference>
          <reference field="21" count="1" selected="0">
            <x v="0"/>
          </reference>
          <reference field="22" count="1">
            <x v="5"/>
          </reference>
        </references>
      </pivotArea>
    </format>
    <format dxfId="1305">
      <pivotArea dataOnly="0" labelOnly="1" outline="0" fieldPosition="0">
        <references count="5">
          <reference field="0" count="1" selected="0">
            <x v="3"/>
          </reference>
          <reference field="1" count="1" selected="0">
            <x v="130"/>
          </reference>
          <reference field="20" count="1" selected="0">
            <x v="0"/>
          </reference>
          <reference field="21" count="1" selected="0">
            <x v="0"/>
          </reference>
          <reference field="22" count="1">
            <x v="0"/>
          </reference>
        </references>
      </pivotArea>
    </format>
    <format dxfId="1304">
      <pivotArea dataOnly="0" labelOnly="1" outline="0" fieldPosition="0">
        <references count="5">
          <reference field="0" count="1" selected="0">
            <x v="2"/>
          </reference>
          <reference field="1" count="1" selected="0">
            <x v="131"/>
          </reference>
          <reference field="20" count="1" selected="0">
            <x v="0"/>
          </reference>
          <reference field="21" count="1" selected="0">
            <x v="0"/>
          </reference>
          <reference field="22" count="1">
            <x v="19"/>
          </reference>
        </references>
      </pivotArea>
    </format>
    <format dxfId="1303">
      <pivotArea dataOnly="0" labelOnly="1" outline="0" fieldPosition="0">
        <references count="5">
          <reference field="0" count="1" selected="0">
            <x v="3"/>
          </reference>
          <reference field="1" count="1" selected="0">
            <x v="132"/>
          </reference>
          <reference field="20" count="1" selected="0">
            <x v="0"/>
          </reference>
          <reference field="21" count="1" selected="0">
            <x v="0"/>
          </reference>
          <reference field="22" count="1">
            <x v="0"/>
          </reference>
        </references>
      </pivotArea>
    </format>
    <format dxfId="1302">
      <pivotArea dataOnly="0" labelOnly="1" outline="0" fieldPosition="0">
        <references count="5">
          <reference field="0" count="1" selected="0">
            <x v="2"/>
          </reference>
          <reference field="1" count="1" selected="0">
            <x v="136"/>
          </reference>
          <reference field="20" count="1" selected="0">
            <x v="0"/>
          </reference>
          <reference field="21" count="1" selected="0">
            <x v="0"/>
          </reference>
          <reference field="22" count="1">
            <x v="1"/>
          </reference>
        </references>
      </pivotArea>
    </format>
    <format dxfId="1301">
      <pivotArea dataOnly="0" labelOnly="1" outline="0" fieldPosition="0">
        <references count="5">
          <reference field="0" count="1" selected="0">
            <x v="3"/>
          </reference>
          <reference field="1" count="1" selected="0">
            <x v="137"/>
          </reference>
          <reference field="20" count="1" selected="0">
            <x v="0"/>
          </reference>
          <reference field="21" count="1" selected="0">
            <x v="0"/>
          </reference>
          <reference field="22" count="1">
            <x v="0"/>
          </reference>
        </references>
      </pivotArea>
    </format>
    <format dxfId="1300">
      <pivotArea dataOnly="0" labelOnly="1" outline="0" fieldPosition="0">
        <references count="5">
          <reference field="0" count="1" selected="0">
            <x v="2"/>
          </reference>
          <reference field="1" count="1" selected="0">
            <x v="140"/>
          </reference>
          <reference field="20" count="1" selected="0">
            <x v="0"/>
          </reference>
          <reference field="21" count="1" selected="0">
            <x v="0"/>
          </reference>
          <reference field="22" count="1">
            <x v="27"/>
          </reference>
        </references>
      </pivotArea>
    </format>
    <format dxfId="1299">
      <pivotArea dataOnly="0" labelOnly="1" outline="0" fieldPosition="0">
        <references count="5">
          <reference field="0" count="1" selected="0">
            <x v="3"/>
          </reference>
          <reference field="1" count="1" selected="0">
            <x v="141"/>
          </reference>
          <reference field="20" count="1" selected="0">
            <x v="0"/>
          </reference>
          <reference field="21" count="1" selected="0">
            <x v="0"/>
          </reference>
          <reference field="22" count="1">
            <x v="0"/>
          </reference>
        </references>
      </pivotArea>
    </format>
    <format dxfId="1298">
      <pivotArea dataOnly="0" labelOnly="1" outline="0" fieldPosition="0">
        <references count="5">
          <reference field="0" count="1" selected="0">
            <x v="2"/>
          </reference>
          <reference field="1" count="1" selected="0">
            <x v="148"/>
          </reference>
          <reference field="20" count="1" selected="0">
            <x v="0"/>
          </reference>
          <reference field="21" count="1" selected="0">
            <x v="0"/>
          </reference>
          <reference field="22" count="1">
            <x v="14"/>
          </reference>
        </references>
      </pivotArea>
    </format>
    <format dxfId="1297">
      <pivotArea dataOnly="0" labelOnly="1" outline="0" fieldPosition="0">
        <references count="5">
          <reference field="0" count="1" selected="0">
            <x v="3"/>
          </reference>
          <reference field="1" count="1" selected="0">
            <x v="149"/>
          </reference>
          <reference field="20" count="1" selected="0">
            <x v="0"/>
          </reference>
          <reference field="21" count="1" selected="0">
            <x v="0"/>
          </reference>
          <reference field="22" count="1">
            <x v="0"/>
          </reference>
        </references>
      </pivotArea>
    </format>
    <format dxfId="1296">
      <pivotArea dataOnly="0" labelOnly="1" outline="0" fieldPosition="0">
        <references count="5">
          <reference field="0" count="1" selected="0">
            <x v="2"/>
          </reference>
          <reference field="1" count="1" selected="0">
            <x v="152"/>
          </reference>
          <reference field="20" count="1" selected="0">
            <x v="0"/>
          </reference>
          <reference field="21" count="1" selected="0">
            <x v="0"/>
          </reference>
          <reference field="22" count="1">
            <x v="24"/>
          </reference>
        </references>
      </pivotArea>
    </format>
    <format dxfId="1295">
      <pivotArea dataOnly="0" labelOnly="1" outline="0" fieldPosition="0">
        <references count="5">
          <reference field="0" count="1" selected="0">
            <x v="3"/>
          </reference>
          <reference field="1" count="1" selected="0">
            <x v="153"/>
          </reference>
          <reference field="20" count="1" selected="0">
            <x v="0"/>
          </reference>
          <reference field="21" count="1" selected="0">
            <x v="0"/>
          </reference>
          <reference field="22" count="1">
            <x v="0"/>
          </reference>
        </references>
      </pivotArea>
    </format>
    <format dxfId="1294">
      <pivotArea dataOnly="0" labelOnly="1" outline="0" fieldPosition="0">
        <references count="5">
          <reference field="0" count="1" selected="0">
            <x v="2"/>
          </reference>
          <reference field="1" count="1" selected="0">
            <x v="160"/>
          </reference>
          <reference field="20" count="1" selected="0">
            <x v="0"/>
          </reference>
          <reference field="21" count="1" selected="0">
            <x v="0"/>
          </reference>
          <reference field="22" count="1">
            <x v="26"/>
          </reference>
        </references>
      </pivotArea>
    </format>
    <format dxfId="1293">
      <pivotArea dataOnly="0" labelOnly="1" outline="0" fieldPosition="0">
        <references count="5">
          <reference field="0" count="1" selected="0">
            <x v="3"/>
          </reference>
          <reference field="1" count="1" selected="0">
            <x v="161"/>
          </reference>
          <reference field="20" count="1" selected="0">
            <x v="0"/>
          </reference>
          <reference field="21" count="1" selected="0">
            <x v="0"/>
          </reference>
          <reference field="22" count="1">
            <x v="0"/>
          </reference>
        </references>
      </pivotArea>
    </format>
    <format dxfId="1292">
      <pivotArea dataOnly="0" labelOnly="1" outline="0" fieldPosition="0">
        <references count="5">
          <reference field="0" count="1" selected="0">
            <x v="2"/>
          </reference>
          <reference field="1" count="1" selected="0">
            <x v="164"/>
          </reference>
          <reference field="20" count="1" selected="0">
            <x v="0"/>
          </reference>
          <reference field="21" count="1" selected="0">
            <x v="0"/>
          </reference>
          <reference field="22" count="1">
            <x v="23"/>
          </reference>
        </references>
      </pivotArea>
    </format>
    <format dxfId="1291">
      <pivotArea dataOnly="0" labelOnly="1" outline="0" fieldPosition="0">
        <references count="5">
          <reference field="0" count="1" selected="0">
            <x v="3"/>
          </reference>
          <reference field="1" count="1" selected="0">
            <x v="165"/>
          </reference>
          <reference field="20" count="1" selected="0">
            <x v="0"/>
          </reference>
          <reference field="21" count="1" selected="0">
            <x v="0"/>
          </reference>
          <reference field="22" count="1">
            <x v="0"/>
          </reference>
        </references>
      </pivotArea>
    </format>
    <format dxfId="1290">
      <pivotArea dataOnly="0" labelOnly="1" outline="0" fieldPosition="0">
        <references count="5">
          <reference field="0" count="1" selected="0">
            <x v="2"/>
          </reference>
          <reference field="1" count="1" selected="0">
            <x v="170"/>
          </reference>
          <reference field="20" count="1" selected="0">
            <x v="0"/>
          </reference>
          <reference field="21" count="1" selected="0">
            <x v="0"/>
          </reference>
          <reference field="22" count="1">
            <x v="22"/>
          </reference>
        </references>
      </pivotArea>
    </format>
    <format dxfId="1289">
      <pivotArea dataOnly="0" labelOnly="1" outline="0" fieldPosition="0">
        <references count="6">
          <reference field="0" count="1" selected="0">
            <x v="0"/>
          </reference>
          <reference field="1" count="1" selected="0">
            <x v="0"/>
          </reference>
          <reference field="20" count="1" selected="0">
            <x v="9"/>
          </reference>
          <reference field="21" count="1" selected="0">
            <x v="0"/>
          </reference>
          <reference field="22" count="1" selected="0">
            <x v="0"/>
          </reference>
          <reference field="23" count="1">
            <x v="0"/>
          </reference>
        </references>
      </pivotArea>
    </format>
    <format dxfId="1288">
      <pivotArea dataOnly="0" labelOnly="1" outline="0" fieldPosition="0">
        <references count="6">
          <reference field="0" count="1" selected="0">
            <x v="3"/>
          </reference>
          <reference field="1" count="1" selected="0">
            <x v="6"/>
          </reference>
          <reference field="20" count="1" selected="0">
            <x v="0"/>
          </reference>
          <reference field="21" count="1" selected="0">
            <x v="0"/>
          </reference>
          <reference field="22" count="1" selected="0">
            <x v="0"/>
          </reference>
          <reference field="23" count="1">
            <x v="106"/>
          </reference>
        </references>
      </pivotArea>
    </format>
    <format dxfId="1287">
      <pivotArea dataOnly="0" labelOnly="1" outline="0" fieldPosition="0">
        <references count="6">
          <reference field="0" count="1" selected="0">
            <x v="3"/>
          </reference>
          <reference field="1" count="1" selected="0">
            <x v="7"/>
          </reference>
          <reference field="20" count="1" selected="0">
            <x v="0"/>
          </reference>
          <reference field="21" count="1" selected="0">
            <x v="0"/>
          </reference>
          <reference field="22" count="1" selected="0">
            <x v="0"/>
          </reference>
          <reference field="23" count="1">
            <x v="71"/>
          </reference>
        </references>
      </pivotArea>
    </format>
    <format dxfId="1286">
      <pivotArea dataOnly="0" labelOnly="1" outline="0" fieldPosition="0">
        <references count="6">
          <reference field="0" count="1" selected="0">
            <x v="3"/>
          </reference>
          <reference field="1" count="1" selected="0">
            <x v="8"/>
          </reference>
          <reference field="20" count="1" selected="0">
            <x v="0"/>
          </reference>
          <reference field="21" count="1" selected="0">
            <x v="0"/>
          </reference>
          <reference field="22" count="1" selected="0">
            <x v="0"/>
          </reference>
          <reference field="23" count="1">
            <x v="40"/>
          </reference>
        </references>
      </pivotArea>
    </format>
    <format dxfId="1285">
      <pivotArea dataOnly="0" labelOnly="1" outline="0" fieldPosition="0">
        <references count="6">
          <reference field="0" count="1" selected="0">
            <x v="1"/>
          </reference>
          <reference field="1" count="1" selected="0">
            <x v="9"/>
          </reference>
          <reference field="20" count="1" selected="0">
            <x v="0"/>
          </reference>
          <reference field="21" count="1" selected="0">
            <x v="2"/>
          </reference>
          <reference field="22" count="1" selected="0">
            <x v="0"/>
          </reference>
          <reference field="23" count="1">
            <x v="0"/>
          </reference>
        </references>
      </pivotArea>
    </format>
    <format dxfId="1284">
      <pivotArea dataOnly="0" labelOnly="1" outline="0" fieldPosition="0">
        <references count="6">
          <reference field="0" count="1" selected="0">
            <x v="3"/>
          </reference>
          <reference field="1" count="1" selected="0">
            <x v="11"/>
          </reference>
          <reference field="20" count="1" selected="0">
            <x v="0"/>
          </reference>
          <reference field="21" count="1" selected="0">
            <x v="0"/>
          </reference>
          <reference field="22" count="1" selected="0">
            <x v="0"/>
          </reference>
          <reference field="23" count="1">
            <x v="23"/>
          </reference>
        </references>
      </pivotArea>
    </format>
    <format dxfId="1283">
      <pivotArea dataOnly="0" labelOnly="1" outline="0" fieldPosition="0">
        <references count="6">
          <reference field="0" count="1" selected="0">
            <x v="3"/>
          </reference>
          <reference field="1" count="1" selected="0">
            <x v="12"/>
          </reference>
          <reference field="20" count="1" selected="0">
            <x v="0"/>
          </reference>
          <reference field="21" count="1" selected="0">
            <x v="0"/>
          </reference>
          <reference field="22" count="1" selected="0">
            <x v="0"/>
          </reference>
          <reference field="23" count="1">
            <x v="93"/>
          </reference>
        </references>
      </pivotArea>
    </format>
    <format dxfId="1282">
      <pivotArea dataOnly="0" labelOnly="1" outline="0" fieldPosition="0">
        <references count="6">
          <reference field="0" count="1" selected="0">
            <x v="3"/>
          </reference>
          <reference field="1" count="1" selected="0">
            <x v="13"/>
          </reference>
          <reference field="20" count="1" selected="0">
            <x v="0"/>
          </reference>
          <reference field="21" count="1" selected="0">
            <x v="0"/>
          </reference>
          <reference field="22" count="1" selected="0">
            <x v="0"/>
          </reference>
          <reference field="23" count="1">
            <x v="25"/>
          </reference>
        </references>
      </pivotArea>
    </format>
    <format dxfId="1281">
      <pivotArea dataOnly="0" labelOnly="1" outline="0" fieldPosition="0">
        <references count="6">
          <reference field="0" count="1" selected="0">
            <x v="1"/>
          </reference>
          <reference field="1" count="1" selected="0">
            <x v="14"/>
          </reference>
          <reference field="20" count="1" selected="0">
            <x v="0"/>
          </reference>
          <reference field="21" count="1" selected="0">
            <x v="10"/>
          </reference>
          <reference field="22" count="1" selected="0">
            <x v="0"/>
          </reference>
          <reference field="23" count="1">
            <x v="0"/>
          </reference>
        </references>
      </pivotArea>
    </format>
    <format dxfId="1280">
      <pivotArea dataOnly="0" labelOnly="1" outline="0" fieldPosition="0">
        <references count="6">
          <reference field="0" count="1" selected="0">
            <x v="3"/>
          </reference>
          <reference field="1" count="1" selected="0">
            <x v="16"/>
          </reference>
          <reference field="20" count="1" selected="0">
            <x v="0"/>
          </reference>
          <reference field="21" count="1" selected="0">
            <x v="0"/>
          </reference>
          <reference field="22" count="1" selected="0">
            <x v="0"/>
          </reference>
          <reference field="23" count="1">
            <x v="15"/>
          </reference>
        </references>
      </pivotArea>
    </format>
    <format dxfId="1279">
      <pivotArea dataOnly="0" labelOnly="1" outline="0" fieldPosition="0">
        <references count="6">
          <reference field="0" count="1" selected="0">
            <x v="3"/>
          </reference>
          <reference field="1" count="1" selected="0">
            <x v="17"/>
          </reference>
          <reference field="20" count="1" selected="0">
            <x v="0"/>
          </reference>
          <reference field="21" count="1" selected="0">
            <x v="0"/>
          </reference>
          <reference field="22" count="1" selected="0">
            <x v="0"/>
          </reference>
          <reference field="23" count="1">
            <x v="21"/>
          </reference>
        </references>
      </pivotArea>
    </format>
    <format dxfId="1278">
      <pivotArea dataOnly="0" labelOnly="1" outline="0" fieldPosition="0">
        <references count="6">
          <reference field="0" count="1" selected="0">
            <x v="3"/>
          </reference>
          <reference field="1" count="1" selected="0">
            <x v="18"/>
          </reference>
          <reference field="20" count="1" selected="0">
            <x v="0"/>
          </reference>
          <reference field="21" count="1" selected="0">
            <x v="0"/>
          </reference>
          <reference field="22" count="1" selected="0">
            <x v="0"/>
          </reference>
          <reference field="23" count="1">
            <x v="20"/>
          </reference>
        </references>
      </pivotArea>
    </format>
    <format dxfId="1277">
      <pivotArea dataOnly="0" labelOnly="1" outline="0" fieldPosition="0">
        <references count="6">
          <reference field="0" count="1" selected="0">
            <x v="2"/>
          </reference>
          <reference field="1" count="1" selected="0">
            <x v="19"/>
          </reference>
          <reference field="20" count="1" selected="0">
            <x v="0"/>
          </reference>
          <reference field="21" count="1" selected="0">
            <x v="0"/>
          </reference>
          <reference field="22" count="1" selected="0">
            <x v="28"/>
          </reference>
          <reference field="23" count="1">
            <x v="0"/>
          </reference>
        </references>
      </pivotArea>
    </format>
    <format dxfId="1276">
      <pivotArea dataOnly="0" labelOnly="1" outline="0" fieldPosition="0">
        <references count="6">
          <reference field="0" count="1" selected="0">
            <x v="3"/>
          </reference>
          <reference field="1" count="1" selected="0">
            <x v="20"/>
          </reference>
          <reference field="20" count="1" selected="0">
            <x v="0"/>
          </reference>
          <reference field="21" count="1" selected="0">
            <x v="0"/>
          </reference>
          <reference field="22" count="1" selected="0">
            <x v="0"/>
          </reference>
          <reference field="23" count="1">
            <x v="100"/>
          </reference>
        </references>
      </pivotArea>
    </format>
    <format dxfId="1275">
      <pivotArea dataOnly="0" labelOnly="1" outline="0" fieldPosition="0">
        <references count="6">
          <reference field="0" count="1" selected="0">
            <x v="2"/>
          </reference>
          <reference field="1" count="1" selected="0">
            <x v="21"/>
          </reference>
          <reference field="20" count="1" selected="0">
            <x v="0"/>
          </reference>
          <reference field="21" count="1" selected="0">
            <x v="0"/>
          </reference>
          <reference field="22" count="1" selected="0">
            <x v="21"/>
          </reference>
          <reference field="23" count="1">
            <x v="0"/>
          </reference>
        </references>
      </pivotArea>
    </format>
    <format dxfId="1274">
      <pivotArea dataOnly="0" labelOnly="1" outline="0" fieldPosition="0">
        <references count="6">
          <reference field="0" count="1" selected="0">
            <x v="3"/>
          </reference>
          <reference field="1" count="1" selected="0">
            <x v="22"/>
          </reference>
          <reference field="20" count="1" selected="0">
            <x v="0"/>
          </reference>
          <reference field="21" count="1" selected="0">
            <x v="0"/>
          </reference>
          <reference field="22" count="1" selected="0">
            <x v="0"/>
          </reference>
          <reference field="23" count="1">
            <x v="103"/>
          </reference>
        </references>
      </pivotArea>
    </format>
    <format dxfId="1273">
      <pivotArea dataOnly="0" labelOnly="1" outline="0" fieldPosition="0">
        <references count="6">
          <reference field="0" count="1" selected="0">
            <x v="3"/>
          </reference>
          <reference field="1" count="1" selected="0">
            <x v="23"/>
          </reference>
          <reference field="20" count="1" selected="0">
            <x v="0"/>
          </reference>
          <reference field="21" count="1" selected="0">
            <x v="0"/>
          </reference>
          <reference field="22" count="1" selected="0">
            <x v="0"/>
          </reference>
          <reference field="23" count="1">
            <x v="98"/>
          </reference>
        </references>
      </pivotArea>
    </format>
    <format dxfId="1272">
      <pivotArea dataOnly="0" labelOnly="1" outline="0" fieldPosition="0">
        <references count="6">
          <reference field="0" count="1" selected="0">
            <x v="1"/>
          </reference>
          <reference field="1" count="1" selected="0">
            <x v="24"/>
          </reference>
          <reference field="20" count="1" selected="0">
            <x v="0"/>
          </reference>
          <reference field="21" count="1" selected="0">
            <x v="9"/>
          </reference>
          <reference field="22" count="1" selected="0">
            <x v="0"/>
          </reference>
          <reference field="23" count="1">
            <x v="0"/>
          </reference>
        </references>
      </pivotArea>
    </format>
    <format dxfId="1271">
      <pivotArea dataOnly="0" labelOnly="1" outline="0" fieldPosition="0">
        <references count="6">
          <reference field="0" count="1" selected="0">
            <x v="3"/>
          </reference>
          <reference field="1" count="1" selected="0">
            <x v="26"/>
          </reference>
          <reference field="20" count="1" selected="0">
            <x v="0"/>
          </reference>
          <reference field="21" count="1" selected="0">
            <x v="0"/>
          </reference>
          <reference field="22" count="1" selected="0">
            <x v="0"/>
          </reference>
          <reference field="23" count="1">
            <x v="66"/>
          </reference>
        </references>
      </pivotArea>
    </format>
    <format dxfId="1270">
      <pivotArea dataOnly="0" labelOnly="1" outline="0" fieldPosition="0">
        <references count="6">
          <reference field="0" count="1" selected="0">
            <x v="3"/>
          </reference>
          <reference field="1" count="1" selected="0">
            <x v="27"/>
          </reference>
          <reference field="20" count="1" selected="0">
            <x v="0"/>
          </reference>
          <reference field="21" count="1" selected="0">
            <x v="0"/>
          </reference>
          <reference field="22" count="1" selected="0">
            <x v="0"/>
          </reference>
          <reference field="23" count="1">
            <x v="39"/>
          </reference>
        </references>
      </pivotArea>
    </format>
    <format dxfId="1269">
      <pivotArea dataOnly="0" labelOnly="1" outline="0" fieldPosition="0">
        <references count="6">
          <reference field="0" count="1" selected="0">
            <x v="3"/>
          </reference>
          <reference field="1" count="1" selected="0">
            <x v="28"/>
          </reference>
          <reference field="20" count="1" selected="0">
            <x v="0"/>
          </reference>
          <reference field="21" count="1" selected="0">
            <x v="0"/>
          </reference>
          <reference field="22" count="1" selected="0">
            <x v="0"/>
          </reference>
          <reference field="23" count="1">
            <x v="26"/>
          </reference>
        </references>
      </pivotArea>
    </format>
    <format dxfId="1268">
      <pivotArea dataOnly="0" labelOnly="1" outline="0" fieldPosition="0">
        <references count="6">
          <reference field="0" count="1" selected="0">
            <x v="1"/>
          </reference>
          <reference field="1" count="1" selected="0">
            <x v="29"/>
          </reference>
          <reference field="20" count="1" selected="0">
            <x v="0"/>
          </reference>
          <reference field="21" count="1" selected="0">
            <x v="17"/>
          </reference>
          <reference field="22" count="1" selected="0">
            <x v="0"/>
          </reference>
          <reference field="23" count="1">
            <x v="0"/>
          </reference>
        </references>
      </pivotArea>
    </format>
    <format dxfId="1267">
      <pivotArea dataOnly="0" labelOnly="1" outline="0" fieldPosition="0">
        <references count="6">
          <reference field="0" count="1" selected="0">
            <x v="3"/>
          </reference>
          <reference field="1" count="1" selected="0">
            <x v="31"/>
          </reference>
          <reference field="20" count="1" selected="0">
            <x v="0"/>
          </reference>
          <reference field="21" count="1" selected="0">
            <x v="0"/>
          </reference>
          <reference field="22" count="1" selected="0">
            <x v="0"/>
          </reference>
          <reference field="23" count="1">
            <x v="87"/>
          </reference>
        </references>
      </pivotArea>
    </format>
    <format dxfId="1266">
      <pivotArea dataOnly="0" labelOnly="1" outline="0" fieldPosition="0">
        <references count="6">
          <reference field="0" count="1" selected="0">
            <x v="3"/>
          </reference>
          <reference field="1" count="1" selected="0">
            <x v="32"/>
          </reference>
          <reference field="20" count="1" selected="0">
            <x v="0"/>
          </reference>
          <reference field="21" count="1" selected="0">
            <x v="0"/>
          </reference>
          <reference field="22" count="1" selected="0">
            <x v="0"/>
          </reference>
          <reference field="23" count="1">
            <x v="72"/>
          </reference>
        </references>
      </pivotArea>
    </format>
    <format dxfId="1265">
      <pivotArea dataOnly="0" labelOnly="1" outline="0" fieldPosition="0">
        <references count="6">
          <reference field="0" count="1" selected="0">
            <x v="3"/>
          </reference>
          <reference field="1" count="1" selected="0">
            <x v="33"/>
          </reference>
          <reference field="20" count="1" selected="0">
            <x v="0"/>
          </reference>
          <reference field="21" count="1" selected="0">
            <x v="0"/>
          </reference>
          <reference field="22" count="1" selected="0">
            <x v="0"/>
          </reference>
          <reference field="23" count="1">
            <x v="76"/>
          </reference>
        </references>
      </pivotArea>
    </format>
    <format dxfId="1264">
      <pivotArea dataOnly="0" labelOnly="1" outline="0" fieldPosition="0">
        <references count="6">
          <reference field="0" count="1" selected="0">
            <x v="3"/>
          </reference>
          <reference field="1" count="1" selected="0">
            <x v="34"/>
          </reference>
          <reference field="20" count="1" selected="0">
            <x v="0"/>
          </reference>
          <reference field="21" count="1" selected="0">
            <x v="0"/>
          </reference>
          <reference field="22" count="1" selected="0">
            <x v="0"/>
          </reference>
          <reference field="23" count="1">
            <x v="73"/>
          </reference>
        </references>
      </pivotArea>
    </format>
    <format dxfId="1263">
      <pivotArea dataOnly="0" labelOnly="1" outline="0" fieldPosition="0">
        <references count="6">
          <reference field="0" count="1" selected="0">
            <x v="3"/>
          </reference>
          <reference field="1" count="1" selected="0">
            <x v="35"/>
          </reference>
          <reference field="20" count="1" selected="0">
            <x v="0"/>
          </reference>
          <reference field="21" count="1" selected="0">
            <x v="0"/>
          </reference>
          <reference field="22" count="1" selected="0">
            <x v="0"/>
          </reference>
          <reference field="23" count="1">
            <x v="76"/>
          </reference>
        </references>
      </pivotArea>
    </format>
    <format dxfId="1262">
      <pivotArea dataOnly="0" labelOnly="1" outline="0" fieldPosition="0">
        <references count="6">
          <reference field="0" count="1" selected="0">
            <x v="3"/>
          </reference>
          <reference field="1" count="1" selected="0">
            <x v="36"/>
          </reference>
          <reference field="20" count="1" selected="0">
            <x v="0"/>
          </reference>
          <reference field="21" count="1" selected="0">
            <x v="0"/>
          </reference>
          <reference field="22" count="1" selected="0">
            <x v="0"/>
          </reference>
          <reference field="23" count="1">
            <x v="75"/>
          </reference>
        </references>
      </pivotArea>
    </format>
    <format dxfId="1261">
      <pivotArea dataOnly="0" labelOnly="1" outline="0" fieldPosition="0">
        <references count="6">
          <reference field="0" count="1" selected="0">
            <x v="3"/>
          </reference>
          <reference field="1" count="1" selected="0">
            <x v="37"/>
          </reference>
          <reference field="20" count="1" selected="0">
            <x v="0"/>
          </reference>
          <reference field="21" count="1" selected="0">
            <x v="0"/>
          </reference>
          <reference field="22" count="1" selected="0">
            <x v="0"/>
          </reference>
          <reference field="23" count="1">
            <x v="76"/>
          </reference>
        </references>
      </pivotArea>
    </format>
    <format dxfId="1260">
      <pivotArea dataOnly="0" labelOnly="1" outline="0" fieldPosition="0">
        <references count="6">
          <reference field="0" count="1" selected="0">
            <x v="3"/>
          </reference>
          <reference field="1" count="1" selected="0">
            <x v="38"/>
          </reference>
          <reference field="20" count="1" selected="0">
            <x v="0"/>
          </reference>
          <reference field="21" count="1" selected="0">
            <x v="0"/>
          </reference>
          <reference field="22" count="1" selected="0">
            <x v="0"/>
          </reference>
          <reference field="23" count="1">
            <x v="74"/>
          </reference>
        </references>
      </pivotArea>
    </format>
    <format dxfId="1259">
      <pivotArea dataOnly="0" labelOnly="1" outline="0" fieldPosition="0">
        <references count="6">
          <reference field="0" count="1" selected="0">
            <x v="3"/>
          </reference>
          <reference field="1" count="1" selected="0">
            <x v="39"/>
          </reference>
          <reference field="20" count="1" selected="0">
            <x v="0"/>
          </reference>
          <reference field="21" count="1" selected="0">
            <x v="0"/>
          </reference>
          <reference field="22" count="1" selected="0">
            <x v="0"/>
          </reference>
          <reference field="23" count="1">
            <x v="76"/>
          </reference>
        </references>
      </pivotArea>
    </format>
    <format dxfId="1258">
      <pivotArea dataOnly="0" labelOnly="1" outline="0" fieldPosition="0">
        <references count="6">
          <reference field="0" count="1" selected="0">
            <x v="3"/>
          </reference>
          <reference field="1" count="1" selected="0">
            <x v="40"/>
          </reference>
          <reference field="20" count="1" selected="0">
            <x v="0"/>
          </reference>
          <reference field="21" count="1" selected="0">
            <x v="0"/>
          </reference>
          <reference field="22" count="1" selected="0">
            <x v="0"/>
          </reference>
          <reference field="23" count="1">
            <x v="14"/>
          </reference>
        </references>
      </pivotArea>
    </format>
    <format dxfId="1257">
      <pivotArea dataOnly="0" labelOnly="1" outline="0" fieldPosition="0">
        <references count="6">
          <reference field="0" count="1" selected="0">
            <x v="1"/>
          </reference>
          <reference field="1" count="1" selected="0">
            <x v="41"/>
          </reference>
          <reference field="20" count="1" selected="0">
            <x v="0"/>
          </reference>
          <reference field="21" count="1" selected="0">
            <x v="8"/>
          </reference>
          <reference field="22" count="1" selected="0">
            <x v="0"/>
          </reference>
          <reference field="23" count="1">
            <x v="0"/>
          </reference>
        </references>
      </pivotArea>
    </format>
    <format dxfId="1256">
      <pivotArea dataOnly="0" labelOnly="1" outline="0" fieldPosition="0">
        <references count="6">
          <reference field="0" count="1" selected="0">
            <x v="3"/>
          </reference>
          <reference field="1" count="1" selected="0">
            <x v="42"/>
          </reference>
          <reference field="20" count="1" selected="0">
            <x v="0"/>
          </reference>
          <reference field="21" count="1" selected="0">
            <x v="0"/>
          </reference>
          <reference field="22" count="1" selected="0">
            <x v="0"/>
          </reference>
          <reference field="23" count="1">
            <x v="104"/>
          </reference>
        </references>
      </pivotArea>
    </format>
    <format dxfId="1255">
      <pivotArea dataOnly="0" labelOnly="1" outline="0" fieldPosition="0">
        <references count="6">
          <reference field="0" count="1" selected="0">
            <x v="1"/>
          </reference>
          <reference field="1" count="1" selected="0">
            <x v="43"/>
          </reference>
          <reference field="20" count="1" selected="0">
            <x v="0"/>
          </reference>
          <reference field="21" count="1" selected="0">
            <x v="16"/>
          </reference>
          <reference field="22" count="1" selected="0">
            <x v="0"/>
          </reference>
          <reference field="23" count="1">
            <x v="0"/>
          </reference>
        </references>
      </pivotArea>
    </format>
    <format dxfId="1254">
      <pivotArea dataOnly="0" labelOnly="1" outline="0" fieldPosition="0">
        <references count="6">
          <reference field="0" count="1" selected="0">
            <x v="3"/>
          </reference>
          <reference field="1" count="1" selected="0">
            <x v="44"/>
          </reference>
          <reference field="20" count="1" selected="0">
            <x v="0"/>
          </reference>
          <reference field="21" count="1" selected="0">
            <x v="0"/>
          </reference>
          <reference field="22" count="1" selected="0">
            <x v="0"/>
          </reference>
          <reference field="23" count="1">
            <x v="63"/>
          </reference>
        </references>
      </pivotArea>
    </format>
    <format dxfId="1253">
      <pivotArea dataOnly="0" labelOnly="1" outline="0" fieldPosition="0">
        <references count="6">
          <reference field="0" count="1" selected="0">
            <x v="3"/>
          </reference>
          <reference field="1" count="1" selected="0">
            <x v="45"/>
          </reference>
          <reference field="20" count="1" selected="0">
            <x v="0"/>
          </reference>
          <reference field="21" count="1" selected="0">
            <x v="0"/>
          </reference>
          <reference field="22" count="1" selected="0">
            <x v="0"/>
          </reference>
          <reference field="23" count="1">
            <x v="46"/>
          </reference>
        </references>
      </pivotArea>
    </format>
    <format dxfId="1252">
      <pivotArea dataOnly="0" labelOnly="1" outline="0" fieldPosition="0">
        <references count="6">
          <reference field="0" count="1" selected="0">
            <x v="3"/>
          </reference>
          <reference field="1" count="1" selected="0">
            <x v="46"/>
          </reference>
          <reference field="20" count="1" selected="0">
            <x v="0"/>
          </reference>
          <reference field="21" count="1" selected="0">
            <x v="0"/>
          </reference>
          <reference field="22" count="1" selected="0">
            <x v="0"/>
          </reference>
          <reference field="23" count="1">
            <x v="42"/>
          </reference>
        </references>
      </pivotArea>
    </format>
    <format dxfId="1251">
      <pivotArea dataOnly="0" labelOnly="1" outline="0" fieldPosition="0">
        <references count="6">
          <reference field="0" count="1" selected="0">
            <x v="3"/>
          </reference>
          <reference field="1" count="1" selected="0">
            <x v="47"/>
          </reference>
          <reference field="20" count="1" selected="0">
            <x v="0"/>
          </reference>
          <reference field="21" count="1" selected="0">
            <x v="0"/>
          </reference>
          <reference field="22" count="1" selected="0">
            <x v="0"/>
          </reference>
          <reference field="23" count="1">
            <x v="44"/>
          </reference>
        </references>
      </pivotArea>
    </format>
    <format dxfId="1250">
      <pivotArea dataOnly="0" labelOnly="1" outline="0" fieldPosition="0">
        <references count="6">
          <reference field="0" count="1" selected="0">
            <x v="0"/>
          </reference>
          <reference field="1" count="1" selected="0">
            <x v="48"/>
          </reference>
          <reference field="20" count="1" selected="0">
            <x v="4"/>
          </reference>
          <reference field="21" count="1" selected="0">
            <x v="0"/>
          </reference>
          <reference field="22" count="1" selected="0">
            <x v="0"/>
          </reference>
          <reference field="23" count="1">
            <x v="0"/>
          </reference>
        </references>
      </pivotArea>
    </format>
    <format dxfId="1249">
      <pivotArea dataOnly="0" labelOnly="1" outline="0" fieldPosition="0">
        <references count="6">
          <reference field="0" count="1" selected="0">
            <x v="3"/>
          </reference>
          <reference field="1" count="1" selected="0">
            <x v="51"/>
          </reference>
          <reference field="20" count="1" selected="0">
            <x v="0"/>
          </reference>
          <reference field="21" count="1" selected="0">
            <x v="0"/>
          </reference>
          <reference field="22" count="1" selected="0">
            <x v="0"/>
          </reference>
          <reference field="23" count="1">
            <x v="19"/>
          </reference>
        </references>
      </pivotArea>
    </format>
    <format dxfId="1248">
      <pivotArea dataOnly="0" labelOnly="1" outline="0" fieldPosition="0">
        <references count="6">
          <reference field="0" count="1" selected="0">
            <x v="1"/>
          </reference>
          <reference field="1" count="1" selected="0">
            <x v="52"/>
          </reference>
          <reference field="20" count="1" selected="0">
            <x v="0"/>
          </reference>
          <reference field="21" count="1" selected="0">
            <x v="13"/>
          </reference>
          <reference field="22" count="1" selected="0">
            <x v="0"/>
          </reference>
          <reference field="23" count="1">
            <x v="0"/>
          </reference>
        </references>
      </pivotArea>
    </format>
    <format dxfId="1247">
      <pivotArea dataOnly="0" labelOnly="1" outline="0" fieldPosition="0">
        <references count="6">
          <reference field="0" count="1" selected="0">
            <x v="3"/>
          </reference>
          <reference field="1" count="1" selected="0">
            <x v="54"/>
          </reference>
          <reference field="20" count="1" selected="0">
            <x v="0"/>
          </reference>
          <reference field="21" count="1" selected="0">
            <x v="0"/>
          </reference>
          <reference field="22" count="1" selected="0">
            <x v="0"/>
          </reference>
          <reference field="23" count="1">
            <x v="32"/>
          </reference>
        </references>
      </pivotArea>
    </format>
    <format dxfId="1246">
      <pivotArea dataOnly="0" labelOnly="1" outline="0" fieldPosition="0">
        <references count="6">
          <reference field="0" count="1" selected="0">
            <x v="3"/>
          </reference>
          <reference field="1" count="1" selected="0">
            <x v="55"/>
          </reference>
          <reference field="20" count="1" selected="0">
            <x v="0"/>
          </reference>
          <reference field="21" count="1" selected="0">
            <x v="0"/>
          </reference>
          <reference field="22" count="1" selected="0">
            <x v="0"/>
          </reference>
          <reference field="23" count="1">
            <x v="53"/>
          </reference>
        </references>
      </pivotArea>
    </format>
    <format dxfId="1245">
      <pivotArea dataOnly="0" labelOnly="1" outline="0" fieldPosition="0">
        <references count="6">
          <reference field="0" count="1" selected="0">
            <x v="3"/>
          </reference>
          <reference field="1" count="1" selected="0">
            <x v="56"/>
          </reference>
          <reference field="20" count="1" selected="0">
            <x v="0"/>
          </reference>
          <reference field="21" count="1" selected="0">
            <x v="0"/>
          </reference>
          <reference field="22" count="1" selected="0">
            <x v="0"/>
          </reference>
          <reference field="23" count="1">
            <x v="81"/>
          </reference>
        </references>
      </pivotArea>
    </format>
    <format dxfId="1244">
      <pivotArea dataOnly="0" labelOnly="1" outline="0" fieldPosition="0">
        <references count="6">
          <reference field="0" count="1" selected="0">
            <x v="1"/>
          </reference>
          <reference field="1" count="1" selected="0">
            <x v="57"/>
          </reference>
          <reference field="20" count="1" selected="0">
            <x v="0"/>
          </reference>
          <reference field="21" count="1" selected="0">
            <x v="3"/>
          </reference>
          <reference field="22" count="1" selected="0">
            <x v="0"/>
          </reference>
          <reference field="23" count="1">
            <x v="0"/>
          </reference>
        </references>
      </pivotArea>
    </format>
    <format dxfId="1243">
      <pivotArea dataOnly="0" labelOnly="1" outline="0" fieldPosition="0">
        <references count="6">
          <reference field="0" count="1" selected="0">
            <x v="3"/>
          </reference>
          <reference field="1" count="1" selected="0">
            <x v="59"/>
          </reference>
          <reference field="20" count="1" selected="0">
            <x v="0"/>
          </reference>
          <reference field="21" count="1" selected="0">
            <x v="0"/>
          </reference>
          <reference field="22" count="1" selected="0">
            <x v="0"/>
          </reference>
          <reference field="23" count="1">
            <x v="107"/>
          </reference>
        </references>
      </pivotArea>
    </format>
    <format dxfId="1242">
      <pivotArea dataOnly="0" labelOnly="1" outline="0" fieldPosition="0">
        <references count="6">
          <reference field="0" count="1" selected="0">
            <x v="3"/>
          </reference>
          <reference field="1" count="1" selected="0">
            <x v="60"/>
          </reference>
          <reference field="20" count="1" selected="0">
            <x v="0"/>
          </reference>
          <reference field="21" count="1" selected="0">
            <x v="0"/>
          </reference>
          <reference field="22" count="1" selected="0">
            <x v="0"/>
          </reference>
          <reference field="23" count="1">
            <x v="108"/>
          </reference>
        </references>
      </pivotArea>
    </format>
    <format dxfId="1241">
      <pivotArea dataOnly="0" labelOnly="1" outline="0" fieldPosition="0">
        <references count="6">
          <reference field="0" count="1" selected="0">
            <x v="2"/>
          </reference>
          <reference field="1" count="1" selected="0">
            <x v="61"/>
          </reference>
          <reference field="20" count="1" selected="0">
            <x v="0"/>
          </reference>
          <reference field="21" count="1" selected="0">
            <x v="0"/>
          </reference>
          <reference field="22" count="1" selected="0">
            <x v="16"/>
          </reference>
          <reference field="23" count="1">
            <x v="0"/>
          </reference>
        </references>
      </pivotArea>
    </format>
    <format dxfId="1240">
      <pivotArea dataOnly="0" labelOnly="1" outline="0" fieldPosition="0">
        <references count="6">
          <reference field="0" count="1" selected="0">
            <x v="3"/>
          </reference>
          <reference field="1" count="1" selected="0">
            <x v="62"/>
          </reference>
          <reference field="20" count="1" selected="0">
            <x v="0"/>
          </reference>
          <reference field="21" count="1" selected="0">
            <x v="0"/>
          </reference>
          <reference field="22" count="1" selected="0">
            <x v="0"/>
          </reference>
          <reference field="23" count="1">
            <x v="109"/>
          </reference>
        </references>
      </pivotArea>
    </format>
    <format dxfId="1239">
      <pivotArea dataOnly="0" labelOnly="1" outline="0" fieldPosition="0">
        <references count="6">
          <reference field="0" count="1" selected="0">
            <x v="3"/>
          </reference>
          <reference field="1" count="1" selected="0">
            <x v="63"/>
          </reference>
          <reference field="20" count="1" selected="0">
            <x v="0"/>
          </reference>
          <reference field="21" count="1" selected="0">
            <x v="0"/>
          </reference>
          <reference field="22" count="1" selected="0">
            <x v="0"/>
          </reference>
          <reference field="23" count="1">
            <x v="110"/>
          </reference>
        </references>
      </pivotArea>
    </format>
    <format dxfId="1238">
      <pivotArea dataOnly="0" labelOnly="1" outline="0" fieldPosition="0">
        <references count="6">
          <reference field="0" count="1" selected="0">
            <x v="3"/>
          </reference>
          <reference field="1" count="1" selected="0">
            <x v="64"/>
          </reference>
          <reference field="20" count="1" selected="0">
            <x v="0"/>
          </reference>
          <reference field="21" count="1" selected="0">
            <x v="0"/>
          </reference>
          <reference field="22" count="1" selected="0">
            <x v="0"/>
          </reference>
          <reference field="23" count="1">
            <x v="59"/>
          </reference>
        </references>
      </pivotArea>
    </format>
    <format dxfId="1237">
      <pivotArea dataOnly="0" labelOnly="1" outline="0" fieldPosition="0">
        <references count="6">
          <reference field="0" count="1" selected="0">
            <x v="3"/>
          </reference>
          <reference field="1" count="1" selected="0">
            <x v="65"/>
          </reference>
          <reference field="20" count="1" selected="0">
            <x v="0"/>
          </reference>
          <reference field="21" count="1" selected="0">
            <x v="0"/>
          </reference>
          <reference field="22" count="1" selected="0">
            <x v="0"/>
          </reference>
          <reference field="23" count="1">
            <x v="101"/>
          </reference>
        </references>
      </pivotArea>
    </format>
    <format dxfId="1236">
      <pivotArea dataOnly="0" labelOnly="1" outline="0" fieldPosition="0">
        <references count="6">
          <reference field="0" count="1" selected="0">
            <x v="3"/>
          </reference>
          <reference field="1" count="1" selected="0">
            <x v="66"/>
          </reference>
          <reference field="20" count="1" selected="0">
            <x v="0"/>
          </reference>
          <reference field="21" count="1" selected="0">
            <x v="0"/>
          </reference>
          <reference field="22" count="1" selected="0">
            <x v="0"/>
          </reference>
          <reference field="23" count="1">
            <x v="56"/>
          </reference>
        </references>
      </pivotArea>
    </format>
    <format dxfId="1235">
      <pivotArea dataOnly="0" labelOnly="1" outline="0" fieldPosition="0">
        <references count="6">
          <reference field="0" count="1" selected="0">
            <x v="3"/>
          </reference>
          <reference field="1" count="1" selected="0">
            <x v="67"/>
          </reference>
          <reference field="20" count="1" selected="0">
            <x v="0"/>
          </reference>
          <reference field="21" count="1" selected="0">
            <x v="0"/>
          </reference>
          <reference field="22" count="1" selected="0">
            <x v="0"/>
          </reference>
          <reference field="23" count="1">
            <x v="111"/>
          </reference>
        </references>
      </pivotArea>
    </format>
    <format dxfId="1234">
      <pivotArea dataOnly="0" labelOnly="1" outline="0" fieldPosition="0">
        <references count="6">
          <reference field="0" count="1" selected="0">
            <x v="2"/>
          </reference>
          <reference field="1" count="1" selected="0">
            <x v="68"/>
          </reference>
          <reference field="20" count="1" selected="0">
            <x v="0"/>
          </reference>
          <reference field="21" count="1" selected="0">
            <x v="0"/>
          </reference>
          <reference field="22" count="1" selected="0">
            <x v="4"/>
          </reference>
          <reference field="23" count="1">
            <x v="0"/>
          </reference>
        </references>
      </pivotArea>
    </format>
    <format dxfId="1233">
      <pivotArea dataOnly="0" labelOnly="1" outline="0" fieldPosition="0">
        <references count="6">
          <reference field="0" count="1" selected="0">
            <x v="3"/>
          </reference>
          <reference field="1" count="1" selected="0">
            <x v="70"/>
          </reference>
          <reference field="20" count="1" selected="0">
            <x v="0"/>
          </reference>
          <reference field="21" count="1" selected="0">
            <x v="0"/>
          </reference>
          <reference field="22" count="1" selected="0">
            <x v="0"/>
          </reference>
          <reference field="23" count="1">
            <x v="67"/>
          </reference>
        </references>
      </pivotArea>
    </format>
    <format dxfId="1232">
      <pivotArea dataOnly="0" labelOnly="1" outline="0" fieldPosition="0">
        <references count="6">
          <reference field="0" count="1" selected="0">
            <x v="3"/>
          </reference>
          <reference field="1" count="1" selected="0">
            <x v="71"/>
          </reference>
          <reference field="20" count="1" selected="0">
            <x v="0"/>
          </reference>
          <reference field="21" count="1" selected="0">
            <x v="0"/>
          </reference>
          <reference field="22" count="1" selected="0">
            <x v="0"/>
          </reference>
          <reference field="23" count="1">
            <x v="31"/>
          </reference>
        </references>
      </pivotArea>
    </format>
    <format dxfId="1231">
      <pivotArea dataOnly="0" labelOnly="1" outline="0" fieldPosition="0">
        <references count="6">
          <reference field="0" count="1" selected="0">
            <x v="3"/>
          </reference>
          <reference field="1" count="1" selected="0">
            <x v="72"/>
          </reference>
          <reference field="20" count="1" selected="0">
            <x v="0"/>
          </reference>
          <reference field="21" count="1" selected="0">
            <x v="0"/>
          </reference>
          <reference field="22" count="1" selected="0">
            <x v="0"/>
          </reference>
          <reference field="23" count="1">
            <x v="38"/>
          </reference>
        </references>
      </pivotArea>
    </format>
    <format dxfId="1230">
      <pivotArea dataOnly="0" labelOnly="1" outline="0" fieldPosition="0">
        <references count="6">
          <reference field="0" count="1" selected="0">
            <x v="3"/>
          </reference>
          <reference field="1" count="1" selected="0">
            <x v="73"/>
          </reference>
          <reference field="20" count="1" selected="0">
            <x v="0"/>
          </reference>
          <reference field="21" count="1" selected="0">
            <x v="0"/>
          </reference>
          <reference field="22" count="1" selected="0">
            <x v="0"/>
          </reference>
          <reference field="23" count="1">
            <x v="60"/>
          </reference>
        </references>
      </pivotArea>
    </format>
    <format dxfId="1229">
      <pivotArea dataOnly="0" labelOnly="1" outline="0" fieldPosition="0">
        <references count="6">
          <reference field="0" count="1" selected="0">
            <x v="3"/>
          </reference>
          <reference field="1" count="1" selected="0">
            <x v="74"/>
          </reference>
          <reference field="20" count="1" selected="0">
            <x v="0"/>
          </reference>
          <reference field="21" count="1" selected="0">
            <x v="0"/>
          </reference>
          <reference field="22" count="1" selected="0">
            <x v="0"/>
          </reference>
          <reference field="23" count="1">
            <x v="94"/>
          </reference>
        </references>
      </pivotArea>
    </format>
    <format dxfId="1228">
      <pivotArea dataOnly="0" labelOnly="1" outline="0" fieldPosition="0">
        <references count="6">
          <reference field="0" count="1" selected="0">
            <x v="3"/>
          </reference>
          <reference field="1" count="1" selected="0">
            <x v="75"/>
          </reference>
          <reference field="20" count="1" selected="0">
            <x v="0"/>
          </reference>
          <reference field="21" count="1" selected="0">
            <x v="0"/>
          </reference>
          <reference field="22" count="1" selected="0">
            <x v="0"/>
          </reference>
          <reference field="23" count="1">
            <x v="112"/>
          </reference>
        </references>
      </pivotArea>
    </format>
    <format dxfId="1227">
      <pivotArea dataOnly="0" labelOnly="1" outline="0" fieldPosition="0">
        <references count="6">
          <reference field="0" count="1" selected="0">
            <x v="3"/>
          </reference>
          <reference field="1" count="1" selected="0">
            <x v="76"/>
          </reference>
          <reference field="20" count="1" selected="0">
            <x v="0"/>
          </reference>
          <reference field="21" count="1" selected="0">
            <x v="0"/>
          </reference>
          <reference field="22" count="1" selected="0">
            <x v="0"/>
          </reference>
          <reference field="23" count="1">
            <x v="58"/>
          </reference>
        </references>
      </pivotArea>
    </format>
    <format dxfId="1226">
      <pivotArea dataOnly="0" labelOnly="1" outline="0" fieldPosition="0">
        <references count="6">
          <reference field="0" count="1" selected="0">
            <x v="3"/>
          </reference>
          <reference field="1" count="1" selected="0">
            <x v="77"/>
          </reference>
          <reference field="20" count="1" selected="0">
            <x v="0"/>
          </reference>
          <reference field="21" count="1" selected="0">
            <x v="0"/>
          </reference>
          <reference field="22" count="1" selected="0">
            <x v="0"/>
          </reference>
          <reference field="23" count="1">
            <x v="54"/>
          </reference>
        </references>
      </pivotArea>
    </format>
    <format dxfId="1225">
      <pivotArea dataOnly="0" labelOnly="1" outline="0" fieldPosition="0">
        <references count="6">
          <reference field="0" count="1" selected="0">
            <x v="1"/>
          </reference>
          <reference field="1" count="1" selected="0">
            <x v="78"/>
          </reference>
          <reference field="20" count="1" selected="0">
            <x v="0"/>
          </reference>
          <reference field="21" count="1" selected="0">
            <x v="11"/>
          </reference>
          <reference field="22" count="1" selected="0">
            <x v="0"/>
          </reference>
          <reference field="23" count="1">
            <x v="0"/>
          </reference>
        </references>
      </pivotArea>
    </format>
    <format dxfId="1224">
      <pivotArea dataOnly="0" labelOnly="1" outline="0" fieldPosition="0">
        <references count="6">
          <reference field="0" count="1" selected="0">
            <x v="3"/>
          </reference>
          <reference field="1" count="1" selected="0">
            <x v="80"/>
          </reference>
          <reference field="20" count="1" selected="0">
            <x v="0"/>
          </reference>
          <reference field="21" count="1" selected="0">
            <x v="0"/>
          </reference>
          <reference field="22" count="1" selected="0">
            <x v="0"/>
          </reference>
          <reference field="23" count="1">
            <x v="37"/>
          </reference>
        </references>
      </pivotArea>
    </format>
    <format dxfId="1223">
      <pivotArea dataOnly="0" labelOnly="1" outline="0" fieldPosition="0">
        <references count="6">
          <reference field="0" count="1" selected="0">
            <x v="3"/>
          </reference>
          <reference field="1" count="1" selected="0">
            <x v="81"/>
          </reference>
          <reference field="20" count="1" selected="0">
            <x v="0"/>
          </reference>
          <reference field="21" count="1" selected="0">
            <x v="0"/>
          </reference>
          <reference field="22" count="1" selected="0">
            <x v="0"/>
          </reference>
          <reference field="23" count="1">
            <x v="12"/>
          </reference>
        </references>
      </pivotArea>
    </format>
    <format dxfId="1222">
      <pivotArea dataOnly="0" labelOnly="1" outline="0" fieldPosition="0">
        <references count="6">
          <reference field="0" count="1" selected="0">
            <x v="3"/>
          </reference>
          <reference field="1" count="1" selected="0">
            <x v="82"/>
          </reference>
          <reference field="20" count="1" selected="0">
            <x v="0"/>
          </reference>
          <reference field="21" count="1" selected="0">
            <x v="0"/>
          </reference>
          <reference field="22" count="1" selected="0">
            <x v="0"/>
          </reference>
          <reference field="23" count="1">
            <x v="7"/>
          </reference>
        </references>
      </pivotArea>
    </format>
    <format dxfId="1221">
      <pivotArea dataOnly="0" labelOnly="1" outline="0" fieldPosition="0">
        <references count="6">
          <reference field="0" count="1" selected="0">
            <x v="3"/>
          </reference>
          <reference field="1" count="1" selected="0">
            <x v="83"/>
          </reference>
          <reference field="20" count="1" selected="0">
            <x v="0"/>
          </reference>
          <reference field="21" count="1" selected="0">
            <x v="0"/>
          </reference>
          <reference field="22" count="1" selected="0">
            <x v="0"/>
          </reference>
          <reference field="23" count="1">
            <x v="9"/>
          </reference>
        </references>
      </pivotArea>
    </format>
    <format dxfId="1220">
      <pivotArea dataOnly="0" labelOnly="1" outline="0" fieldPosition="0">
        <references count="6">
          <reference field="0" count="1" selected="0">
            <x v="3"/>
          </reference>
          <reference field="1" count="1" selected="0">
            <x v="84"/>
          </reference>
          <reference field="20" count="1" selected="0">
            <x v="0"/>
          </reference>
          <reference field="21" count="1" selected="0">
            <x v="0"/>
          </reference>
          <reference field="22" count="1" selected="0">
            <x v="0"/>
          </reference>
          <reference field="23" count="1">
            <x v="11"/>
          </reference>
        </references>
      </pivotArea>
    </format>
    <format dxfId="1219">
      <pivotArea dataOnly="0" labelOnly="1" outline="0" fieldPosition="0">
        <references count="6">
          <reference field="0" count="1" selected="0">
            <x v="3"/>
          </reference>
          <reference field="1" count="1" selected="0">
            <x v="85"/>
          </reference>
          <reference field="20" count="1" selected="0">
            <x v="0"/>
          </reference>
          <reference field="21" count="1" selected="0">
            <x v="0"/>
          </reference>
          <reference field="22" count="1" selected="0">
            <x v="0"/>
          </reference>
          <reference field="23" count="1">
            <x v="6"/>
          </reference>
        </references>
      </pivotArea>
    </format>
    <format dxfId="1218">
      <pivotArea dataOnly="0" labelOnly="1" outline="0" fieldPosition="0">
        <references count="6">
          <reference field="0" count="1" selected="0">
            <x v="3"/>
          </reference>
          <reference field="1" count="1" selected="0">
            <x v="86"/>
          </reference>
          <reference field="20" count="1" selected="0">
            <x v="0"/>
          </reference>
          <reference field="21" count="1" selected="0">
            <x v="0"/>
          </reference>
          <reference field="22" count="1" selected="0">
            <x v="0"/>
          </reference>
          <reference field="23" count="1">
            <x v="8"/>
          </reference>
        </references>
      </pivotArea>
    </format>
    <format dxfId="1217">
      <pivotArea dataOnly="0" labelOnly="1" outline="0" fieldPosition="0">
        <references count="6">
          <reference field="0" count="1" selected="0">
            <x v="3"/>
          </reference>
          <reference field="1" count="1" selected="0">
            <x v="87"/>
          </reference>
          <reference field="20" count="1" selected="0">
            <x v="0"/>
          </reference>
          <reference field="21" count="1" selected="0">
            <x v="0"/>
          </reference>
          <reference field="22" count="1" selected="0">
            <x v="0"/>
          </reference>
          <reference field="23" count="1">
            <x v="10"/>
          </reference>
        </references>
      </pivotArea>
    </format>
    <format dxfId="1216">
      <pivotArea dataOnly="0" labelOnly="1" outline="0" fieldPosition="0">
        <references count="6">
          <reference field="0" count="1" selected="0">
            <x v="3"/>
          </reference>
          <reference field="1" count="1" selected="0">
            <x v="88"/>
          </reference>
          <reference field="20" count="1" selected="0">
            <x v="0"/>
          </reference>
          <reference field="21" count="1" selected="0">
            <x v="0"/>
          </reference>
          <reference field="22" count="1" selected="0">
            <x v="0"/>
          </reference>
          <reference field="23" count="1">
            <x v="13"/>
          </reference>
        </references>
      </pivotArea>
    </format>
    <format dxfId="1215">
      <pivotArea dataOnly="0" labelOnly="1" outline="0" fieldPosition="0">
        <references count="6">
          <reference field="0" count="1" selected="0">
            <x v="3"/>
          </reference>
          <reference field="1" count="1" selected="0">
            <x v="89"/>
          </reference>
          <reference field="20" count="1" selected="0">
            <x v="0"/>
          </reference>
          <reference field="21" count="1" selected="0">
            <x v="0"/>
          </reference>
          <reference field="22" count="1" selected="0">
            <x v="0"/>
          </reference>
          <reference field="23" count="1">
            <x v="1"/>
          </reference>
        </references>
      </pivotArea>
    </format>
    <format dxfId="1214">
      <pivotArea dataOnly="0" labelOnly="1" outline="0" fieldPosition="0">
        <references count="6">
          <reference field="0" count="1" selected="0">
            <x v="2"/>
          </reference>
          <reference field="1" count="1" selected="0">
            <x v="90"/>
          </reference>
          <reference field="20" count="1" selected="0">
            <x v="0"/>
          </reference>
          <reference field="21" count="1" selected="0">
            <x v="0"/>
          </reference>
          <reference field="22" count="1" selected="0">
            <x v="29"/>
          </reference>
          <reference field="23" count="1">
            <x v="0"/>
          </reference>
        </references>
      </pivotArea>
    </format>
    <format dxfId="1213">
      <pivotArea dataOnly="0" labelOnly="1" outline="0" fieldPosition="0">
        <references count="6">
          <reference field="0" count="1" selected="0">
            <x v="3"/>
          </reference>
          <reference field="1" count="1" selected="0">
            <x v="91"/>
          </reference>
          <reference field="20" count="1" selected="0">
            <x v="0"/>
          </reference>
          <reference field="21" count="1" selected="0">
            <x v="0"/>
          </reference>
          <reference field="22" count="1" selected="0">
            <x v="0"/>
          </reference>
          <reference field="23" count="1">
            <x v="37"/>
          </reference>
        </references>
      </pivotArea>
    </format>
    <format dxfId="1212">
      <pivotArea dataOnly="0" labelOnly="1" outline="0" fieldPosition="0">
        <references count="6">
          <reference field="0" count="1" selected="0">
            <x v="3"/>
          </reference>
          <reference field="1" count="1" selected="0">
            <x v="92"/>
          </reference>
          <reference field="20" count="1" selected="0">
            <x v="0"/>
          </reference>
          <reference field="21" count="1" selected="0">
            <x v="0"/>
          </reference>
          <reference field="22" count="1" selected="0">
            <x v="0"/>
          </reference>
          <reference field="23" count="1">
            <x v="12"/>
          </reference>
        </references>
      </pivotArea>
    </format>
    <format dxfId="1211">
      <pivotArea dataOnly="0" labelOnly="1" outline="0" fieldPosition="0">
        <references count="6">
          <reference field="0" count="1" selected="0">
            <x v="3"/>
          </reference>
          <reference field="1" count="1" selected="0">
            <x v="93"/>
          </reference>
          <reference field="20" count="1" selected="0">
            <x v="0"/>
          </reference>
          <reference field="21" count="1" selected="0">
            <x v="0"/>
          </reference>
          <reference field="22" count="1" selected="0">
            <x v="0"/>
          </reference>
          <reference field="23" count="1">
            <x v="7"/>
          </reference>
        </references>
      </pivotArea>
    </format>
    <format dxfId="1210">
      <pivotArea dataOnly="0" labelOnly="1" outline="0" fieldPosition="0">
        <references count="6">
          <reference field="0" count="1" selected="0">
            <x v="3"/>
          </reference>
          <reference field="1" count="1" selected="0">
            <x v="94"/>
          </reference>
          <reference field="20" count="1" selected="0">
            <x v="0"/>
          </reference>
          <reference field="21" count="1" selected="0">
            <x v="0"/>
          </reference>
          <reference field="22" count="1" selected="0">
            <x v="0"/>
          </reference>
          <reference field="23" count="1">
            <x v="9"/>
          </reference>
        </references>
      </pivotArea>
    </format>
    <format dxfId="1209">
      <pivotArea dataOnly="0" labelOnly="1" outline="0" fieldPosition="0">
        <references count="6">
          <reference field="0" count="1" selected="0">
            <x v="3"/>
          </reference>
          <reference field="1" count="1" selected="0">
            <x v="95"/>
          </reference>
          <reference field="20" count="1" selected="0">
            <x v="0"/>
          </reference>
          <reference field="21" count="1" selected="0">
            <x v="0"/>
          </reference>
          <reference field="22" count="1" selected="0">
            <x v="0"/>
          </reference>
          <reference field="23" count="1">
            <x v="11"/>
          </reference>
        </references>
      </pivotArea>
    </format>
    <format dxfId="1208">
      <pivotArea dataOnly="0" labelOnly="1" outline="0" fieldPosition="0">
        <references count="6">
          <reference field="0" count="1" selected="0">
            <x v="3"/>
          </reference>
          <reference field="1" count="1" selected="0">
            <x v="96"/>
          </reference>
          <reference field="20" count="1" selected="0">
            <x v="0"/>
          </reference>
          <reference field="21" count="1" selected="0">
            <x v="0"/>
          </reference>
          <reference field="22" count="1" selected="0">
            <x v="0"/>
          </reference>
          <reference field="23" count="1">
            <x v="6"/>
          </reference>
        </references>
      </pivotArea>
    </format>
    <format dxfId="1207">
      <pivotArea dataOnly="0" labelOnly="1" outline="0" fieldPosition="0">
        <references count="6">
          <reference field="0" count="1" selected="0">
            <x v="3"/>
          </reference>
          <reference field="1" count="1" selected="0">
            <x v="97"/>
          </reference>
          <reference field="20" count="1" selected="0">
            <x v="0"/>
          </reference>
          <reference field="21" count="1" selected="0">
            <x v="0"/>
          </reference>
          <reference field="22" count="1" selected="0">
            <x v="0"/>
          </reference>
          <reference field="23" count="1">
            <x v="8"/>
          </reference>
        </references>
      </pivotArea>
    </format>
    <format dxfId="1206">
      <pivotArea dataOnly="0" labelOnly="1" outline="0" fieldPosition="0">
        <references count="6">
          <reference field="0" count="1" selected="0">
            <x v="3"/>
          </reference>
          <reference field="1" count="1" selected="0">
            <x v="98"/>
          </reference>
          <reference field="20" count="1" selected="0">
            <x v="0"/>
          </reference>
          <reference field="21" count="1" selected="0">
            <x v="0"/>
          </reference>
          <reference field="22" count="1" selected="0">
            <x v="0"/>
          </reference>
          <reference field="23" count="1">
            <x v="10"/>
          </reference>
        </references>
      </pivotArea>
    </format>
    <format dxfId="1205">
      <pivotArea dataOnly="0" labelOnly="1" outline="0" fieldPosition="0">
        <references count="6">
          <reference field="0" count="1" selected="0">
            <x v="3"/>
          </reference>
          <reference field="1" count="1" selected="0">
            <x v="99"/>
          </reference>
          <reference field="20" count="1" selected="0">
            <x v="0"/>
          </reference>
          <reference field="21" count="1" selected="0">
            <x v="0"/>
          </reference>
          <reference field="22" count="1" selected="0">
            <x v="0"/>
          </reference>
          <reference field="23" count="1">
            <x v="13"/>
          </reference>
        </references>
      </pivotArea>
    </format>
    <format dxfId="1204">
      <pivotArea dataOnly="0" labelOnly="1" outline="0" fieldPosition="0">
        <references count="6">
          <reference field="0" count="1" selected="0">
            <x v="3"/>
          </reference>
          <reference field="1" count="1" selected="0">
            <x v="100"/>
          </reference>
          <reference field="20" count="1" selected="0">
            <x v="0"/>
          </reference>
          <reference field="21" count="1" selected="0">
            <x v="0"/>
          </reference>
          <reference field="22" count="1" selected="0">
            <x v="0"/>
          </reference>
          <reference field="23" count="1">
            <x v="1"/>
          </reference>
        </references>
      </pivotArea>
    </format>
    <format dxfId="1203">
      <pivotArea dataOnly="0" labelOnly="1" outline="0" fieldPosition="0">
        <references count="6">
          <reference field="0" count="1" selected="0">
            <x v="2"/>
          </reference>
          <reference field="1" count="1" selected="0">
            <x v="101"/>
          </reference>
          <reference field="20" count="1" selected="0">
            <x v="0"/>
          </reference>
          <reference field="21" count="1" selected="0">
            <x v="0"/>
          </reference>
          <reference field="22" count="1" selected="0">
            <x v="10"/>
          </reference>
          <reference field="23" count="1">
            <x v="0"/>
          </reference>
        </references>
      </pivotArea>
    </format>
    <format dxfId="1202">
      <pivotArea dataOnly="0" labelOnly="1" outline="0" fieldPosition="0">
        <references count="6">
          <reference field="0" count="1" selected="0">
            <x v="3"/>
          </reference>
          <reference field="1" count="1" selected="0">
            <x v="102"/>
          </reference>
          <reference field="20" count="1" selected="0">
            <x v="0"/>
          </reference>
          <reference field="21" count="1" selected="0">
            <x v="0"/>
          </reference>
          <reference field="22" count="1" selected="0">
            <x v="0"/>
          </reference>
          <reference field="23" count="1">
            <x v="54"/>
          </reference>
        </references>
      </pivotArea>
    </format>
    <format dxfId="1201">
      <pivotArea dataOnly="0" labelOnly="1" outline="0" fieldPosition="0">
        <references count="6">
          <reference field="0" count="1" selected="0">
            <x v="3"/>
          </reference>
          <reference field="1" count="1" selected="0">
            <x v="103"/>
          </reference>
          <reference field="20" count="1" selected="0">
            <x v="0"/>
          </reference>
          <reference field="21" count="1" selected="0">
            <x v="0"/>
          </reference>
          <reference field="22" count="1" selected="0">
            <x v="0"/>
          </reference>
          <reference field="23" count="1">
            <x v="49"/>
          </reference>
        </references>
      </pivotArea>
    </format>
    <format dxfId="1200">
      <pivotArea dataOnly="0" labelOnly="1" outline="0" fieldPosition="0">
        <references count="6">
          <reference field="0" count="1" selected="0">
            <x v="3"/>
          </reference>
          <reference field="1" count="1" selected="0">
            <x v="104"/>
          </reference>
          <reference field="20" count="1" selected="0">
            <x v="0"/>
          </reference>
          <reference field="21" count="1" selected="0">
            <x v="0"/>
          </reference>
          <reference field="22" count="1" selected="0">
            <x v="0"/>
          </reference>
          <reference field="23" count="1">
            <x v="51"/>
          </reference>
        </references>
      </pivotArea>
    </format>
    <format dxfId="1199">
      <pivotArea dataOnly="0" labelOnly="1" outline="0" fieldPosition="0">
        <references count="6">
          <reference field="0" count="1" selected="0">
            <x v="3"/>
          </reference>
          <reference field="1" count="1" selected="0">
            <x v="105"/>
          </reference>
          <reference field="20" count="1" selected="0">
            <x v="0"/>
          </reference>
          <reference field="21" count="1" selected="0">
            <x v="0"/>
          </reference>
          <reference field="22" count="1" selected="0">
            <x v="0"/>
          </reference>
          <reference field="23" count="1">
            <x v="48"/>
          </reference>
        </references>
      </pivotArea>
    </format>
    <format dxfId="1198">
      <pivotArea dataOnly="0" labelOnly="1" outline="0" fieldPosition="0">
        <references count="6">
          <reference field="0" count="1" selected="0">
            <x v="3"/>
          </reference>
          <reference field="1" count="1" selected="0">
            <x v="106"/>
          </reference>
          <reference field="20" count="1" selected="0">
            <x v="0"/>
          </reference>
          <reference field="21" count="1" selected="0">
            <x v="0"/>
          </reference>
          <reference field="22" count="1" selected="0">
            <x v="0"/>
          </reference>
          <reference field="23" count="1">
            <x v="50"/>
          </reference>
        </references>
      </pivotArea>
    </format>
    <format dxfId="1197">
      <pivotArea dataOnly="0" labelOnly="1" outline="0" fieldPosition="0">
        <references count="6">
          <reference field="0" count="1" selected="0">
            <x v="3"/>
          </reference>
          <reference field="1" count="1" selected="0">
            <x v="107"/>
          </reference>
          <reference field="20" count="1" selected="0">
            <x v="0"/>
          </reference>
          <reference field="21" count="1" selected="0">
            <x v="0"/>
          </reference>
          <reference field="22" count="1" selected="0">
            <x v="0"/>
          </reference>
          <reference field="23" count="1">
            <x v="3"/>
          </reference>
        </references>
      </pivotArea>
    </format>
    <format dxfId="1196">
      <pivotArea dataOnly="0" labelOnly="1" outline="0" fieldPosition="0">
        <references count="6">
          <reference field="0" count="1" selected="0">
            <x v="3"/>
          </reference>
          <reference field="1" count="1" selected="0">
            <x v="108"/>
          </reference>
          <reference field="20" count="1" selected="0">
            <x v="0"/>
          </reference>
          <reference field="21" count="1" selected="0">
            <x v="0"/>
          </reference>
          <reference field="22" count="1" selected="0">
            <x v="0"/>
          </reference>
          <reference field="23" count="1">
            <x v="82"/>
          </reference>
        </references>
      </pivotArea>
    </format>
    <format dxfId="1195">
      <pivotArea dataOnly="0" labelOnly="1" outline="0" fieldPosition="0">
        <references count="6">
          <reference field="0" count="1" selected="0">
            <x v="3"/>
          </reference>
          <reference field="1" count="1" selected="0">
            <x v="109"/>
          </reference>
          <reference field="20" count="1" selected="0">
            <x v="0"/>
          </reference>
          <reference field="21" count="1" selected="0">
            <x v="0"/>
          </reference>
          <reference field="22" count="1" selected="0">
            <x v="0"/>
          </reference>
          <reference field="23" count="1">
            <x v="95"/>
          </reference>
        </references>
      </pivotArea>
    </format>
    <format dxfId="1194">
      <pivotArea dataOnly="0" labelOnly="1" outline="0" fieldPosition="0">
        <references count="6">
          <reference field="0" count="1" selected="0">
            <x v="3"/>
          </reference>
          <reference field="1" count="1" selected="0">
            <x v="110"/>
          </reference>
          <reference field="20" count="1" selected="0">
            <x v="0"/>
          </reference>
          <reference field="21" count="1" selected="0">
            <x v="0"/>
          </reference>
          <reference field="22" count="1" selected="0">
            <x v="0"/>
          </reference>
          <reference field="23" count="1">
            <x v="83"/>
          </reference>
        </references>
      </pivotArea>
    </format>
    <format dxfId="1193">
      <pivotArea dataOnly="0" labelOnly="1" outline="0" fieldPosition="0">
        <references count="6">
          <reference field="0" count="1" selected="0">
            <x v="2"/>
          </reference>
          <reference field="1" count="1" selected="0">
            <x v="111"/>
          </reference>
          <reference field="20" count="1" selected="0">
            <x v="0"/>
          </reference>
          <reference field="21" count="1" selected="0">
            <x v="0"/>
          </reference>
          <reference field="22" count="1" selected="0">
            <x v="18"/>
          </reference>
          <reference field="23" count="1">
            <x v="0"/>
          </reference>
        </references>
      </pivotArea>
    </format>
    <format dxfId="1192">
      <pivotArea dataOnly="0" labelOnly="1" outline="0" fieldPosition="0">
        <references count="6">
          <reference field="0" count="1" selected="0">
            <x v="3"/>
          </reference>
          <reference field="1" count="1" selected="0">
            <x v="112"/>
          </reference>
          <reference field="20" count="1" selected="0">
            <x v="0"/>
          </reference>
          <reference field="21" count="1" selected="0">
            <x v="0"/>
          </reference>
          <reference field="22" count="1" selected="0">
            <x v="0"/>
          </reference>
          <reference field="23" count="1">
            <x v="52"/>
          </reference>
        </references>
      </pivotArea>
    </format>
    <format dxfId="1191">
      <pivotArea dataOnly="0" labelOnly="1" outline="0" fieldPosition="0">
        <references count="6">
          <reference field="0" count="1" selected="0">
            <x v="3"/>
          </reference>
          <reference field="1" count="1" selected="0">
            <x v="113"/>
          </reference>
          <reference field="20" count="1" selected="0">
            <x v="0"/>
          </reference>
          <reference field="21" count="1" selected="0">
            <x v="0"/>
          </reference>
          <reference field="22" count="1" selected="0">
            <x v="0"/>
          </reference>
          <reference field="23" count="1">
            <x v="24"/>
          </reference>
        </references>
      </pivotArea>
    </format>
    <format dxfId="1190">
      <pivotArea dataOnly="0" labelOnly="1" outline="0" fieldPosition="0">
        <references count="6">
          <reference field="0" count="1" selected="0">
            <x v="3"/>
          </reference>
          <reference field="1" count="1" selected="0">
            <x v="114"/>
          </reference>
          <reference field="20" count="1" selected="0">
            <x v="0"/>
          </reference>
          <reference field="21" count="1" selected="0">
            <x v="0"/>
          </reference>
          <reference field="22" count="1" selected="0">
            <x v="0"/>
          </reference>
          <reference field="23" count="1">
            <x v="77"/>
          </reference>
        </references>
      </pivotArea>
    </format>
    <format dxfId="1189">
      <pivotArea dataOnly="0" labelOnly="1" outline="0" fieldPosition="0">
        <references count="6">
          <reference field="0" count="1" selected="0">
            <x v="3"/>
          </reference>
          <reference field="1" count="1" selected="0">
            <x v="115"/>
          </reference>
          <reference field="20" count="1" selected="0">
            <x v="0"/>
          </reference>
          <reference field="21" count="1" selected="0">
            <x v="0"/>
          </reference>
          <reference field="22" count="1" selected="0">
            <x v="0"/>
          </reference>
          <reference field="23" count="1">
            <x v="29"/>
          </reference>
        </references>
      </pivotArea>
    </format>
    <format dxfId="1188">
      <pivotArea dataOnly="0" labelOnly="1" outline="0" fieldPosition="0">
        <references count="6">
          <reference field="0" count="1" selected="0">
            <x v="3"/>
          </reference>
          <reference field="1" count="1" selected="0">
            <x v="116"/>
          </reference>
          <reference field="20" count="1" selected="0">
            <x v="0"/>
          </reference>
          <reference field="21" count="1" selected="0">
            <x v="0"/>
          </reference>
          <reference field="22" count="1" selected="0">
            <x v="0"/>
          </reference>
          <reference field="23" count="1">
            <x v="22"/>
          </reference>
        </references>
      </pivotArea>
    </format>
    <format dxfId="1187">
      <pivotArea dataOnly="0" labelOnly="1" outline="0" fieldPosition="0">
        <references count="6">
          <reference field="0" count="1" selected="0">
            <x v="2"/>
          </reference>
          <reference field="1" count="1" selected="0">
            <x v="117"/>
          </reference>
          <reference field="20" count="1" selected="0">
            <x v="0"/>
          </reference>
          <reference field="21" count="1" selected="0">
            <x v="0"/>
          </reference>
          <reference field="22" count="1" selected="0">
            <x v="11"/>
          </reference>
          <reference field="23" count="1">
            <x v="0"/>
          </reference>
        </references>
      </pivotArea>
    </format>
    <format dxfId="1186">
      <pivotArea dataOnly="0" labelOnly="1" outline="0" fieldPosition="0">
        <references count="6">
          <reference field="0" count="1" selected="0">
            <x v="3"/>
          </reference>
          <reference field="1" count="1" selected="0">
            <x v="118"/>
          </reference>
          <reference field="20" count="1" selected="0">
            <x v="0"/>
          </reference>
          <reference field="21" count="1" selected="0">
            <x v="0"/>
          </reference>
          <reference field="22" count="1" selected="0">
            <x v="0"/>
          </reference>
          <reference field="23" count="1">
            <x v="78"/>
          </reference>
        </references>
      </pivotArea>
    </format>
    <format dxfId="1185">
      <pivotArea dataOnly="0" labelOnly="1" outline="0" fieldPosition="0">
        <references count="6">
          <reference field="0" count="1" selected="0">
            <x v="3"/>
          </reference>
          <reference field="1" count="1" selected="0">
            <x v="119"/>
          </reference>
          <reference field="20" count="1" selected="0">
            <x v="0"/>
          </reference>
          <reference field="21" count="1" selected="0">
            <x v="0"/>
          </reference>
          <reference field="22" count="1" selected="0">
            <x v="0"/>
          </reference>
          <reference field="23" count="1">
            <x v="79"/>
          </reference>
        </references>
      </pivotArea>
    </format>
    <format dxfId="1184">
      <pivotArea dataOnly="0" labelOnly="1" outline="0" fieldPosition="0">
        <references count="6">
          <reference field="0" count="1" selected="0">
            <x v="3"/>
          </reference>
          <reference field="1" count="1" selected="0">
            <x v="120"/>
          </reference>
          <reference field="20" count="1" selected="0">
            <x v="0"/>
          </reference>
          <reference field="21" count="1" selected="0">
            <x v="0"/>
          </reference>
          <reference field="22" count="1" selected="0">
            <x v="0"/>
          </reference>
          <reference field="23" count="1">
            <x v="80"/>
          </reference>
        </references>
      </pivotArea>
    </format>
    <format dxfId="1183">
      <pivotArea dataOnly="0" labelOnly="1" outline="0" fieldPosition="0">
        <references count="6">
          <reference field="0" count="1" selected="0">
            <x v="0"/>
          </reference>
          <reference field="1" count="1" selected="0">
            <x v="121"/>
          </reference>
          <reference field="20" count="1" selected="0">
            <x v="2"/>
          </reference>
          <reference field="21" count="1" selected="0">
            <x v="0"/>
          </reference>
          <reference field="22" count="1" selected="0">
            <x v="0"/>
          </reference>
          <reference field="23" count="1">
            <x v="0"/>
          </reference>
        </references>
      </pivotArea>
    </format>
    <format dxfId="1182">
      <pivotArea dataOnly="0" labelOnly="1" outline="0" fieldPosition="0">
        <references count="6">
          <reference field="0" count="1" selected="0">
            <x v="3"/>
          </reference>
          <reference field="1" count="1" selected="0">
            <x v="123"/>
          </reference>
          <reference field="20" count="1" selected="0">
            <x v="0"/>
          </reference>
          <reference field="21" count="1" selected="0">
            <x v="0"/>
          </reference>
          <reference field="22" count="1" selected="0">
            <x v="0"/>
          </reference>
          <reference field="23" count="1">
            <x v="62"/>
          </reference>
        </references>
      </pivotArea>
    </format>
    <format dxfId="1181">
      <pivotArea dataOnly="0" labelOnly="1" outline="0" fieldPosition="0">
        <references count="6">
          <reference field="0" count="1" selected="0">
            <x v="3"/>
          </reference>
          <reference field="1" count="1" selected="0">
            <x v="124"/>
          </reference>
          <reference field="20" count="1" selected="0">
            <x v="0"/>
          </reference>
          <reference field="21" count="1" selected="0">
            <x v="0"/>
          </reference>
          <reference field="22" count="1" selected="0">
            <x v="0"/>
          </reference>
          <reference field="23" count="1">
            <x v="45"/>
          </reference>
        </references>
      </pivotArea>
    </format>
    <format dxfId="1180">
      <pivotArea dataOnly="0" labelOnly="1" outline="0" fieldPosition="0">
        <references count="6">
          <reference field="0" count="1" selected="0">
            <x v="3"/>
          </reference>
          <reference field="1" count="1" selected="0">
            <x v="125"/>
          </reference>
          <reference field="20" count="1" selected="0">
            <x v="0"/>
          </reference>
          <reference field="21" count="1" selected="0">
            <x v="0"/>
          </reference>
          <reference field="22" count="1" selected="0">
            <x v="0"/>
          </reference>
          <reference field="23" count="1">
            <x v="43"/>
          </reference>
        </references>
      </pivotArea>
    </format>
    <format dxfId="1179">
      <pivotArea dataOnly="0" labelOnly="1" outline="0" fieldPosition="0">
        <references count="6">
          <reference field="0" count="1" selected="0">
            <x v="3"/>
          </reference>
          <reference field="1" count="1" selected="0">
            <x v="126"/>
          </reference>
          <reference field="20" count="1" selected="0">
            <x v="0"/>
          </reference>
          <reference field="21" count="1" selected="0">
            <x v="0"/>
          </reference>
          <reference field="22" count="1" selected="0">
            <x v="0"/>
          </reference>
          <reference field="23" count="1">
            <x v="41"/>
          </reference>
        </references>
      </pivotArea>
    </format>
    <format dxfId="1178">
      <pivotArea dataOnly="0" labelOnly="1" outline="0" fieldPosition="0">
        <references count="6">
          <reference field="0" count="1" selected="0">
            <x v="0"/>
          </reference>
          <reference field="1" count="1" selected="0">
            <x v="127"/>
          </reference>
          <reference field="20" count="1" selected="0">
            <x v="1"/>
          </reference>
          <reference field="21" count="1" selected="0">
            <x v="0"/>
          </reference>
          <reference field="22" count="1" selected="0">
            <x v="0"/>
          </reference>
          <reference field="23" count="1">
            <x v="0"/>
          </reference>
        </references>
      </pivotArea>
    </format>
    <format dxfId="1177">
      <pivotArea dataOnly="0" labelOnly="1" outline="0" fieldPosition="0">
        <references count="6">
          <reference field="0" count="1" selected="0">
            <x v="3"/>
          </reference>
          <reference field="1" count="1" selected="0">
            <x v="130"/>
          </reference>
          <reference field="20" count="1" selected="0">
            <x v="0"/>
          </reference>
          <reference field="21" count="1" selected="0">
            <x v="0"/>
          </reference>
          <reference field="22" count="1" selected="0">
            <x v="0"/>
          </reference>
          <reference field="23" count="1">
            <x v="30"/>
          </reference>
        </references>
      </pivotArea>
    </format>
    <format dxfId="1176">
      <pivotArea dataOnly="0" labelOnly="1" outline="0" fieldPosition="0">
        <references count="6">
          <reference field="0" count="1" selected="0">
            <x v="2"/>
          </reference>
          <reference field="1" count="1" selected="0">
            <x v="131"/>
          </reference>
          <reference field="20" count="1" selected="0">
            <x v="0"/>
          </reference>
          <reference field="21" count="1" selected="0">
            <x v="0"/>
          </reference>
          <reference field="22" count="1" selected="0">
            <x v="19"/>
          </reference>
          <reference field="23" count="1">
            <x v="0"/>
          </reference>
        </references>
      </pivotArea>
    </format>
    <format dxfId="1175">
      <pivotArea dataOnly="0" labelOnly="1" outline="0" fieldPosition="0">
        <references count="6">
          <reference field="0" count="1" selected="0">
            <x v="3"/>
          </reference>
          <reference field="1" count="1" selected="0">
            <x v="132"/>
          </reference>
          <reference field="20" count="1" selected="0">
            <x v="0"/>
          </reference>
          <reference field="21" count="1" selected="0">
            <x v="0"/>
          </reference>
          <reference field="22" count="1" selected="0">
            <x v="0"/>
          </reference>
          <reference field="23" count="1">
            <x v="5"/>
          </reference>
        </references>
      </pivotArea>
    </format>
    <format dxfId="1174">
      <pivotArea dataOnly="0" labelOnly="1" outline="0" fieldPosition="0">
        <references count="6">
          <reference field="0" count="1" selected="0">
            <x v="3"/>
          </reference>
          <reference field="1" count="1" selected="0">
            <x v="133"/>
          </reference>
          <reference field="20" count="1" selected="0">
            <x v="0"/>
          </reference>
          <reference field="21" count="1" selected="0">
            <x v="0"/>
          </reference>
          <reference field="22" count="1" selected="0">
            <x v="0"/>
          </reference>
          <reference field="23" count="1">
            <x v="113"/>
          </reference>
        </references>
      </pivotArea>
    </format>
    <format dxfId="1173">
      <pivotArea dataOnly="0" labelOnly="1" outline="0" fieldPosition="0">
        <references count="6">
          <reference field="0" count="1" selected="0">
            <x v="3"/>
          </reference>
          <reference field="1" count="1" selected="0">
            <x v="134"/>
          </reference>
          <reference field="20" count="1" selected="0">
            <x v="0"/>
          </reference>
          <reference field="21" count="1" selected="0">
            <x v="0"/>
          </reference>
          <reference field="22" count="1" selected="0">
            <x v="0"/>
          </reference>
          <reference field="23" count="1">
            <x v="102"/>
          </reference>
        </references>
      </pivotArea>
    </format>
    <format dxfId="1172">
      <pivotArea dataOnly="0" labelOnly="1" outline="0" fieldPosition="0">
        <references count="6">
          <reference field="0" count="1" selected="0">
            <x v="3"/>
          </reference>
          <reference field="1" count="1" selected="0">
            <x v="135"/>
          </reference>
          <reference field="20" count="1" selected="0">
            <x v="0"/>
          </reference>
          <reference field="21" count="1" selected="0">
            <x v="0"/>
          </reference>
          <reference field="22" count="1" selected="0">
            <x v="0"/>
          </reference>
          <reference field="23" count="1">
            <x v="97"/>
          </reference>
        </references>
      </pivotArea>
    </format>
    <format dxfId="1171">
      <pivotArea dataOnly="0" labelOnly="1" outline="0" fieldPosition="0">
        <references count="6">
          <reference field="0" count="1" selected="0">
            <x v="2"/>
          </reference>
          <reference field="1" count="1" selected="0">
            <x v="136"/>
          </reference>
          <reference field="20" count="1" selected="0">
            <x v="0"/>
          </reference>
          <reference field="21" count="1" selected="0">
            <x v="0"/>
          </reference>
          <reference field="22" count="1" selected="0">
            <x v="1"/>
          </reference>
          <reference field="23" count="1">
            <x v="0"/>
          </reference>
        </references>
      </pivotArea>
    </format>
    <format dxfId="1170">
      <pivotArea dataOnly="0" labelOnly="1" outline="0" fieldPosition="0">
        <references count="6">
          <reference field="0" count="1" selected="0">
            <x v="3"/>
          </reference>
          <reference field="1" count="1" selected="0">
            <x v="137"/>
          </reference>
          <reference field="20" count="1" selected="0">
            <x v="0"/>
          </reference>
          <reference field="21" count="1" selected="0">
            <x v="0"/>
          </reference>
          <reference field="22" count="1" selected="0">
            <x v="0"/>
          </reference>
          <reference field="23" count="1">
            <x v="89"/>
          </reference>
        </references>
      </pivotArea>
    </format>
    <format dxfId="1169">
      <pivotArea dataOnly="0" labelOnly="1" outline="0" fieldPosition="0">
        <references count="6">
          <reference field="0" count="1" selected="0">
            <x v="3"/>
          </reference>
          <reference field="1" count="1" selected="0">
            <x v="139"/>
          </reference>
          <reference field="20" count="1" selected="0">
            <x v="0"/>
          </reference>
          <reference field="21" count="1" selected="0">
            <x v="0"/>
          </reference>
          <reference field="22" count="1" selected="0">
            <x v="0"/>
          </reference>
          <reference field="23" count="1">
            <x v="88"/>
          </reference>
        </references>
      </pivotArea>
    </format>
    <format dxfId="1168">
      <pivotArea dataOnly="0" labelOnly="1" outline="0" fieldPosition="0">
        <references count="6">
          <reference field="0" count="1" selected="0">
            <x v="2"/>
          </reference>
          <reference field="1" count="1" selected="0">
            <x v="140"/>
          </reference>
          <reference field="20" count="1" selected="0">
            <x v="0"/>
          </reference>
          <reference field="21" count="1" selected="0">
            <x v="0"/>
          </reference>
          <reference field="22" count="1" selected="0">
            <x v="27"/>
          </reference>
          <reference field="23" count="1">
            <x v="0"/>
          </reference>
        </references>
      </pivotArea>
    </format>
    <format dxfId="1167">
      <pivotArea dataOnly="0" labelOnly="1" outline="0" fieldPosition="0">
        <references count="6">
          <reference field="0" count="1" selected="0">
            <x v="3"/>
          </reference>
          <reference field="1" count="1" selected="0">
            <x v="141"/>
          </reference>
          <reference field="20" count="1" selected="0">
            <x v="0"/>
          </reference>
          <reference field="21" count="1" selected="0">
            <x v="0"/>
          </reference>
          <reference field="22" count="1" selected="0">
            <x v="0"/>
          </reference>
          <reference field="23" count="1">
            <x v="86"/>
          </reference>
        </references>
      </pivotArea>
    </format>
    <format dxfId="1166">
      <pivotArea dataOnly="0" labelOnly="1" outline="0" fieldPosition="0">
        <references count="6">
          <reference field="0" count="1" selected="0">
            <x v="3"/>
          </reference>
          <reference field="1" count="1" selected="0">
            <x v="142"/>
          </reference>
          <reference field="20" count="1" selected="0">
            <x v="0"/>
          </reference>
          <reference field="21" count="1" selected="0">
            <x v="0"/>
          </reference>
          <reference field="22" count="1" selected="0">
            <x v="0"/>
          </reference>
          <reference field="23" count="1">
            <x v="114"/>
          </reference>
        </references>
      </pivotArea>
    </format>
    <format dxfId="1165">
      <pivotArea dataOnly="0" labelOnly="1" outline="0" fieldPosition="0">
        <references count="6">
          <reference field="0" count="1" selected="0">
            <x v="3"/>
          </reference>
          <reference field="1" count="1" selected="0">
            <x v="143"/>
          </reference>
          <reference field="20" count="1" selected="0">
            <x v="0"/>
          </reference>
          <reference field="21" count="1" selected="0">
            <x v="0"/>
          </reference>
          <reference field="22" count="1" selected="0">
            <x v="0"/>
          </reference>
          <reference field="23" count="1">
            <x v="69"/>
          </reference>
        </references>
      </pivotArea>
    </format>
    <format dxfId="1164">
      <pivotArea dataOnly="0" labelOnly="1" outline="0" fieldPosition="0">
        <references count="6">
          <reference field="0" count="1" selected="0">
            <x v="3"/>
          </reference>
          <reference field="1" count="1" selected="0">
            <x v="144"/>
          </reference>
          <reference field="20" count="1" selected="0">
            <x v="0"/>
          </reference>
          <reference field="21" count="1" selected="0">
            <x v="0"/>
          </reference>
          <reference field="22" count="1" selected="0">
            <x v="0"/>
          </reference>
          <reference field="23" count="1">
            <x v="4"/>
          </reference>
        </references>
      </pivotArea>
    </format>
    <format dxfId="1163">
      <pivotArea dataOnly="0" labelOnly="1" outline="0" fieldPosition="0">
        <references count="6">
          <reference field="0" count="1" selected="0">
            <x v="0"/>
          </reference>
          <reference field="1" count="1" selected="0">
            <x v="146"/>
          </reference>
          <reference field="20" count="1" selected="0">
            <x v="3"/>
          </reference>
          <reference field="21" count="1" selected="0">
            <x v="0"/>
          </reference>
          <reference field="22" count="1" selected="0">
            <x v="0"/>
          </reference>
          <reference field="23" count="1">
            <x v="0"/>
          </reference>
        </references>
      </pivotArea>
    </format>
    <format dxfId="1162">
      <pivotArea dataOnly="0" labelOnly="1" outline="0" fieldPosition="0">
        <references count="6">
          <reference field="0" count="1" selected="0">
            <x v="3"/>
          </reference>
          <reference field="1" count="1" selected="0">
            <x v="149"/>
          </reference>
          <reference field="20" count="1" selected="0">
            <x v="0"/>
          </reference>
          <reference field="21" count="1" selected="0">
            <x v="0"/>
          </reference>
          <reference field="22" count="1" selected="0">
            <x v="0"/>
          </reference>
          <reference field="23" count="1">
            <x v="27"/>
          </reference>
        </references>
      </pivotArea>
    </format>
    <format dxfId="1161">
      <pivotArea dataOnly="0" labelOnly="1" outline="0" fieldPosition="0">
        <references count="6">
          <reference field="0" count="1" selected="0">
            <x v="3"/>
          </reference>
          <reference field="1" count="1" selected="0">
            <x v="150"/>
          </reference>
          <reference field="20" count="1" selected="0">
            <x v="0"/>
          </reference>
          <reference field="21" count="1" selected="0">
            <x v="0"/>
          </reference>
          <reference field="22" count="1" selected="0">
            <x v="0"/>
          </reference>
          <reference field="23" count="1">
            <x v="57"/>
          </reference>
        </references>
      </pivotArea>
    </format>
    <format dxfId="1160">
      <pivotArea dataOnly="0" labelOnly="1" outline="0" fieldPosition="0">
        <references count="6">
          <reference field="0" count="1" selected="0">
            <x v="3"/>
          </reference>
          <reference field="1" count="1" selected="0">
            <x v="151"/>
          </reference>
          <reference field="20" count="1" selected="0">
            <x v="0"/>
          </reference>
          <reference field="21" count="1" selected="0">
            <x v="0"/>
          </reference>
          <reference field="22" count="1" selected="0">
            <x v="0"/>
          </reference>
          <reference field="23" count="1">
            <x v="18"/>
          </reference>
        </references>
      </pivotArea>
    </format>
    <format dxfId="1159">
      <pivotArea dataOnly="0" labelOnly="1" outline="0" fieldPosition="0">
        <references count="6">
          <reference field="0" count="1" selected="0">
            <x v="2"/>
          </reference>
          <reference field="1" count="1" selected="0">
            <x v="152"/>
          </reference>
          <reference field="20" count="1" selected="0">
            <x v="0"/>
          </reference>
          <reference field="21" count="1" selected="0">
            <x v="0"/>
          </reference>
          <reference field="22" count="1" selected="0">
            <x v="24"/>
          </reference>
          <reference field="23" count="1">
            <x v="0"/>
          </reference>
        </references>
      </pivotArea>
    </format>
    <format dxfId="1158">
      <pivotArea dataOnly="0" labelOnly="1" outline="0" fieldPosition="0">
        <references count="6">
          <reference field="0" count="1" selected="0">
            <x v="3"/>
          </reference>
          <reference field="1" count="1" selected="0">
            <x v="153"/>
          </reference>
          <reference field="20" count="1" selected="0">
            <x v="0"/>
          </reference>
          <reference field="21" count="1" selected="0">
            <x v="0"/>
          </reference>
          <reference field="22" count="1" selected="0">
            <x v="0"/>
          </reference>
          <reference field="23" count="1">
            <x v="17"/>
          </reference>
        </references>
      </pivotArea>
    </format>
    <format dxfId="1157">
      <pivotArea dataOnly="0" labelOnly="1" outline="0" fieldPosition="0">
        <references count="6">
          <reference field="0" count="1" selected="0">
            <x v="6"/>
          </reference>
          <reference field="1" count="1" selected="0">
            <x v="154"/>
          </reference>
          <reference field="20" count="1" selected="0">
            <x v="0"/>
          </reference>
          <reference field="21" count="1" selected="0">
            <x v="0"/>
          </reference>
          <reference field="22" count="1" selected="0">
            <x v="0"/>
          </reference>
          <reference field="23" count="1">
            <x v="0"/>
          </reference>
        </references>
      </pivotArea>
    </format>
    <format dxfId="1156">
      <pivotArea dataOnly="0" labelOnly="1" outline="0" fieldPosition="0">
        <references count="6">
          <reference field="0" count="1" selected="0">
            <x v="3"/>
          </reference>
          <reference field="1" count="1" selected="0">
            <x v="155"/>
          </reference>
          <reference field="20" count="1" selected="0">
            <x v="0"/>
          </reference>
          <reference field="21" count="1" selected="0">
            <x v="0"/>
          </reference>
          <reference field="22" count="1" selected="0">
            <x v="0"/>
          </reference>
          <reference field="23" count="1">
            <x v="70"/>
          </reference>
        </references>
      </pivotArea>
    </format>
    <format dxfId="1155">
      <pivotArea dataOnly="0" labelOnly="1" outline="0" fieldPosition="0">
        <references count="6">
          <reference field="0" count="1" selected="0">
            <x v="3"/>
          </reference>
          <reference field="1" count="1" selected="0">
            <x v="156"/>
          </reference>
          <reference field="20" count="1" selected="0">
            <x v="0"/>
          </reference>
          <reference field="21" count="1" selected="0">
            <x v="0"/>
          </reference>
          <reference field="22" count="1" selected="0">
            <x v="0"/>
          </reference>
          <reference field="23" count="1">
            <x v="33"/>
          </reference>
        </references>
      </pivotArea>
    </format>
    <format dxfId="1154">
      <pivotArea dataOnly="0" labelOnly="1" outline="0" fieldPosition="0">
        <references count="6">
          <reference field="0" count="1" selected="0">
            <x v="7"/>
          </reference>
          <reference field="1" count="1" selected="0">
            <x v="157"/>
          </reference>
          <reference field="20" count="1" selected="0">
            <x v="0"/>
          </reference>
          <reference field="21" count="1" selected="0">
            <x v="0"/>
          </reference>
          <reference field="22" count="1" selected="0">
            <x v="0"/>
          </reference>
          <reference field="23" count="1">
            <x v="0"/>
          </reference>
        </references>
      </pivotArea>
    </format>
    <format dxfId="1153">
      <pivotArea dataOnly="0" labelOnly="1" outline="0" fieldPosition="0">
        <references count="6">
          <reference field="0" count="1" selected="0">
            <x v="3"/>
          </reference>
          <reference field="1" count="1" selected="0">
            <x v="158"/>
          </reference>
          <reference field="20" count="1" selected="0">
            <x v="0"/>
          </reference>
          <reference field="21" count="1" selected="0">
            <x v="0"/>
          </reference>
          <reference field="22" count="1" selected="0">
            <x v="0"/>
          </reference>
          <reference field="23" count="1">
            <x v="85"/>
          </reference>
        </references>
      </pivotArea>
    </format>
    <format dxfId="1152">
      <pivotArea dataOnly="0" labelOnly="1" outline="0" fieldPosition="0">
        <references count="6">
          <reference field="0" count="1" selected="0">
            <x v="1"/>
          </reference>
          <reference field="1" count="1" selected="0">
            <x v="159"/>
          </reference>
          <reference field="20" count="1" selected="0">
            <x v="0"/>
          </reference>
          <reference field="21" count="1" selected="0">
            <x v="7"/>
          </reference>
          <reference field="22" count="1" selected="0">
            <x v="0"/>
          </reference>
          <reference field="23" count="1">
            <x v="0"/>
          </reference>
        </references>
      </pivotArea>
    </format>
    <format dxfId="1151">
      <pivotArea dataOnly="0" labelOnly="1" outline="0" fieldPosition="0">
        <references count="6">
          <reference field="0" count="1" selected="0">
            <x v="3"/>
          </reference>
          <reference field="1" count="1" selected="0">
            <x v="161"/>
          </reference>
          <reference field="20" count="1" selected="0">
            <x v="0"/>
          </reference>
          <reference field="21" count="1" selected="0">
            <x v="0"/>
          </reference>
          <reference field="22" count="1" selected="0">
            <x v="0"/>
          </reference>
          <reference field="23" count="1">
            <x v="61"/>
          </reference>
        </references>
      </pivotArea>
    </format>
    <format dxfId="1150">
      <pivotArea dataOnly="0" labelOnly="1" outline="0" fieldPosition="0">
        <references count="6">
          <reference field="0" count="1" selected="0">
            <x v="3"/>
          </reference>
          <reference field="1" count="1" selected="0">
            <x v="162"/>
          </reference>
          <reference field="20" count="1" selected="0">
            <x v="0"/>
          </reference>
          <reference field="21" count="1" selected="0">
            <x v="0"/>
          </reference>
          <reference field="22" count="1" selected="0">
            <x v="0"/>
          </reference>
          <reference field="23" count="1">
            <x v="64"/>
          </reference>
        </references>
      </pivotArea>
    </format>
    <format dxfId="1149">
      <pivotArea dataOnly="0" labelOnly="1" outline="0" fieldPosition="0">
        <references count="6">
          <reference field="0" count="1" selected="0">
            <x v="3"/>
          </reference>
          <reference field="1" count="1" selected="0">
            <x v="163"/>
          </reference>
          <reference field="20" count="1" selected="0">
            <x v="0"/>
          </reference>
          <reference field="21" count="1" selected="0">
            <x v="0"/>
          </reference>
          <reference field="22" count="1" selected="0">
            <x v="0"/>
          </reference>
          <reference field="23" count="1">
            <x v="96"/>
          </reference>
        </references>
      </pivotArea>
    </format>
    <format dxfId="1148">
      <pivotArea dataOnly="0" labelOnly="1" outline="0" fieldPosition="0">
        <references count="6">
          <reference field="0" count="1" selected="0">
            <x v="2"/>
          </reference>
          <reference field="1" count="1" selected="0">
            <x v="164"/>
          </reference>
          <reference field="20" count="1" selected="0">
            <x v="0"/>
          </reference>
          <reference field="21" count="1" selected="0">
            <x v="0"/>
          </reference>
          <reference field="22" count="1" selected="0">
            <x v="23"/>
          </reference>
          <reference field="23" count="1">
            <x v="0"/>
          </reference>
        </references>
      </pivotArea>
    </format>
    <format dxfId="1147">
      <pivotArea dataOnly="0" labelOnly="1" outline="0" fieldPosition="0">
        <references count="6">
          <reference field="0" count="1" selected="0">
            <x v="3"/>
          </reference>
          <reference field="1" count="1" selected="0">
            <x v="165"/>
          </reference>
          <reference field="20" count="1" selected="0">
            <x v="0"/>
          </reference>
          <reference field="21" count="1" selected="0">
            <x v="0"/>
          </reference>
          <reference field="22" count="1" selected="0">
            <x v="0"/>
          </reference>
          <reference field="23" count="1">
            <x v="90"/>
          </reference>
        </references>
      </pivotArea>
    </format>
    <format dxfId="1146">
      <pivotArea dataOnly="0" labelOnly="1" outline="0" fieldPosition="0">
        <references count="6">
          <reference field="0" count="1" selected="0">
            <x v="5"/>
          </reference>
          <reference field="1" count="1" selected="0">
            <x v="166"/>
          </reference>
          <reference field="20" count="1" selected="0">
            <x v="0"/>
          </reference>
          <reference field="21" count="1" selected="0">
            <x v="0"/>
          </reference>
          <reference field="22" count="1" selected="0">
            <x v="0"/>
          </reference>
          <reference field="23" count="1">
            <x v="0"/>
          </reference>
        </references>
      </pivotArea>
    </format>
    <format dxfId="1145">
      <pivotArea dataOnly="0" labelOnly="1" outline="0" fieldPosition="0">
        <references count="6">
          <reference field="0" count="1" selected="0">
            <x v="3"/>
          </reference>
          <reference field="1" count="1" selected="0">
            <x v="167"/>
          </reference>
          <reference field="20" count="1" selected="0">
            <x v="0"/>
          </reference>
          <reference field="21" count="1" selected="0">
            <x v="0"/>
          </reference>
          <reference field="22" count="1" selected="0">
            <x v="0"/>
          </reference>
          <reference field="23" count="1">
            <x v="91"/>
          </reference>
        </references>
      </pivotArea>
    </format>
    <format dxfId="1144">
      <pivotArea dataOnly="0" labelOnly="1" outline="0" fieldPosition="0">
        <references count="6">
          <reference field="0" count="1" selected="0">
            <x v="0"/>
          </reference>
          <reference field="1" count="1" selected="0">
            <x v="168"/>
          </reference>
          <reference field="20" count="1" selected="0">
            <x v="7"/>
          </reference>
          <reference field="21" count="1" selected="0">
            <x v="0"/>
          </reference>
          <reference field="22" count="1" selected="0">
            <x v="0"/>
          </reference>
          <reference field="23" count="1">
            <x v="0"/>
          </reference>
        </references>
      </pivotArea>
    </format>
    <format dxfId="1143">
      <pivotArea dataOnly="0" labelOnly="1" outline="0" fieldPosition="0">
        <references count="6">
          <reference field="0" count="1" selected="0">
            <x v="3"/>
          </reference>
          <reference field="1" count="1" selected="0">
            <x v="171"/>
          </reference>
          <reference field="20" count="1" selected="0">
            <x v="0"/>
          </reference>
          <reference field="21" count="1" selected="0">
            <x v="0"/>
          </reference>
          <reference field="22" count="1" selected="0">
            <x v="0"/>
          </reference>
          <reference field="23" count="1">
            <x v="84"/>
          </reference>
        </references>
      </pivotArea>
    </format>
    <format dxfId="1142">
      <pivotArea dataOnly="0" labelOnly="1" outline="0" fieldPosition="0">
        <references count="6">
          <reference field="0" count="1" selected="0">
            <x v="3"/>
          </reference>
          <reference field="1" count="1" selected="0">
            <x v="172"/>
          </reference>
          <reference field="20" count="1" selected="0">
            <x v="0"/>
          </reference>
          <reference field="21" count="1" selected="0">
            <x v="0"/>
          </reference>
          <reference field="22" count="1" selected="0">
            <x v="0"/>
          </reference>
          <reference field="23" count="1">
            <x v="105"/>
          </reference>
        </references>
      </pivotArea>
    </format>
    <format dxfId="1141">
      <pivotArea dataOnly="0" labelOnly="1" outline="0" fieldPosition="0">
        <references count="6">
          <reference field="0" count="1" selected="0">
            <x v="3"/>
          </reference>
          <reference field="1" count="1" selected="0">
            <x v="173"/>
          </reference>
          <reference field="20" count="1" selected="0">
            <x v="0"/>
          </reference>
          <reference field="21" count="1" selected="0">
            <x v="0"/>
          </reference>
          <reference field="22" count="1" selected="0">
            <x v="0"/>
          </reference>
          <reference field="23" count="1">
            <x v="55"/>
          </reference>
        </references>
      </pivotArea>
    </format>
    <format dxfId="1140">
      <pivotArea dataOnly="0" labelOnly="1" outline="0" fieldPosition="0">
        <references count="6">
          <reference field="0" count="1" selected="0">
            <x v="0"/>
          </reference>
          <reference field="1" count="1" selected="0">
            <x v="209"/>
          </reference>
          <reference field="20" count="1" selected="0">
            <x v="5"/>
          </reference>
          <reference field="21" count="1" selected="0">
            <x v="0"/>
          </reference>
          <reference field="22" count="1" selected="0">
            <x v="0"/>
          </reference>
          <reference field="23" count="1">
            <x v="0"/>
          </reference>
        </references>
      </pivotArea>
    </format>
    <format dxfId="1139">
      <pivotArea dataOnly="0" labelOnly="1" outline="0" fieldPosition="0">
        <references count="6">
          <reference field="0" count="1" selected="0">
            <x v="3"/>
          </reference>
          <reference field="1" count="1" selected="0">
            <x v="211"/>
          </reference>
          <reference field="20" count="1" selected="0">
            <x v="0"/>
          </reference>
          <reference field="21" count="1" selected="0">
            <x v="0"/>
          </reference>
          <reference field="22" count="1" selected="0">
            <x v="0"/>
          </reference>
          <reference field="23" count="1">
            <x v="36"/>
          </reference>
        </references>
      </pivotArea>
    </format>
    <format dxfId="1138">
      <pivotArea dataOnly="0" labelOnly="1" outline="0" fieldPosition="0">
        <references count="6">
          <reference field="0" count="1" selected="0">
            <x v="0"/>
          </reference>
          <reference field="1" count="1" selected="0">
            <x v="212"/>
          </reference>
          <reference field="20" count="1" selected="0">
            <x v="8"/>
          </reference>
          <reference field="21" count="1" selected="0">
            <x v="0"/>
          </reference>
          <reference field="22" count="1" selected="0">
            <x v="0"/>
          </reference>
          <reference field="23" count="1">
            <x v="0"/>
          </reference>
        </references>
      </pivotArea>
    </format>
    <format dxfId="1137">
      <pivotArea dataOnly="0" labelOnly="1" outline="0" fieldPosition="0">
        <references count="6">
          <reference field="0" count="1" selected="0">
            <x v="3"/>
          </reference>
          <reference field="1" count="1" selected="0">
            <x v="213"/>
          </reference>
          <reference field="20" count="1" selected="0">
            <x v="0"/>
          </reference>
          <reference field="21" count="1" selected="0">
            <x v="0"/>
          </reference>
          <reference field="22" count="1" selected="0">
            <x v="0"/>
          </reference>
          <reference field="23" count="1">
            <x v="99"/>
          </reference>
        </references>
      </pivotArea>
    </format>
    <format dxfId="1136">
      <pivotArea dataOnly="0" labelOnly="1" outline="0" fieldPosition="0">
        <references count="7">
          <reference field="0" count="1" selected="0">
            <x v="0"/>
          </reference>
          <reference field="1" count="1" selected="0">
            <x v="0"/>
          </reference>
          <reference field="5" count="1">
            <x v="2"/>
          </reference>
          <reference field="20" count="1" selected="0">
            <x v="9"/>
          </reference>
          <reference field="21" count="1" selected="0">
            <x v="0"/>
          </reference>
          <reference field="22" count="1" selected="0">
            <x v="0"/>
          </reference>
          <reference field="23" count="1" selected="0">
            <x v="0"/>
          </reference>
        </references>
      </pivotArea>
    </format>
    <format dxfId="1135">
      <pivotArea dataOnly="0" labelOnly="1" outline="0" fieldPosition="0">
        <references count="7">
          <reference field="0" count="1" selected="0">
            <x v="1"/>
          </reference>
          <reference field="1" count="1" selected="0">
            <x v="1"/>
          </reference>
          <reference field="5" count="1">
            <x v="1"/>
          </reference>
          <reference field="20" count="1" selected="0">
            <x v="0"/>
          </reference>
          <reference field="21" count="1" selected="0">
            <x v="12"/>
          </reference>
          <reference field="22" count="1" selected="0">
            <x v="0"/>
          </reference>
          <reference field="23" count="1" selected="0">
            <x v="0"/>
          </reference>
        </references>
      </pivotArea>
    </format>
    <format dxfId="1134">
      <pivotArea dataOnly="0" labelOnly="1" outline="0" fieldPosition="0">
        <references count="7">
          <reference field="0" count="1" selected="0">
            <x v="1"/>
          </reference>
          <reference field="1" count="1" selected="0">
            <x v="2"/>
          </reference>
          <reference field="5" count="1">
            <x v="2"/>
          </reference>
          <reference field="20" count="1" selected="0">
            <x v="0"/>
          </reference>
          <reference field="21" count="1" selected="0">
            <x v="18"/>
          </reference>
          <reference field="22" count="1" selected="0">
            <x v="0"/>
          </reference>
          <reference field="23" count="1" selected="0">
            <x v="0"/>
          </reference>
        </references>
      </pivotArea>
    </format>
    <format dxfId="1133">
      <pivotArea dataOnly="0" labelOnly="1" outline="0" fieldPosition="0">
        <references count="7">
          <reference field="0" count="1" selected="0">
            <x v="1"/>
          </reference>
          <reference field="1" count="1" selected="0">
            <x v="4"/>
          </reference>
          <reference field="5" count="1">
            <x v="1"/>
          </reference>
          <reference field="20" count="1" selected="0">
            <x v="0"/>
          </reference>
          <reference field="21" count="1" selected="0">
            <x v="6"/>
          </reference>
          <reference field="22" count="1" selected="0">
            <x v="0"/>
          </reference>
          <reference field="23" count="1" selected="0">
            <x v="0"/>
          </reference>
        </references>
      </pivotArea>
    </format>
    <format dxfId="1132">
      <pivotArea dataOnly="0" labelOnly="1" outline="0" fieldPosition="0">
        <references count="7">
          <reference field="0" count="1" selected="0">
            <x v="3"/>
          </reference>
          <reference field="1" count="1" selected="0">
            <x v="6"/>
          </reference>
          <reference field="5" count="1">
            <x v="0"/>
          </reference>
          <reference field="20" count="1" selected="0">
            <x v="0"/>
          </reference>
          <reference field="21" count="1" selected="0">
            <x v="0"/>
          </reference>
          <reference field="22" count="1" selected="0">
            <x v="0"/>
          </reference>
          <reference field="23" count="1" selected="0">
            <x v="106"/>
          </reference>
        </references>
      </pivotArea>
    </format>
    <format dxfId="1131">
      <pivotArea dataOnly="0" labelOnly="1" outline="0" fieldPosition="0">
        <references count="8">
          <reference field="0" count="1" selected="0">
            <x v="0"/>
          </reference>
          <reference field="1" count="1" selected="0">
            <x v="0"/>
          </reference>
          <reference field="5" count="1" selected="0">
            <x v="2"/>
          </reference>
          <reference field="20" count="1" selected="0">
            <x v="9"/>
          </reference>
          <reference field="21" count="1" selected="0">
            <x v="0"/>
          </reference>
          <reference field="22" count="1" selected="0">
            <x v="0"/>
          </reference>
          <reference field="23" count="1" selected="0">
            <x v="0"/>
          </reference>
          <reference field="24" count="1">
            <x v="80"/>
          </reference>
        </references>
      </pivotArea>
    </format>
    <format dxfId="1130">
      <pivotArea dataOnly="0" labelOnly="1" outline="0" fieldPosition="0">
        <references count="8">
          <reference field="0" count="1" selected="0">
            <x v="1"/>
          </reference>
          <reference field="1" count="1" selected="0">
            <x v="1"/>
          </reference>
          <reference field="5" count="1" selected="0">
            <x v="1"/>
          </reference>
          <reference field="20" count="1" selected="0">
            <x v="0"/>
          </reference>
          <reference field="21" count="1" selected="0">
            <x v="12"/>
          </reference>
          <reference field="22" count="1" selected="0">
            <x v="0"/>
          </reference>
          <reference field="23" count="1" selected="0">
            <x v="0"/>
          </reference>
          <reference field="24" count="1">
            <x v="8"/>
          </reference>
        </references>
      </pivotArea>
    </format>
    <format dxfId="1129">
      <pivotArea dataOnly="0" labelOnly="1" outline="0" fieldPosition="0">
        <references count="8">
          <reference field="0" count="1" selected="0">
            <x v="1"/>
          </reference>
          <reference field="1" count="1" selected="0">
            <x v="2"/>
          </reference>
          <reference field="5" count="1" selected="0">
            <x v="2"/>
          </reference>
          <reference field="20" count="1" selected="0">
            <x v="0"/>
          </reference>
          <reference field="21" count="1" selected="0">
            <x v="18"/>
          </reference>
          <reference field="22" count="1" selected="0">
            <x v="0"/>
          </reference>
          <reference field="23" count="1" selected="0">
            <x v="0"/>
          </reference>
          <reference field="24" count="1">
            <x v="81"/>
          </reference>
        </references>
      </pivotArea>
    </format>
    <format dxfId="1128">
      <pivotArea dataOnly="0" labelOnly="1" outline="0" fieldPosition="0">
        <references count="8">
          <reference field="0" count="1" selected="0">
            <x v="0"/>
          </reference>
          <reference field="1" count="1" selected="0">
            <x v="3"/>
          </reference>
          <reference field="5" count="1" selected="0">
            <x v="2"/>
          </reference>
          <reference field="20" count="1" selected="0">
            <x v="6"/>
          </reference>
          <reference field="21" count="1" selected="0">
            <x v="0"/>
          </reference>
          <reference field="22" count="1" selected="0">
            <x v="0"/>
          </reference>
          <reference field="23" count="1" selected="0">
            <x v="0"/>
          </reference>
          <reference field="24" count="1">
            <x v="80"/>
          </reference>
        </references>
      </pivotArea>
    </format>
    <format dxfId="1127">
      <pivotArea dataOnly="0" labelOnly="1" outline="0" fieldPosition="0">
        <references count="8">
          <reference field="0" count="1" selected="0">
            <x v="3"/>
          </reference>
          <reference field="1" count="1" selected="0">
            <x v="6"/>
          </reference>
          <reference field="5" count="1" selected="0">
            <x v="0"/>
          </reference>
          <reference field="20" count="1" selected="0">
            <x v="0"/>
          </reference>
          <reference field="21" count="1" selected="0">
            <x v="0"/>
          </reference>
          <reference field="22" count="1" selected="0">
            <x v="0"/>
          </reference>
          <reference field="23" count="1" selected="0">
            <x v="106"/>
          </reference>
          <reference field="24" count="1">
            <x v="37"/>
          </reference>
        </references>
      </pivotArea>
    </format>
    <format dxfId="1126">
      <pivotArea dataOnly="0" labelOnly="1" outline="0" fieldPosition="0">
        <references count="8">
          <reference field="0" count="1" selected="0">
            <x v="3"/>
          </reference>
          <reference field="1" count="1" selected="0">
            <x v="7"/>
          </reference>
          <reference field="5" count="1" selected="0">
            <x v="0"/>
          </reference>
          <reference field="20" count="1" selected="0">
            <x v="0"/>
          </reference>
          <reference field="21" count="1" selected="0">
            <x v="0"/>
          </reference>
          <reference field="22" count="1" selected="0">
            <x v="0"/>
          </reference>
          <reference field="23" count="1" selected="0">
            <x v="71"/>
          </reference>
          <reference field="24" count="1">
            <x v="51"/>
          </reference>
        </references>
      </pivotArea>
    </format>
    <format dxfId="1125">
      <pivotArea dataOnly="0" labelOnly="1" outline="0" fieldPosition="0">
        <references count="8">
          <reference field="0" count="1" selected="0">
            <x v="3"/>
          </reference>
          <reference field="1" count="1" selected="0">
            <x v="8"/>
          </reference>
          <reference field="5" count="1" selected="0">
            <x v="2"/>
          </reference>
          <reference field="20" count="1" selected="0">
            <x v="0"/>
          </reference>
          <reference field="21" count="1" selected="0">
            <x v="0"/>
          </reference>
          <reference field="22" count="1" selected="0">
            <x v="0"/>
          </reference>
          <reference field="23" count="1" selected="0">
            <x v="40"/>
          </reference>
          <reference field="24" count="1">
            <x v="82"/>
          </reference>
        </references>
      </pivotArea>
    </format>
    <format dxfId="1124">
      <pivotArea dataOnly="0" labelOnly="1" outline="0" fieldPosition="0">
        <references count="8">
          <reference field="0" count="1" selected="0">
            <x v="1"/>
          </reference>
          <reference field="1" count="1" selected="0">
            <x v="9"/>
          </reference>
          <reference field="5" count="1" selected="0">
            <x v="2"/>
          </reference>
          <reference field="20" count="1" selected="0">
            <x v="0"/>
          </reference>
          <reference field="21" count="1" selected="0">
            <x v="2"/>
          </reference>
          <reference field="22" count="1" selected="0">
            <x v="0"/>
          </reference>
          <reference field="23" count="1" selected="0">
            <x v="0"/>
          </reference>
          <reference field="24" count="1">
            <x v="80"/>
          </reference>
        </references>
      </pivotArea>
    </format>
    <format dxfId="1123">
      <pivotArea dataOnly="0" labelOnly="1" outline="0" fieldPosition="0">
        <references count="8">
          <reference field="0" count="1" selected="0">
            <x v="3"/>
          </reference>
          <reference field="1" count="1" selected="0">
            <x v="11"/>
          </reference>
          <reference field="5" count="1" selected="0">
            <x v="2"/>
          </reference>
          <reference field="20" count="1" selected="0">
            <x v="0"/>
          </reference>
          <reference field="21" count="1" selected="0">
            <x v="0"/>
          </reference>
          <reference field="22" count="1" selected="0">
            <x v="0"/>
          </reference>
          <reference field="23" count="1" selected="0">
            <x v="23"/>
          </reference>
          <reference field="24" count="1">
            <x v="40"/>
          </reference>
        </references>
      </pivotArea>
    </format>
    <format dxfId="1122">
      <pivotArea dataOnly="0" labelOnly="1" outline="0" fieldPosition="0">
        <references count="8">
          <reference field="0" count="1" selected="0">
            <x v="3"/>
          </reference>
          <reference field="1" count="1" selected="0">
            <x v="12"/>
          </reference>
          <reference field="5" count="1" selected="0">
            <x v="2"/>
          </reference>
          <reference field="20" count="1" selected="0">
            <x v="0"/>
          </reference>
          <reference field="21" count="1" selected="0">
            <x v="0"/>
          </reference>
          <reference field="22" count="1" selected="0">
            <x v="0"/>
          </reference>
          <reference field="23" count="1" selected="0">
            <x v="93"/>
          </reference>
          <reference field="24" count="1">
            <x v="19"/>
          </reference>
        </references>
      </pivotArea>
    </format>
    <format dxfId="1121">
      <pivotArea dataOnly="0" labelOnly="1" outline="0" fieldPosition="0">
        <references count="8">
          <reference field="0" count="1" selected="0">
            <x v="3"/>
          </reference>
          <reference field="1" count="1" selected="0">
            <x v="13"/>
          </reference>
          <reference field="5" count="1" selected="0">
            <x v="2"/>
          </reference>
          <reference field="20" count="1" selected="0">
            <x v="0"/>
          </reference>
          <reference field="21" count="1" selected="0">
            <x v="0"/>
          </reference>
          <reference field="22" count="1" selected="0">
            <x v="0"/>
          </reference>
          <reference field="23" count="1" selected="0">
            <x v="25"/>
          </reference>
          <reference field="24" count="1">
            <x v="37"/>
          </reference>
        </references>
      </pivotArea>
    </format>
    <format dxfId="1120">
      <pivotArea dataOnly="0" labelOnly="1" outline="0" fieldPosition="0">
        <references count="8">
          <reference field="0" count="1" selected="0">
            <x v="1"/>
          </reference>
          <reference field="1" count="1" selected="0">
            <x v="14"/>
          </reference>
          <reference field="5" count="1" selected="0">
            <x v="2"/>
          </reference>
          <reference field="20" count="1" selected="0">
            <x v="0"/>
          </reference>
          <reference field="21" count="1" selected="0">
            <x v="10"/>
          </reference>
          <reference field="22" count="1" selected="0">
            <x v="0"/>
          </reference>
          <reference field="23" count="1" selected="0">
            <x v="0"/>
          </reference>
          <reference field="24" count="1">
            <x v="80"/>
          </reference>
        </references>
      </pivotArea>
    </format>
    <format dxfId="1119">
      <pivotArea dataOnly="0" labelOnly="1" outline="0" fieldPosition="0">
        <references count="8">
          <reference field="0" count="1" selected="0">
            <x v="3"/>
          </reference>
          <reference field="1" count="1" selected="0">
            <x v="16"/>
          </reference>
          <reference field="5" count="1" selected="0">
            <x v="2"/>
          </reference>
          <reference field="20" count="1" selected="0">
            <x v="0"/>
          </reference>
          <reference field="21" count="1" selected="0">
            <x v="0"/>
          </reference>
          <reference field="22" count="1" selected="0">
            <x v="0"/>
          </reference>
          <reference field="23" count="1" selected="0">
            <x v="15"/>
          </reference>
          <reference field="24" count="1">
            <x v="37"/>
          </reference>
        </references>
      </pivotArea>
    </format>
    <format dxfId="1118">
      <pivotArea dataOnly="0" labelOnly="1" outline="0" fieldPosition="0">
        <references count="8">
          <reference field="0" count="1" selected="0">
            <x v="3"/>
          </reference>
          <reference field="1" count="1" selected="0">
            <x v="17"/>
          </reference>
          <reference field="5" count="1" selected="0">
            <x v="2"/>
          </reference>
          <reference field="20" count="1" selected="0">
            <x v="0"/>
          </reference>
          <reference field="21" count="1" selected="0">
            <x v="0"/>
          </reference>
          <reference field="22" count="1" selected="0">
            <x v="0"/>
          </reference>
          <reference field="23" count="1" selected="0">
            <x v="21"/>
          </reference>
          <reference field="24" count="1">
            <x v="20"/>
          </reference>
        </references>
      </pivotArea>
    </format>
    <format dxfId="1117">
      <pivotArea dataOnly="0" labelOnly="1" outline="0" fieldPosition="0">
        <references count="8">
          <reference field="0" count="1" selected="0">
            <x v="3"/>
          </reference>
          <reference field="1" count="1" selected="0">
            <x v="18"/>
          </reference>
          <reference field="5" count="1" selected="0">
            <x v="2"/>
          </reference>
          <reference field="20" count="1" selected="0">
            <x v="0"/>
          </reference>
          <reference field="21" count="1" selected="0">
            <x v="0"/>
          </reference>
          <reference field="22" count="1" selected="0">
            <x v="0"/>
          </reference>
          <reference field="23" count="1" selected="0">
            <x v="20"/>
          </reference>
          <reference field="24" count="1">
            <x v="2"/>
          </reference>
        </references>
      </pivotArea>
    </format>
    <format dxfId="1116">
      <pivotArea dataOnly="0" labelOnly="1" outline="0" fieldPosition="0">
        <references count="8">
          <reference field="0" count="1" selected="0">
            <x v="2"/>
          </reference>
          <reference field="1" count="1" selected="0">
            <x v="19"/>
          </reference>
          <reference field="5" count="1" selected="0">
            <x v="2"/>
          </reference>
          <reference field="20" count="1" selected="0">
            <x v="0"/>
          </reference>
          <reference field="21" count="1" selected="0">
            <x v="0"/>
          </reference>
          <reference field="22" count="1" selected="0">
            <x v="28"/>
          </reference>
          <reference field="23" count="1" selected="0">
            <x v="0"/>
          </reference>
          <reference field="24" count="1">
            <x v="80"/>
          </reference>
        </references>
      </pivotArea>
    </format>
    <format dxfId="1115">
      <pivotArea dataOnly="0" labelOnly="1" outline="0" fieldPosition="0">
        <references count="8">
          <reference field="0" count="1" selected="0">
            <x v="3"/>
          </reference>
          <reference field="1" count="1" selected="0">
            <x v="20"/>
          </reference>
          <reference field="5" count="1" selected="0">
            <x v="2"/>
          </reference>
          <reference field="20" count="1" selected="0">
            <x v="0"/>
          </reference>
          <reference field="21" count="1" selected="0">
            <x v="0"/>
          </reference>
          <reference field="22" count="1" selected="0">
            <x v="0"/>
          </reference>
          <reference field="23" count="1" selected="0">
            <x v="100"/>
          </reference>
          <reference field="24" count="1">
            <x v="77"/>
          </reference>
        </references>
      </pivotArea>
    </format>
    <format dxfId="1114">
      <pivotArea dataOnly="0" labelOnly="1" outline="0" fieldPosition="0">
        <references count="8">
          <reference field="0" count="1" selected="0">
            <x v="2"/>
          </reference>
          <reference field="1" count="1" selected="0">
            <x v="21"/>
          </reference>
          <reference field="5" count="1" selected="0">
            <x v="2"/>
          </reference>
          <reference field="20" count="1" selected="0">
            <x v="0"/>
          </reference>
          <reference field="21" count="1" selected="0">
            <x v="0"/>
          </reference>
          <reference field="22" count="1" selected="0">
            <x v="21"/>
          </reference>
          <reference field="23" count="1" selected="0">
            <x v="0"/>
          </reference>
          <reference field="24" count="1">
            <x v="80"/>
          </reference>
        </references>
      </pivotArea>
    </format>
    <format dxfId="1113">
      <pivotArea dataOnly="0" labelOnly="1" outline="0" fieldPosition="0">
        <references count="8">
          <reference field="0" count="1" selected="0">
            <x v="3"/>
          </reference>
          <reference field="1" count="1" selected="0">
            <x v="22"/>
          </reference>
          <reference field="5" count="1" selected="0">
            <x v="2"/>
          </reference>
          <reference field="20" count="1" selected="0">
            <x v="0"/>
          </reference>
          <reference field="21" count="1" selected="0">
            <x v="0"/>
          </reference>
          <reference field="22" count="1" selected="0">
            <x v="0"/>
          </reference>
          <reference field="23" count="1" selected="0">
            <x v="103"/>
          </reference>
          <reference field="24" count="1">
            <x v="2"/>
          </reference>
        </references>
      </pivotArea>
    </format>
    <format dxfId="1112">
      <pivotArea dataOnly="0" labelOnly="1" outline="0" fieldPosition="0">
        <references count="8">
          <reference field="0" count="1" selected="0">
            <x v="1"/>
          </reference>
          <reference field="1" count="1" selected="0">
            <x v="24"/>
          </reference>
          <reference field="5" count="1" selected="0">
            <x v="2"/>
          </reference>
          <reference field="20" count="1" selected="0">
            <x v="0"/>
          </reference>
          <reference field="21" count="1" selected="0">
            <x v="9"/>
          </reference>
          <reference field="22" count="1" selected="0">
            <x v="0"/>
          </reference>
          <reference field="23" count="1" selected="0">
            <x v="0"/>
          </reference>
          <reference field="24" count="1">
            <x v="80"/>
          </reference>
        </references>
      </pivotArea>
    </format>
    <format dxfId="1111">
      <pivotArea dataOnly="0" labelOnly="1" outline="0" fieldPosition="0">
        <references count="8">
          <reference field="0" count="1" selected="0">
            <x v="3"/>
          </reference>
          <reference field="1" count="1" selected="0">
            <x v="26"/>
          </reference>
          <reference field="5" count="1" selected="0">
            <x v="2"/>
          </reference>
          <reference field="20" count="1" selected="0">
            <x v="0"/>
          </reference>
          <reference field="21" count="1" selected="0">
            <x v="0"/>
          </reference>
          <reference field="22" count="1" selected="0">
            <x v="0"/>
          </reference>
          <reference field="23" count="1" selected="0">
            <x v="66"/>
          </reference>
          <reference field="24" count="1">
            <x v="19"/>
          </reference>
        </references>
      </pivotArea>
    </format>
    <format dxfId="1110">
      <pivotArea dataOnly="0" labelOnly="1" outline="0" fieldPosition="0">
        <references count="8">
          <reference field="0" count="1" selected="0">
            <x v="3"/>
          </reference>
          <reference field="1" count="1" selected="0">
            <x v="27"/>
          </reference>
          <reference field="5" count="1" selected="0">
            <x v="2"/>
          </reference>
          <reference field="20" count="1" selected="0">
            <x v="0"/>
          </reference>
          <reference field="21" count="1" selected="0">
            <x v="0"/>
          </reference>
          <reference field="22" count="1" selected="0">
            <x v="0"/>
          </reference>
          <reference field="23" count="1" selected="0">
            <x v="39"/>
          </reference>
          <reference field="24" count="1">
            <x v="46"/>
          </reference>
        </references>
      </pivotArea>
    </format>
    <format dxfId="1109">
      <pivotArea dataOnly="0" labelOnly="1" outline="0" fieldPosition="0">
        <references count="8">
          <reference field="0" count="1" selected="0">
            <x v="3"/>
          </reference>
          <reference field="1" count="1" selected="0">
            <x v="28"/>
          </reference>
          <reference field="5" count="1" selected="0">
            <x v="2"/>
          </reference>
          <reference field="20" count="1" selected="0">
            <x v="0"/>
          </reference>
          <reference field="21" count="1" selected="0">
            <x v="0"/>
          </reference>
          <reference field="22" count="1" selected="0">
            <x v="0"/>
          </reference>
          <reference field="23" count="1" selected="0">
            <x v="26"/>
          </reference>
          <reference field="24" count="1">
            <x v="20"/>
          </reference>
        </references>
      </pivotArea>
    </format>
    <format dxfId="1108">
      <pivotArea dataOnly="0" labelOnly="1" outline="0" fieldPosition="0">
        <references count="8">
          <reference field="0" count="1" selected="0">
            <x v="1"/>
          </reference>
          <reference field="1" count="1" selected="0">
            <x v="29"/>
          </reference>
          <reference field="5" count="1" selected="0">
            <x v="2"/>
          </reference>
          <reference field="20" count="1" selected="0">
            <x v="0"/>
          </reference>
          <reference field="21" count="1" selected="0">
            <x v="17"/>
          </reference>
          <reference field="22" count="1" selected="0">
            <x v="0"/>
          </reference>
          <reference field="23" count="1" selected="0">
            <x v="0"/>
          </reference>
          <reference field="24" count="1">
            <x v="80"/>
          </reference>
        </references>
      </pivotArea>
    </format>
    <format dxfId="1107">
      <pivotArea dataOnly="0" labelOnly="1" outline="0" fieldPosition="0">
        <references count="8">
          <reference field="0" count="1" selected="0">
            <x v="3"/>
          </reference>
          <reference field="1" count="1" selected="0">
            <x v="31"/>
          </reference>
          <reference field="5" count="1" selected="0">
            <x v="2"/>
          </reference>
          <reference field="20" count="1" selected="0">
            <x v="0"/>
          </reference>
          <reference field="21" count="1" selected="0">
            <x v="0"/>
          </reference>
          <reference field="22" count="1" selected="0">
            <x v="0"/>
          </reference>
          <reference field="23" count="1" selected="0">
            <x v="87"/>
          </reference>
          <reference field="24" count="1">
            <x v="65"/>
          </reference>
        </references>
      </pivotArea>
    </format>
    <format dxfId="1106">
      <pivotArea dataOnly="0" labelOnly="1" outline="0" fieldPosition="0">
        <references count="8">
          <reference field="0" count="1" selected="0">
            <x v="3"/>
          </reference>
          <reference field="1" count="1" selected="0">
            <x v="32"/>
          </reference>
          <reference field="5" count="1" selected="0">
            <x v="2"/>
          </reference>
          <reference field="20" count="1" selected="0">
            <x v="0"/>
          </reference>
          <reference field="21" count="1" selected="0">
            <x v="0"/>
          </reference>
          <reference field="22" count="1" selected="0">
            <x v="0"/>
          </reference>
          <reference field="23" count="1" selected="0">
            <x v="72"/>
          </reference>
          <reference field="24" count="1">
            <x v="55"/>
          </reference>
        </references>
      </pivotArea>
    </format>
    <format dxfId="1105">
      <pivotArea dataOnly="0" labelOnly="1" outline="0" fieldPosition="0">
        <references count="8">
          <reference field="0" count="1" selected="0">
            <x v="3"/>
          </reference>
          <reference field="1" count="1" selected="0">
            <x v="33"/>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104">
      <pivotArea dataOnly="0" labelOnly="1" outline="0" fieldPosition="0">
        <references count="8">
          <reference field="0" count="1" selected="0">
            <x v="3"/>
          </reference>
          <reference field="1" count="1" selected="0">
            <x v="34"/>
          </reference>
          <reference field="5" count="1" selected="0">
            <x v="2"/>
          </reference>
          <reference field="20" count="1" selected="0">
            <x v="0"/>
          </reference>
          <reference field="21" count="1" selected="0">
            <x v="0"/>
          </reference>
          <reference field="22" count="1" selected="0">
            <x v="0"/>
          </reference>
          <reference field="23" count="1" selected="0">
            <x v="73"/>
          </reference>
          <reference field="24" count="1">
            <x v="55"/>
          </reference>
        </references>
      </pivotArea>
    </format>
    <format dxfId="1103">
      <pivotArea dataOnly="0" labelOnly="1" outline="0" fieldPosition="0">
        <references count="8">
          <reference field="0" count="1" selected="0">
            <x v="3"/>
          </reference>
          <reference field="1" count="1" selected="0">
            <x v="35"/>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102">
      <pivotArea dataOnly="0" labelOnly="1" outline="0" fieldPosition="0">
        <references count="8">
          <reference field="0" count="1" selected="0">
            <x v="3"/>
          </reference>
          <reference field="1" count="1" selected="0">
            <x v="36"/>
          </reference>
          <reference field="5" count="1" selected="0">
            <x v="2"/>
          </reference>
          <reference field="20" count="1" selected="0">
            <x v="0"/>
          </reference>
          <reference field="21" count="1" selected="0">
            <x v="0"/>
          </reference>
          <reference field="22" count="1" selected="0">
            <x v="0"/>
          </reference>
          <reference field="23" count="1" selected="0">
            <x v="75"/>
          </reference>
          <reference field="24" count="1">
            <x v="55"/>
          </reference>
        </references>
      </pivotArea>
    </format>
    <format dxfId="1101">
      <pivotArea dataOnly="0" labelOnly="1" outline="0" fieldPosition="0">
        <references count="8">
          <reference field="0" count="1" selected="0">
            <x v="3"/>
          </reference>
          <reference field="1" count="1" selected="0">
            <x v="37"/>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100">
      <pivotArea dataOnly="0" labelOnly="1" outline="0" fieldPosition="0">
        <references count="8">
          <reference field="0" count="1" selected="0">
            <x v="3"/>
          </reference>
          <reference field="1" count="1" selected="0">
            <x v="38"/>
          </reference>
          <reference field="5" count="1" selected="0">
            <x v="2"/>
          </reference>
          <reference field="20" count="1" selected="0">
            <x v="0"/>
          </reference>
          <reference field="21" count="1" selected="0">
            <x v="0"/>
          </reference>
          <reference field="22" count="1" selected="0">
            <x v="0"/>
          </reference>
          <reference field="23" count="1" selected="0">
            <x v="74"/>
          </reference>
          <reference field="24" count="1">
            <x v="55"/>
          </reference>
        </references>
      </pivotArea>
    </format>
    <format dxfId="1099">
      <pivotArea dataOnly="0" labelOnly="1" outline="0" fieldPosition="0">
        <references count="8">
          <reference field="0" count="1" selected="0">
            <x v="3"/>
          </reference>
          <reference field="1" count="1" selected="0">
            <x v="39"/>
          </reference>
          <reference field="5" count="1" selected="0">
            <x v="2"/>
          </reference>
          <reference field="20" count="1" selected="0">
            <x v="0"/>
          </reference>
          <reference field="21" count="1" selected="0">
            <x v="0"/>
          </reference>
          <reference field="22" count="1" selected="0">
            <x v="0"/>
          </reference>
          <reference field="23" count="1" selected="0">
            <x v="76"/>
          </reference>
          <reference field="24" count="1">
            <x v="56"/>
          </reference>
        </references>
      </pivotArea>
    </format>
    <format dxfId="1098">
      <pivotArea dataOnly="0" labelOnly="1" outline="0" fieldPosition="0">
        <references count="8">
          <reference field="0" count="1" selected="0">
            <x v="3"/>
          </reference>
          <reference field="1" count="1" selected="0">
            <x v="40"/>
          </reference>
          <reference field="5" count="1" selected="0">
            <x v="2"/>
          </reference>
          <reference field="20" count="1" selected="0">
            <x v="0"/>
          </reference>
          <reference field="21" count="1" selected="0">
            <x v="0"/>
          </reference>
          <reference field="22" count="1" selected="0">
            <x v="0"/>
          </reference>
          <reference field="23" count="1" selected="0">
            <x v="14"/>
          </reference>
          <reference field="24" count="1">
            <x v="15"/>
          </reference>
        </references>
      </pivotArea>
    </format>
    <format dxfId="1097">
      <pivotArea dataOnly="0" labelOnly="1" outline="0" fieldPosition="0">
        <references count="8">
          <reference field="0" count="1" selected="0">
            <x v="1"/>
          </reference>
          <reference field="1" count="1" selected="0">
            <x v="41"/>
          </reference>
          <reference field="5" count="1" selected="0">
            <x v="2"/>
          </reference>
          <reference field="20" count="1" selected="0">
            <x v="0"/>
          </reference>
          <reference field="21" count="1" selected="0">
            <x v="8"/>
          </reference>
          <reference field="22" count="1" selected="0">
            <x v="0"/>
          </reference>
          <reference field="23" count="1" selected="0">
            <x v="0"/>
          </reference>
          <reference field="24" count="1">
            <x v="80"/>
          </reference>
        </references>
      </pivotArea>
    </format>
    <format dxfId="1096">
      <pivotArea dataOnly="0" labelOnly="1" outline="0" fieldPosition="0">
        <references count="8">
          <reference field="0" count="1" selected="0">
            <x v="3"/>
          </reference>
          <reference field="1" count="1" selected="0">
            <x v="42"/>
          </reference>
          <reference field="5" count="1" selected="0">
            <x v="2"/>
          </reference>
          <reference field="20" count="1" selected="0">
            <x v="0"/>
          </reference>
          <reference field="21" count="1" selected="0">
            <x v="0"/>
          </reference>
          <reference field="22" count="1" selected="0">
            <x v="0"/>
          </reference>
          <reference field="23" count="1" selected="0">
            <x v="104"/>
          </reference>
          <reference field="24" count="1">
            <x v="78"/>
          </reference>
        </references>
      </pivotArea>
    </format>
    <format dxfId="1095">
      <pivotArea dataOnly="0" labelOnly="1" outline="0" fieldPosition="0">
        <references count="8">
          <reference field="0" count="1" selected="0">
            <x v="1"/>
          </reference>
          <reference field="1" count="1" selected="0">
            <x v="43"/>
          </reference>
          <reference field="5" count="1" selected="0">
            <x v="2"/>
          </reference>
          <reference field="20" count="1" selected="0">
            <x v="0"/>
          </reference>
          <reference field="21" count="1" selected="0">
            <x v="16"/>
          </reference>
          <reference field="22" count="1" selected="0">
            <x v="0"/>
          </reference>
          <reference field="23" count="1" selected="0">
            <x v="0"/>
          </reference>
          <reference field="24" count="1">
            <x v="80"/>
          </reference>
        </references>
      </pivotArea>
    </format>
    <format dxfId="1094">
      <pivotArea dataOnly="0" labelOnly="1" outline="0" fieldPosition="0">
        <references count="8">
          <reference field="0" count="1" selected="0">
            <x v="3"/>
          </reference>
          <reference field="1" count="1" selected="0">
            <x v="44"/>
          </reference>
          <reference field="5" count="1" selected="0">
            <x v="2"/>
          </reference>
          <reference field="20" count="1" selected="0">
            <x v="0"/>
          </reference>
          <reference field="21" count="1" selected="0">
            <x v="0"/>
          </reference>
          <reference field="22" count="1" selected="0">
            <x v="0"/>
          </reference>
          <reference field="23" count="1" selected="0">
            <x v="63"/>
          </reference>
          <reference field="24" count="1">
            <x v="83"/>
          </reference>
        </references>
      </pivotArea>
    </format>
    <format dxfId="1093">
      <pivotArea dataOnly="0" labelOnly="1" outline="0" fieldPosition="0">
        <references count="8">
          <reference field="0" count="1" selected="0">
            <x v="0"/>
          </reference>
          <reference field="1" count="1" selected="0">
            <x v="48"/>
          </reference>
          <reference field="5" count="1" selected="0">
            <x v="2"/>
          </reference>
          <reference field="20" count="1" selected="0">
            <x v="4"/>
          </reference>
          <reference field="21" count="1" selected="0">
            <x v="0"/>
          </reference>
          <reference field="22" count="1" selected="0">
            <x v="0"/>
          </reference>
          <reference field="23" count="1" selected="0">
            <x v="0"/>
          </reference>
          <reference field="24" count="1">
            <x v="80"/>
          </reference>
        </references>
      </pivotArea>
    </format>
    <format dxfId="1092">
      <pivotArea dataOnly="0" labelOnly="1" outline="0" fieldPosition="0">
        <references count="8">
          <reference field="0" count="1" selected="0">
            <x v="3"/>
          </reference>
          <reference field="1" count="1" selected="0">
            <x v="51"/>
          </reference>
          <reference field="5" count="1" selected="0">
            <x v="2"/>
          </reference>
          <reference field="20" count="1" selected="0">
            <x v="0"/>
          </reference>
          <reference field="21" count="1" selected="0">
            <x v="0"/>
          </reference>
          <reference field="22" count="1" selected="0">
            <x v="0"/>
          </reference>
          <reference field="23" count="1" selected="0">
            <x v="19"/>
          </reference>
          <reference field="24" count="1">
            <x v="3"/>
          </reference>
        </references>
      </pivotArea>
    </format>
    <format dxfId="1091">
      <pivotArea dataOnly="0" labelOnly="1" outline="0" fieldPosition="0">
        <references count="8">
          <reference field="0" count="1" selected="0">
            <x v="1"/>
          </reference>
          <reference field="1" count="1" selected="0">
            <x v="52"/>
          </reference>
          <reference field="5" count="1" selected="0">
            <x v="2"/>
          </reference>
          <reference field="20" count="1" selected="0">
            <x v="0"/>
          </reference>
          <reference field="21" count="1" selected="0">
            <x v="13"/>
          </reference>
          <reference field="22" count="1" selected="0">
            <x v="0"/>
          </reference>
          <reference field="23" count="1" selected="0">
            <x v="0"/>
          </reference>
          <reference field="24" count="1">
            <x v="80"/>
          </reference>
        </references>
      </pivotArea>
    </format>
    <format dxfId="1090">
      <pivotArea dataOnly="0" labelOnly="1" outline="0" fieldPosition="0">
        <references count="8">
          <reference field="0" count="1" selected="0">
            <x v="3"/>
          </reference>
          <reference field="1" count="1" selected="0">
            <x v="54"/>
          </reference>
          <reference field="5" count="1" selected="0">
            <x v="2"/>
          </reference>
          <reference field="20" count="1" selected="0">
            <x v="0"/>
          </reference>
          <reference field="21" count="1" selected="0">
            <x v="0"/>
          </reference>
          <reference field="22" count="1" selected="0">
            <x v="0"/>
          </reference>
          <reference field="23" count="1" selected="0">
            <x v="32"/>
          </reference>
          <reference field="24" count="1">
            <x v="70"/>
          </reference>
        </references>
      </pivotArea>
    </format>
    <format dxfId="1089">
      <pivotArea dataOnly="0" labelOnly="1" outline="0" fieldPosition="0">
        <references count="8">
          <reference field="0" count="1" selected="0">
            <x v="3"/>
          </reference>
          <reference field="1" count="1" selected="0">
            <x v="55"/>
          </reference>
          <reference field="5" count="1" selected="0">
            <x v="2"/>
          </reference>
          <reference field="20" count="1" selected="0">
            <x v="0"/>
          </reference>
          <reference field="21" count="1" selected="0">
            <x v="0"/>
          </reference>
          <reference field="22" count="1" selected="0">
            <x v="0"/>
          </reference>
          <reference field="23" count="1" selected="0">
            <x v="53"/>
          </reference>
          <reference field="24" count="1">
            <x v="53"/>
          </reference>
        </references>
      </pivotArea>
    </format>
    <format dxfId="1088">
      <pivotArea dataOnly="0" labelOnly="1" outline="0" fieldPosition="0">
        <references count="8">
          <reference field="0" count="1" selected="0">
            <x v="1"/>
          </reference>
          <reference field="1" count="1" selected="0">
            <x v="57"/>
          </reference>
          <reference field="5" count="1" selected="0">
            <x v="2"/>
          </reference>
          <reference field="20" count="1" selected="0">
            <x v="0"/>
          </reference>
          <reference field="21" count="1" selected="0">
            <x v="3"/>
          </reference>
          <reference field="22" count="1" selected="0">
            <x v="0"/>
          </reference>
          <reference field="23" count="1" selected="0">
            <x v="0"/>
          </reference>
          <reference field="24" count="1">
            <x v="80"/>
          </reference>
        </references>
      </pivotArea>
    </format>
    <format dxfId="1087">
      <pivotArea dataOnly="0" labelOnly="1" outline="0" fieldPosition="0">
        <references count="8">
          <reference field="0" count="1" selected="0">
            <x v="3"/>
          </reference>
          <reference field="1" count="1" selected="0">
            <x v="59"/>
          </reference>
          <reference field="5" count="1" selected="0">
            <x v="2"/>
          </reference>
          <reference field="20" count="1" selected="0">
            <x v="0"/>
          </reference>
          <reference field="21" count="1" selected="0">
            <x v="0"/>
          </reference>
          <reference field="22" count="1" selected="0">
            <x v="0"/>
          </reference>
          <reference field="23" count="1" selected="0">
            <x v="107"/>
          </reference>
          <reference field="24" count="1">
            <x v="67"/>
          </reference>
        </references>
      </pivotArea>
    </format>
    <format dxfId="1086">
      <pivotArea dataOnly="0" labelOnly="1" outline="0" fieldPosition="0">
        <references count="8">
          <reference field="0" count="1" selected="0">
            <x v="2"/>
          </reference>
          <reference field="1" count="1" selected="0">
            <x v="61"/>
          </reference>
          <reference field="5" count="1" selected="0">
            <x v="2"/>
          </reference>
          <reference field="20" count="1" selected="0">
            <x v="0"/>
          </reference>
          <reference field="21" count="1" selected="0">
            <x v="0"/>
          </reference>
          <reference field="22" count="1" selected="0">
            <x v="16"/>
          </reference>
          <reference field="23" count="1" selected="0">
            <x v="0"/>
          </reference>
          <reference field="24" count="1">
            <x v="80"/>
          </reference>
        </references>
      </pivotArea>
    </format>
    <format dxfId="1085">
      <pivotArea dataOnly="0" labelOnly="1" outline="0" fieldPosition="0">
        <references count="8">
          <reference field="0" count="1" selected="0">
            <x v="3"/>
          </reference>
          <reference field="1" count="1" selected="0">
            <x v="62"/>
          </reference>
          <reference field="5" count="1" selected="0">
            <x v="2"/>
          </reference>
          <reference field="20" count="1" selected="0">
            <x v="0"/>
          </reference>
          <reference field="21" count="1" selected="0">
            <x v="0"/>
          </reference>
          <reference field="22" count="1" selected="0">
            <x v="0"/>
          </reference>
          <reference field="23" count="1" selected="0">
            <x v="109"/>
          </reference>
          <reference field="24" count="1">
            <x v="67"/>
          </reference>
        </references>
      </pivotArea>
    </format>
    <format dxfId="1084">
      <pivotArea dataOnly="0" labelOnly="1" outline="0" fieldPosition="0">
        <references count="8">
          <reference field="0" count="1" selected="0">
            <x v="3"/>
          </reference>
          <reference field="1" count="1" selected="0">
            <x v="64"/>
          </reference>
          <reference field="5" count="1" selected="0">
            <x v="2"/>
          </reference>
          <reference field="20" count="1" selected="0">
            <x v="0"/>
          </reference>
          <reference field="21" count="1" selected="0">
            <x v="0"/>
          </reference>
          <reference field="22" count="1" selected="0">
            <x v="0"/>
          </reference>
          <reference field="23" count="1" selected="0">
            <x v="59"/>
          </reference>
          <reference field="24" count="1">
            <x v="66"/>
          </reference>
        </references>
      </pivotArea>
    </format>
    <format dxfId="1083">
      <pivotArea dataOnly="0" labelOnly="1" outline="0" fieldPosition="0">
        <references count="8">
          <reference field="0" count="1" selected="0">
            <x v="3"/>
          </reference>
          <reference field="1" count="1" selected="0">
            <x v="65"/>
          </reference>
          <reference field="5" count="1" selected="0">
            <x v="2"/>
          </reference>
          <reference field="20" count="1" selected="0">
            <x v="0"/>
          </reference>
          <reference field="21" count="1" selected="0">
            <x v="0"/>
          </reference>
          <reference field="22" count="1" selected="0">
            <x v="0"/>
          </reference>
          <reference field="23" count="1" selected="0">
            <x v="101"/>
          </reference>
          <reference field="24" count="1">
            <x v="45"/>
          </reference>
        </references>
      </pivotArea>
    </format>
    <format dxfId="1082">
      <pivotArea dataOnly="0" labelOnly="1" outline="0" fieldPosition="0">
        <references count="8">
          <reference field="0" count="1" selected="0">
            <x v="3"/>
          </reference>
          <reference field="1" count="1" selected="0">
            <x v="66"/>
          </reference>
          <reference field="5" count="1" selected="0">
            <x v="2"/>
          </reference>
          <reference field="20" count="1" selected="0">
            <x v="0"/>
          </reference>
          <reference field="21" count="1" selected="0">
            <x v="0"/>
          </reference>
          <reference field="22" count="1" selected="0">
            <x v="0"/>
          </reference>
          <reference field="23" count="1" selected="0">
            <x v="56"/>
          </reference>
          <reference field="24" count="1">
            <x v="68"/>
          </reference>
        </references>
      </pivotArea>
    </format>
    <format dxfId="1081">
      <pivotArea dataOnly="0" labelOnly="1" outline="0" fieldPosition="0">
        <references count="8">
          <reference field="0" count="1" selected="0">
            <x v="2"/>
          </reference>
          <reference field="1" count="1" selected="0">
            <x v="69"/>
          </reference>
          <reference field="5" count="1" selected="0">
            <x v="2"/>
          </reference>
          <reference field="20" count="1" selected="0">
            <x v="0"/>
          </reference>
          <reference field="21" count="1" selected="0">
            <x v="0"/>
          </reference>
          <reference field="22" count="1" selected="0">
            <x v="25"/>
          </reference>
          <reference field="23" count="1" selected="0">
            <x v="0"/>
          </reference>
          <reference field="24" count="1">
            <x v="80"/>
          </reference>
        </references>
      </pivotArea>
    </format>
    <format dxfId="1080">
      <pivotArea dataOnly="0" labelOnly="1" outline="0" fieldPosition="0">
        <references count="8">
          <reference field="0" count="1" selected="0">
            <x v="3"/>
          </reference>
          <reference field="1" count="1" selected="0">
            <x v="70"/>
          </reference>
          <reference field="5" count="1" selected="0">
            <x v="2"/>
          </reference>
          <reference field="20" count="1" selected="0">
            <x v="0"/>
          </reference>
          <reference field="21" count="1" selected="0">
            <x v="0"/>
          </reference>
          <reference field="22" count="1" selected="0">
            <x v="0"/>
          </reference>
          <reference field="23" count="1" selected="0">
            <x v="67"/>
          </reference>
          <reference field="24" count="1">
            <x v="67"/>
          </reference>
        </references>
      </pivotArea>
    </format>
    <format dxfId="1079">
      <pivotArea dataOnly="0" labelOnly="1" outline="0" fieldPosition="0">
        <references count="8">
          <reference field="0" count="1" selected="0">
            <x v="3"/>
          </reference>
          <reference field="1" count="1" selected="0">
            <x v="73"/>
          </reference>
          <reference field="5" count="1" selected="0">
            <x v="2"/>
          </reference>
          <reference field="20" count="1" selected="0">
            <x v="0"/>
          </reference>
          <reference field="21" count="1" selected="0">
            <x v="0"/>
          </reference>
          <reference field="22" count="1" selected="0">
            <x v="0"/>
          </reference>
          <reference field="23" count="1" selected="0">
            <x v="60"/>
          </reference>
          <reference field="24" count="1">
            <x v="39"/>
          </reference>
        </references>
      </pivotArea>
    </format>
    <format dxfId="1078">
      <pivotArea dataOnly="0" labelOnly="1" outline="0" fieldPosition="0">
        <references count="8">
          <reference field="0" count="1" selected="0">
            <x v="3"/>
          </reference>
          <reference field="1" count="1" selected="0">
            <x v="74"/>
          </reference>
          <reference field="5" count="1" selected="0">
            <x v="2"/>
          </reference>
          <reference field="20" count="1" selected="0">
            <x v="0"/>
          </reference>
          <reference field="21" count="1" selected="0">
            <x v="0"/>
          </reference>
          <reference field="22" count="1" selected="0">
            <x v="0"/>
          </reference>
          <reference field="23" count="1" selected="0">
            <x v="94"/>
          </reference>
          <reference field="24" count="1">
            <x v="76"/>
          </reference>
        </references>
      </pivotArea>
    </format>
    <format dxfId="1077">
      <pivotArea dataOnly="0" labelOnly="1" outline="0" fieldPosition="0">
        <references count="8">
          <reference field="0" count="1" selected="0">
            <x v="3"/>
          </reference>
          <reference field="1" count="1" selected="0">
            <x v="75"/>
          </reference>
          <reference field="5" count="1" selected="0">
            <x v="2"/>
          </reference>
          <reference field="20" count="1" selected="0">
            <x v="0"/>
          </reference>
          <reference field="21" count="1" selected="0">
            <x v="0"/>
          </reference>
          <reference field="22" count="1" selected="0">
            <x v="0"/>
          </reference>
          <reference field="23" count="1" selected="0">
            <x v="112"/>
          </reference>
          <reference field="24" count="1">
            <x v="68"/>
          </reference>
        </references>
      </pivotArea>
    </format>
    <format dxfId="1076">
      <pivotArea dataOnly="0" labelOnly="1" outline="0" fieldPosition="0">
        <references count="8">
          <reference field="0" count="1" selected="0">
            <x v="3"/>
          </reference>
          <reference field="1" count="1" selected="0">
            <x v="76"/>
          </reference>
          <reference field="5" count="1" selected="0">
            <x v="2"/>
          </reference>
          <reference field="20" count="1" selected="0">
            <x v="0"/>
          </reference>
          <reference field="21" count="1" selected="0">
            <x v="0"/>
          </reference>
          <reference field="22" count="1" selected="0">
            <x v="0"/>
          </reference>
          <reference field="23" count="1" selected="0">
            <x v="58"/>
          </reference>
          <reference field="24" count="1">
            <x v="48"/>
          </reference>
        </references>
      </pivotArea>
    </format>
    <format dxfId="1075">
      <pivotArea dataOnly="0" labelOnly="1" outline="0" fieldPosition="0">
        <references count="8">
          <reference field="0" count="1" selected="0">
            <x v="1"/>
          </reference>
          <reference field="1" count="1" selected="0">
            <x v="78"/>
          </reference>
          <reference field="5" count="1" selected="0">
            <x v="2"/>
          </reference>
          <reference field="20" count="1" selected="0">
            <x v="0"/>
          </reference>
          <reference field="21" count="1" selected="0">
            <x v="11"/>
          </reference>
          <reference field="22" count="1" selected="0">
            <x v="0"/>
          </reference>
          <reference field="23" count="1" selected="0">
            <x v="0"/>
          </reference>
          <reference field="24" count="1">
            <x v="80"/>
          </reference>
        </references>
      </pivotArea>
    </format>
    <format dxfId="1074">
      <pivotArea dataOnly="0" labelOnly="1" outline="0" fieldPosition="0">
        <references count="8">
          <reference field="0" count="1" selected="0">
            <x v="3"/>
          </reference>
          <reference field="1" count="1" selected="0">
            <x v="80"/>
          </reference>
          <reference field="5" count="1" selected="0">
            <x v="2"/>
          </reference>
          <reference field="20" count="1" selected="0">
            <x v="0"/>
          </reference>
          <reference field="21" count="1" selected="0">
            <x v="0"/>
          </reference>
          <reference field="22" count="1" selected="0">
            <x v="0"/>
          </reference>
          <reference field="23" count="1" selected="0">
            <x v="37"/>
          </reference>
          <reference field="24" count="1">
            <x v="36"/>
          </reference>
        </references>
      </pivotArea>
    </format>
    <format dxfId="1073">
      <pivotArea dataOnly="0" labelOnly="1" outline="0" fieldPosition="0">
        <references count="8">
          <reference field="0" count="1" selected="0">
            <x v="2"/>
          </reference>
          <reference field="1" count="1" selected="0">
            <x v="90"/>
          </reference>
          <reference field="5" count="1" selected="0">
            <x v="2"/>
          </reference>
          <reference field="20" count="1" selected="0">
            <x v="0"/>
          </reference>
          <reference field="21" count="1" selected="0">
            <x v="0"/>
          </reference>
          <reference field="22" count="1" selected="0">
            <x v="29"/>
          </reference>
          <reference field="23" count="1" selected="0">
            <x v="0"/>
          </reference>
          <reference field="24" count="1">
            <x v="80"/>
          </reference>
        </references>
      </pivotArea>
    </format>
    <format dxfId="1072">
      <pivotArea dataOnly="0" labelOnly="1" outline="0" fieldPosition="0">
        <references count="8">
          <reference field="0" count="1" selected="0">
            <x v="3"/>
          </reference>
          <reference field="1" count="1" selected="0">
            <x v="91"/>
          </reference>
          <reference field="5" count="1" selected="0">
            <x v="2"/>
          </reference>
          <reference field="20" count="1" selected="0">
            <x v="0"/>
          </reference>
          <reference field="21" count="1" selected="0">
            <x v="0"/>
          </reference>
          <reference field="22" count="1" selected="0">
            <x v="0"/>
          </reference>
          <reference field="23" count="1" selected="0">
            <x v="37"/>
          </reference>
          <reference field="24" count="1">
            <x v="35"/>
          </reference>
        </references>
      </pivotArea>
    </format>
    <format dxfId="1071">
      <pivotArea dataOnly="0" labelOnly="1" outline="0" fieldPosition="0">
        <references count="8">
          <reference field="0" count="1" selected="0">
            <x v="2"/>
          </reference>
          <reference field="1" count="1" selected="0">
            <x v="101"/>
          </reference>
          <reference field="5" count="1" selected="0">
            <x v="2"/>
          </reference>
          <reference field="20" count="1" selected="0">
            <x v="0"/>
          </reference>
          <reference field="21" count="1" selected="0">
            <x v="0"/>
          </reference>
          <reference field="22" count="1" selected="0">
            <x v="10"/>
          </reference>
          <reference field="23" count="1" selected="0">
            <x v="0"/>
          </reference>
          <reference field="24" count="1">
            <x v="80"/>
          </reference>
        </references>
      </pivotArea>
    </format>
    <format dxfId="1070">
      <pivotArea dataOnly="0" labelOnly="1" outline="0" fieldPosition="0">
        <references count="8">
          <reference field="0" count="1" selected="0">
            <x v="3"/>
          </reference>
          <reference field="1" count="1" selected="0">
            <x v="102"/>
          </reference>
          <reference field="5" count="1" selected="0">
            <x v="2"/>
          </reference>
          <reference field="20" count="1" selected="0">
            <x v="0"/>
          </reference>
          <reference field="21" count="1" selected="0">
            <x v="0"/>
          </reference>
          <reference field="22" count="1" selected="0">
            <x v="0"/>
          </reference>
          <reference field="23" count="1" selected="0">
            <x v="54"/>
          </reference>
          <reference field="24" count="1">
            <x v="33"/>
          </reference>
        </references>
      </pivotArea>
    </format>
    <format dxfId="1069">
      <pivotArea dataOnly="0" labelOnly="1" outline="0" fieldPosition="0">
        <references count="8">
          <reference field="0" count="1" selected="0">
            <x v="3"/>
          </reference>
          <reference field="1" count="1" selected="0">
            <x v="103"/>
          </reference>
          <reference field="5" count="1" selected="0">
            <x v="2"/>
          </reference>
          <reference field="20" count="1" selected="0">
            <x v="0"/>
          </reference>
          <reference field="21" count="1" selected="0">
            <x v="0"/>
          </reference>
          <reference field="22" count="1" selected="0">
            <x v="0"/>
          </reference>
          <reference field="23" count="1" selected="0">
            <x v="49"/>
          </reference>
          <reference field="24" count="1">
            <x v="29"/>
          </reference>
        </references>
      </pivotArea>
    </format>
    <format dxfId="1068">
      <pivotArea dataOnly="0" labelOnly="1" outline="0" fieldPosition="0">
        <references count="8">
          <reference field="0" count="1" selected="0">
            <x v="3"/>
          </reference>
          <reference field="1" count="1" selected="0">
            <x v="104"/>
          </reference>
          <reference field="5" count="1" selected="0">
            <x v="2"/>
          </reference>
          <reference field="20" count="1" selected="0">
            <x v="0"/>
          </reference>
          <reference field="21" count="1" selected="0">
            <x v="0"/>
          </reference>
          <reference field="22" count="1" selected="0">
            <x v="0"/>
          </reference>
          <reference field="23" count="1" selected="0">
            <x v="51"/>
          </reference>
          <reference field="24" count="1">
            <x v="30"/>
          </reference>
        </references>
      </pivotArea>
    </format>
    <format dxfId="1067">
      <pivotArea dataOnly="0" labelOnly="1" outline="0" fieldPosition="0">
        <references count="8">
          <reference field="0" count="1" selected="0">
            <x v="3"/>
          </reference>
          <reference field="1" count="1" selected="0">
            <x v="105"/>
          </reference>
          <reference field="5" count="1" selected="0">
            <x v="2"/>
          </reference>
          <reference field="20" count="1" selected="0">
            <x v="0"/>
          </reference>
          <reference field="21" count="1" selected="0">
            <x v="0"/>
          </reference>
          <reference field="22" count="1" selected="0">
            <x v="0"/>
          </reference>
          <reference field="23" count="1" selected="0">
            <x v="48"/>
          </reference>
          <reference field="24" count="1">
            <x v="29"/>
          </reference>
        </references>
      </pivotArea>
    </format>
    <format dxfId="1066">
      <pivotArea dataOnly="0" labelOnly="1" outline="0" fieldPosition="0">
        <references count="8">
          <reference field="0" count="1" selected="0">
            <x v="3"/>
          </reference>
          <reference field="1" count="1" selected="0">
            <x v="106"/>
          </reference>
          <reference field="5" count="1" selected="0">
            <x v="2"/>
          </reference>
          <reference field="20" count="1" selected="0">
            <x v="0"/>
          </reference>
          <reference field="21" count="1" selected="0">
            <x v="0"/>
          </reference>
          <reference field="22" count="1" selected="0">
            <x v="0"/>
          </reference>
          <reference field="23" count="1" selected="0">
            <x v="50"/>
          </reference>
          <reference field="24" count="1">
            <x v="31"/>
          </reference>
        </references>
      </pivotArea>
    </format>
    <format dxfId="1065">
      <pivotArea dataOnly="0" labelOnly="1" outline="0" fieldPosition="0">
        <references count="8">
          <reference field="0" count="1" selected="0">
            <x v="3"/>
          </reference>
          <reference field="1" count="1" selected="0">
            <x v="107"/>
          </reference>
          <reference field="5" count="1" selected="0">
            <x v="2"/>
          </reference>
          <reference field="20" count="1" selected="0">
            <x v="0"/>
          </reference>
          <reference field="21" count="1" selected="0">
            <x v="0"/>
          </reference>
          <reference field="22" count="1" selected="0">
            <x v="0"/>
          </reference>
          <reference field="23" count="1" selected="0">
            <x v="3"/>
          </reference>
          <reference field="24" count="1">
            <x v="69"/>
          </reference>
        </references>
      </pivotArea>
    </format>
    <format dxfId="1064">
      <pivotArea dataOnly="0" labelOnly="1" outline="0" fieldPosition="0">
        <references count="8">
          <reference field="0" count="1" selected="0">
            <x v="3"/>
          </reference>
          <reference field="1" count="1" selected="0">
            <x v="108"/>
          </reference>
          <reference field="5" count="1" selected="0">
            <x v="2"/>
          </reference>
          <reference field="20" count="1" selected="0">
            <x v="0"/>
          </reference>
          <reference field="21" count="1" selected="0">
            <x v="0"/>
          </reference>
          <reference field="22" count="1" selected="0">
            <x v="0"/>
          </reference>
          <reference field="23" count="1" selected="0">
            <x v="82"/>
          </reference>
          <reference field="24" count="1">
            <x v="58"/>
          </reference>
        </references>
      </pivotArea>
    </format>
    <format dxfId="1063">
      <pivotArea dataOnly="0" labelOnly="1" outline="0" fieldPosition="0">
        <references count="8">
          <reference field="0" count="1" selected="0">
            <x v="3"/>
          </reference>
          <reference field="1" count="1" selected="0">
            <x v="109"/>
          </reference>
          <reference field="5" count="1" selected="0">
            <x v="2"/>
          </reference>
          <reference field="20" count="1" selected="0">
            <x v="0"/>
          </reference>
          <reference field="21" count="1" selected="0">
            <x v="0"/>
          </reference>
          <reference field="22" count="1" selected="0">
            <x v="0"/>
          </reference>
          <reference field="23" count="1" selected="0">
            <x v="95"/>
          </reference>
          <reference field="24" count="1">
            <x v="73"/>
          </reference>
        </references>
      </pivotArea>
    </format>
    <format dxfId="1062">
      <pivotArea dataOnly="0" labelOnly="1" outline="0" fieldPosition="0">
        <references count="8">
          <reference field="0" count="1" selected="0">
            <x v="3"/>
          </reference>
          <reference field="1" count="1" selected="0">
            <x v="110"/>
          </reference>
          <reference field="5" count="1" selected="0">
            <x v="2"/>
          </reference>
          <reference field="20" count="1" selected="0">
            <x v="0"/>
          </reference>
          <reference field="21" count="1" selected="0">
            <x v="0"/>
          </reference>
          <reference field="22" count="1" selected="0">
            <x v="0"/>
          </reference>
          <reference field="23" count="1" selected="0">
            <x v="83"/>
          </reference>
          <reference field="24" count="1">
            <x v="23"/>
          </reference>
        </references>
      </pivotArea>
    </format>
    <format dxfId="1061">
      <pivotArea dataOnly="0" labelOnly="1" outline="0" fieldPosition="0">
        <references count="8">
          <reference field="0" count="1" selected="0">
            <x v="2"/>
          </reference>
          <reference field="1" count="1" selected="0">
            <x v="111"/>
          </reference>
          <reference field="5" count="1" selected="0">
            <x v="2"/>
          </reference>
          <reference field="20" count="1" selected="0">
            <x v="0"/>
          </reference>
          <reference field="21" count="1" selected="0">
            <x v="0"/>
          </reference>
          <reference field="22" count="1" selected="0">
            <x v="18"/>
          </reference>
          <reference field="23" count="1" selected="0">
            <x v="0"/>
          </reference>
          <reference field="24" count="1">
            <x v="80"/>
          </reference>
        </references>
      </pivotArea>
    </format>
    <format dxfId="1060">
      <pivotArea dataOnly="0" labelOnly="1" outline="0" fieldPosition="0">
        <references count="8">
          <reference field="0" count="1" selected="0">
            <x v="3"/>
          </reference>
          <reference field="1" count="1" selected="0">
            <x v="112"/>
          </reference>
          <reference field="5" count="1" selected="0">
            <x v="2"/>
          </reference>
          <reference field="20" count="1" selected="0">
            <x v="0"/>
          </reference>
          <reference field="21" count="1" selected="0">
            <x v="0"/>
          </reference>
          <reference field="22" count="1" selected="0">
            <x v="0"/>
          </reference>
          <reference field="23" count="1" selected="0">
            <x v="52"/>
          </reference>
          <reference field="24" count="1">
            <x v="49"/>
          </reference>
        </references>
      </pivotArea>
    </format>
    <format dxfId="1059">
      <pivotArea dataOnly="0" labelOnly="1" outline="0" fieldPosition="0">
        <references count="8">
          <reference field="0" count="1" selected="0">
            <x v="3"/>
          </reference>
          <reference field="1" count="1" selected="0">
            <x v="113"/>
          </reference>
          <reference field="5" count="1" selected="0">
            <x v="2"/>
          </reference>
          <reference field="20" count="1" selected="0">
            <x v="0"/>
          </reference>
          <reference field="21" count="1" selected="0">
            <x v="0"/>
          </reference>
          <reference field="22" count="1" selected="0">
            <x v="0"/>
          </reference>
          <reference field="23" count="1" selected="0">
            <x v="24"/>
          </reference>
          <reference field="24" count="1">
            <x v="20"/>
          </reference>
        </references>
      </pivotArea>
    </format>
    <format dxfId="1058">
      <pivotArea dataOnly="0" labelOnly="1" outline="0" fieldPosition="0">
        <references count="8">
          <reference field="0" count="1" selected="0">
            <x v="3"/>
          </reference>
          <reference field="1" count="1" selected="0">
            <x v="114"/>
          </reference>
          <reference field="5" count="1" selected="0">
            <x v="2"/>
          </reference>
          <reference field="20" count="1" selected="0">
            <x v="0"/>
          </reference>
          <reference field="21" count="1" selected="0">
            <x v="0"/>
          </reference>
          <reference field="22" count="1" selected="0">
            <x v="0"/>
          </reference>
          <reference field="23" count="1" selected="0">
            <x v="77"/>
          </reference>
          <reference field="24" count="1">
            <x v="13"/>
          </reference>
        </references>
      </pivotArea>
    </format>
    <format dxfId="1057">
      <pivotArea dataOnly="0" labelOnly="1" outline="0" fieldPosition="0">
        <references count="8">
          <reference field="0" count="1" selected="0">
            <x v="3"/>
          </reference>
          <reference field="1" count="1" selected="0">
            <x v="115"/>
          </reference>
          <reference field="5" count="1" selected="0">
            <x v="2"/>
          </reference>
          <reference field="20" count="1" selected="0">
            <x v="0"/>
          </reference>
          <reference field="21" count="1" selected="0">
            <x v="0"/>
          </reference>
          <reference field="22" count="1" selected="0">
            <x v="0"/>
          </reference>
          <reference field="23" count="1" selected="0">
            <x v="29"/>
          </reference>
          <reference field="24" count="1">
            <x v="14"/>
          </reference>
        </references>
      </pivotArea>
    </format>
    <format dxfId="1056">
      <pivotArea dataOnly="0" labelOnly="1" outline="0" fieldPosition="0">
        <references count="8">
          <reference field="0" count="1" selected="0">
            <x v="3"/>
          </reference>
          <reference field="1" count="1" selected="0">
            <x v="116"/>
          </reference>
          <reference field="5" count="1" selected="0">
            <x v="2"/>
          </reference>
          <reference field="20" count="1" selected="0">
            <x v="0"/>
          </reference>
          <reference field="21" count="1" selected="0">
            <x v="0"/>
          </reference>
          <reference field="22" count="1" selected="0">
            <x v="0"/>
          </reference>
          <reference field="23" count="1" selected="0">
            <x v="22"/>
          </reference>
          <reference field="24" count="1">
            <x v="47"/>
          </reference>
        </references>
      </pivotArea>
    </format>
    <format dxfId="1055">
      <pivotArea dataOnly="0" labelOnly="1" outline="0" fieldPosition="0">
        <references count="8">
          <reference field="0" count="1" selected="0">
            <x v="2"/>
          </reference>
          <reference field="1" count="1" selected="0">
            <x v="117"/>
          </reference>
          <reference field="5" count="1" selected="0">
            <x v="2"/>
          </reference>
          <reference field="20" count="1" selected="0">
            <x v="0"/>
          </reference>
          <reference field="21" count="1" selected="0">
            <x v="0"/>
          </reference>
          <reference field="22" count="1" selected="0">
            <x v="11"/>
          </reference>
          <reference field="23" count="1" selected="0">
            <x v="0"/>
          </reference>
          <reference field="24" count="1">
            <x v="80"/>
          </reference>
        </references>
      </pivotArea>
    </format>
    <format dxfId="1054">
      <pivotArea dataOnly="0" labelOnly="1" outline="0" fieldPosition="0">
        <references count="8">
          <reference field="0" count="1" selected="0">
            <x v="3"/>
          </reference>
          <reference field="1" count="1" selected="0">
            <x v="118"/>
          </reference>
          <reference field="5" count="1" selected="0">
            <x v="2"/>
          </reference>
          <reference field="20" count="1" selected="0">
            <x v="0"/>
          </reference>
          <reference field="21" count="1" selected="0">
            <x v="0"/>
          </reference>
          <reference field="22" count="1" selected="0">
            <x v="0"/>
          </reference>
          <reference field="23" count="1" selected="0">
            <x v="78"/>
          </reference>
          <reference field="24" count="1">
            <x v="68"/>
          </reference>
        </references>
      </pivotArea>
    </format>
    <format dxfId="1053">
      <pivotArea dataOnly="0" labelOnly="1" outline="0" fieldPosition="0">
        <references count="8">
          <reference field="0" count="1" selected="0">
            <x v="3"/>
          </reference>
          <reference field="1" count="1" selected="0">
            <x v="119"/>
          </reference>
          <reference field="5" count="1" selected="0">
            <x v="2"/>
          </reference>
          <reference field="20" count="1" selected="0">
            <x v="0"/>
          </reference>
          <reference field="21" count="1" selected="0">
            <x v="0"/>
          </reference>
          <reference field="22" count="1" selected="0">
            <x v="0"/>
          </reference>
          <reference field="23" count="1" selected="0">
            <x v="79"/>
          </reference>
          <reference field="24" count="1">
            <x v="44"/>
          </reference>
        </references>
      </pivotArea>
    </format>
    <format dxfId="1052">
      <pivotArea dataOnly="0" labelOnly="1" outline="0" fieldPosition="0">
        <references count="8">
          <reference field="0" count="1" selected="0">
            <x v="0"/>
          </reference>
          <reference field="1" count="1" selected="0">
            <x v="121"/>
          </reference>
          <reference field="5" count="1" selected="0">
            <x v="2"/>
          </reference>
          <reference field="20" count="1" selected="0">
            <x v="2"/>
          </reference>
          <reference field="21" count="1" selected="0">
            <x v="0"/>
          </reference>
          <reference field="22" count="1" selected="0">
            <x v="0"/>
          </reference>
          <reference field="23" count="1" selected="0">
            <x v="0"/>
          </reference>
          <reference field="24" count="1">
            <x v="80"/>
          </reference>
        </references>
      </pivotArea>
    </format>
    <format dxfId="1051">
      <pivotArea dataOnly="0" labelOnly="1" outline="0" fieldPosition="0">
        <references count="8">
          <reference field="0" count="1" selected="0">
            <x v="3"/>
          </reference>
          <reference field="1" count="1" selected="0">
            <x v="123"/>
          </reference>
          <reference field="5" count="1" selected="0">
            <x v="2"/>
          </reference>
          <reference field="20" count="1" selected="0">
            <x v="0"/>
          </reference>
          <reference field="21" count="1" selected="0">
            <x v="0"/>
          </reference>
          <reference field="22" count="1" selected="0">
            <x v="0"/>
          </reference>
          <reference field="23" count="1" selected="0">
            <x v="62"/>
          </reference>
          <reference field="24" count="1">
            <x v="1"/>
          </reference>
        </references>
      </pivotArea>
    </format>
    <format dxfId="1050">
      <pivotArea dataOnly="0" labelOnly="1" outline="0" fieldPosition="0">
        <references count="8">
          <reference field="0" count="1" selected="0">
            <x v="0"/>
          </reference>
          <reference field="1" count="1" selected="0">
            <x v="127"/>
          </reference>
          <reference field="5" count="1" selected="0">
            <x v="2"/>
          </reference>
          <reference field="20" count="1" selected="0">
            <x v="1"/>
          </reference>
          <reference field="21" count="1" selected="0">
            <x v="0"/>
          </reference>
          <reference field="22" count="1" selected="0">
            <x v="0"/>
          </reference>
          <reference field="23" count="1" selected="0">
            <x v="0"/>
          </reference>
          <reference field="24" count="1">
            <x v="80"/>
          </reference>
        </references>
      </pivotArea>
    </format>
    <format dxfId="1049">
      <pivotArea dataOnly="0" labelOnly="1" outline="0" fieldPosition="0">
        <references count="8">
          <reference field="0" count="1" selected="0">
            <x v="3"/>
          </reference>
          <reference field="1" count="1" selected="0">
            <x v="130"/>
          </reference>
          <reference field="5" count="1" selected="0">
            <x v="2"/>
          </reference>
          <reference field="20" count="1" selected="0">
            <x v="0"/>
          </reference>
          <reference field="21" count="1" selected="0">
            <x v="0"/>
          </reference>
          <reference field="22" count="1" selected="0">
            <x v="0"/>
          </reference>
          <reference field="23" count="1" selected="0">
            <x v="30"/>
          </reference>
          <reference field="24" count="1">
            <x v="63"/>
          </reference>
        </references>
      </pivotArea>
    </format>
    <format dxfId="1048">
      <pivotArea dataOnly="0" labelOnly="1" outline="0" fieldPosition="0">
        <references count="8">
          <reference field="0" count="1" selected="0">
            <x v="2"/>
          </reference>
          <reference field="1" count="1" selected="0">
            <x v="131"/>
          </reference>
          <reference field="5" count="1" selected="0">
            <x v="2"/>
          </reference>
          <reference field="20" count="1" selected="0">
            <x v="0"/>
          </reference>
          <reference field="21" count="1" selected="0">
            <x v="0"/>
          </reference>
          <reference field="22" count="1" selected="0">
            <x v="19"/>
          </reference>
          <reference field="23" count="1" selected="0">
            <x v="0"/>
          </reference>
          <reference field="24" count="1">
            <x v="80"/>
          </reference>
        </references>
      </pivotArea>
    </format>
    <format dxfId="1047">
      <pivotArea dataOnly="0" labelOnly="1" outline="0" fieldPosition="0">
        <references count="8">
          <reference field="0" count="1" selected="0">
            <x v="3"/>
          </reference>
          <reference field="1" count="1" selected="0">
            <x v="132"/>
          </reference>
          <reference field="5" count="1" selected="0">
            <x v="2"/>
          </reference>
          <reference field="20" count="1" selected="0">
            <x v="0"/>
          </reference>
          <reference field="21" count="1" selected="0">
            <x v="0"/>
          </reference>
          <reference field="22" count="1" selected="0">
            <x v="0"/>
          </reference>
          <reference field="23" count="1" selected="0">
            <x v="5"/>
          </reference>
          <reference field="24" count="1">
            <x v="54"/>
          </reference>
        </references>
      </pivotArea>
    </format>
    <format dxfId="1046">
      <pivotArea dataOnly="0" labelOnly="1" outline="0" fieldPosition="0">
        <references count="8">
          <reference field="0" count="1" selected="0">
            <x v="3"/>
          </reference>
          <reference field="1" count="1" selected="0">
            <x v="133"/>
          </reference>
          <reference field="5" count="1" selected="0">
            <x v="2"/>
          </reference>
          <reference field="20" count="1" selected="0">
            <x v="0"/>
          </reference>
          <reference field="21" count="1" selected="0">
            <x v="0"/>
          </reference>
          <reference field="22" count="1" selected="0">
            <x v="0"/>
          </reference>
          <reference field="23" count="1" selected="0">
            <x v="113"/>
          </reference>
          <reference field="24" count="1">
            <x v="16"/>
          </reference>
        </references>
      </pivotArea>
    </format>
    <format dxfId="1045">
      <pivotArea dataOnly="0" labelOnly="1" outline="0" fieldPosition="0">
        <references count="8">
          <reference field="0" count="1" selected="0">
            <x v="3"/>
          </reference>
          <reference field="1" count="1" selected="0">
            <x v="134"/>
          </reference>
          <reference field="5" count="1" selected="0">
            <x v="2"/>
          </reference>
          <reference field="20" count="1" selected="0">
            <x v="0"/>
          </reference>
          <reference field="21" count="1" selected="0">
            <x v="0"/>
          </reference>
          <reference field="22" count="1" selected="0">
            <x v="0"/>
          </reference>
          <reference field="23" count="1" selected="0">
            <x v="102"/>
          </reference>
          <reference field="24" count="1">
            <x v="20"/>
          </reference>
        </references>
      </pivotArea>
    </format>
    <format dxfId="1044">
      <pivotArea dataOnly="0" labelOnly="1" outline="0" fieldPosition="0">
        <references count="8">
          <reference field="0" count="1" selected="0">
            <x v="3"/>
          </reference>
          <reference field="1" count="1" selected="0">
            <x v="135"/>
          </reference>
          <reference field="5" count="1" selected="0">
            <x v="2"/>
          </reference>
          <reference field="20" count="1" selected="0">
            <x v="0"/>
          </reference>
          <reference field="21" count="1" selected="0">
            <x v="0"/>
          </reference>
          <reference field="22" count="1" selected="0">
            <x v="0"/>
          </reference>
          <reference field="23" count="1" selected="0">
            <x v="97"/>
          </reference>
          <reference field="24" count="1">
            <x v="75"/>
          </reference>
        </references>
      </pivotArea>
    </format>
    <format dxfId="1043">
      <pivotArea dataOnly="0" labelOnly="1" outline="0" fieldPosition="0">
        <references count="8">
          <reference field="0" count="1" selected="0">
            <x v="2"/>
          </reference>
          <reference field="1" count="1" selected="0">
            <x v="136"/>
          </reference>
          <reference field="5" count="1" selected="0">
            <x v="2"/>
          </reference>
          <reference field="20" count="1" selected="0">
            <x v="0"/>
          </reference>
          <reference field="21" count="1" selected="0">
            <x v="0"/>
          </reference>
          <reference field="22" count="1" selected="0">
            <x v="1"/>
          </reference>
          <reference field="23" count="1" selected="0">
            <x v="0"/>
          </reference>
          <reference field="24" count="1">
            <x v="80"/>
          </reference>
        </references>
      </pivotArea>
    </format>
    <format dxfId="1042">
      <pivotArea dataOnly="0" labelOnly="1" outline="0" fieldPosition="0">
        <references count="8">
          <reference field="0" count="1" selected="0">
            <x v="3"/>
          </reference>
          <reference field="1" count="1" selected="0">
            <x v="137"/>
          </reference>
          <reference field="5" count="1" selected="0">
            <x v="2"/>
          </reference>
          <reference field="20" count="1" selected="0">
            <x v="0"/>
          </reference>
          <reference field="21" count="1" selected="0">
            <x v="0"/>
          </reference>
          <reference field="22" count="1" selected="0">
            <x v="0"/>
          </reference>
          <reference field="23" count="1" selected="0">
            <x v="89"/>
          </reference>
          <reference field="24" count="1">
            <x v="20"/>
          </reference>
        </references>
      </pivotArea>
    </format>
    <format dxfId="1041">
      <pivotArea dataOnly="0" labelOnly="1" outline="0" fieldPosition="0">
        <references count="8">
          <reference field="0" count="1" selected="0">
            <x v="3"/>
          </reference>
          <reference field="1" count="1" selected="0">
            <x v="139"/>
          </reference>
          <reference field="5" count="1" selected="0">
            <x v="2"/>
          </reference>
          <reference field="20" count="1" selected="0">
            <x v="0"/>
          </reference>
          <reference field="21" count="1" selected="0">
            <x v="0"/>
          </reference>
          <reference field="22" count="1" selected="0">
            <x v="0"/>
          </reference>
          <reference field="23" count="1" selected="0">
            <x v="88"/>
          </reference>
          <reference field="24" count="1">
            <x v="72"/>
          </reference>
        </references>
      </pivotArea>
    </format>
    <format dxfId="1040">
      <pivotArea dataOnly="0" labelOnly="1" outline="0" fieldPosition="0">
        <references count="8">
          <reference field="0" count="1" selected="0">
            <x v="2"/>
          </reference>
          <reference field="1" count="1" selected="0">
            <x v="140"/>
          </reference>
          <reference field="5" count="1" selected="0">
            <x v="2"/>
          </reference>
          <reference field="20" count="1" selected="0">
            <x v="0"/>
          </reference>
          <reference field="21" count="1" selected="0">
            <x v="0"/>
          </reference>
          <reference field="22" count="1" selected="0">
            <x v="27"/>
          </reference>
          <reference field="23" count="1" selected="0">
            <x v="0"/>
          </reference>
          <reference field="24" count="1">
            <x v="80"/>
          </reference>
        </references>
      </pivotArea>
    </format>
    <format dxfId="1039">
      <pivotArea dataOnly="0" labelOnly="1" outline="0" fieldPosition="0">
        <references count="8">
          <reference field="0" count="1" selected="0">
            <x v="3"/>
          </reference>
          <reference field="1" count="1" selected="0">
            <x v="141"/>
          </reference>
          <reference field="5" count="1" selected="0">
            <x v="2"/>
          </reference>
          <reference field="20" count="1" selected="0">
            <x v="0"/>
          </reference>
          <reference field="21" count="1" selected="0">
            <x v="0"/>
          </reference>
          <reference field="22" count="1" selected="0">
            <x v="0"/>
          </reference>
          <reference field="23" count="1" selected="0">
            <x v="86"/>
          </reference>
          <reference field="24" count="1">
            <x v="26"/>
          </reference>
        </references>
      </pivotArea>
    </format>
    <format dxfId="1038">
      <pivotArea dataOnly="0" labelOnly="1" outline="0" fieldPosition="0">
        <references count="8">
          <reference field="0" count="1" selected="0">
            <x v="3"/>
          </reference>
          <reference field="1" count="1" selected="0">
            <x v="142"/>
          </reference>
          <reference field="5" count="1" selected="0">
            <x v="2"/>
          </reference>
          <reference field="20" count="1" selected="0">
            <x v="0"/>
          </reference>
          <reference field="21" count="1" selected="0">
            <x v="0"/>
          </reference>
          <reference field="22" count="1" selected="0">
            <x v="0"/>
          </reference>
          <reference field="23" count="1" selected="0">
            <x v="114"/>
          </reference>
          <reference field="24" count="1">
            <x v="84"/>
          </reference>
        </references>
      </pivotArea>
    </format>
    <format dxfId="1037">
      <pivotArea dataOnly="0" labelOnly="1" outline="0" fieldPosition="0">
        <references count="8">
          <reference field="0" count="1" selected="0">
            <x v="3"/>
          </reference>
          <reference field="1" count="1" selected="0">
            <x v="143"/>
          </reference>
          <reference field="5" count="1" selected="0">
            <x v="2"/>
          </reference>
          <reference field="20" count="1" selected="0">
            <x v="0"/>
          </reference>
          <reference field="21" count="1" selected="0">
            <x v="0"/>
          </reference>
          <reference field="22" count="1" selected="0">
            <x v="0"/>
          </reference>
          <reference field="23" count="1" selected="0">
            <x v="69"/>
          </reference>
          <reference field="24" count="1">
            <x v="4"/>
          </reference>
        </references>
      </pivotArea>
    </format>
    <format dxfId="1036">
      <pivotArea dataOnly="0" labelOnly="1" outline="0" fieldPosition="0">
        <references count="8">
          <reference field="0" count="1" selected="0">
            <x v="3"/>
          </reference>
          <reference field="1" count="1" selected="0">
            <x v="144"/>
          </reference>
          <reference field="5" count="1" selected="0">
            <x v="2"/>
          </reference>
          <reference field="20" count="1" selected="0">
            <x v="0"/>
          </reference>
          <reference field="21" count="1" selected="0">
            <x v="0"/>
          </reference>
          <reference field="22" count="1" selected="0">
            <x v="0"/>
          </reference>
          <reference field="23" count="1" selected="0">
            <x v="4"/>
          </reference>
          <reference field="24" count="1">
            <x v="5"/>
          </reference>
        </references>
      </pivotArea>
    </format>
    <format dxfId="1035">
      <pivotArea dataOnly="0" labelOnly="1" outline="0" fieldPosition="0">
        <references count="8">
          <reference field="0" count="1" selected="0">
            <x v="0"/>
          </reference>
          <reference field="1" count="1" selected="0">
            <x v="146"/>
          </reference>
          <reference field="5" count="1" selected="0">
            <x v="2"/>
          </reference>
          <reference field="20" count="1" selected="0">
            <x v="3"/>
          </reference>
          <reference field="21" count="1" selected="0">
            <x v="0"/>
          </reference>
          <reference field="22" count="1" selected="0">
            <x v="0"/>
          </reference>
          <reference field="23" count="1" selected="0">
            <x v="0"/>
          </reference>
          <reference field="24" count="1">
            <x v="80"/>
          </reference>
        </references>
      </pivotArea>
    </format>
    <format dxfId="1034">
      <pivotArea dataOnly="0" labelOnly="1" outline="0" fieldPosition="0">
        <references count="8">
          <reference field="0" count="1" selected="0">
            <x v="2"/>
          </reference>
          <reference field="1" count="1" selected="0">
            <x v="148"/>
          </reference>
          <reference field="5" count="1" selected="0">
            <x v="2"/>
          </reference>
          <reference field="20" count="1" selected="0">
            <x v="0"/>
          </reference>
          <reference field="21" count="1" selected="0">
            <x v="0"/>
          </reference>
          <reference field="22" count="1" selected="0">
            <x v="14"/>
          </reference>
          <reference field="23" count="1" selected="0">
            <x v="0"/>
          </reference>
          <reference field="24" count="1">
            <x v="2"/>
          </reference>
        </references>
      </pivotArea>
    </format>
    <format dxfId="1033">
      <pivotArea dataOnly="0" labelOnly="1" outline="0" fieldPosition="0">
        <references count="8">
          <reference field="0" count="1" selected="0">
            <x v="2"/>
          </reference>
          <reference field="1" count="1" selected="0">
            <x v="152"/>
          </reference>
          <reference field="5" count="1" selected="0">
            <x v="2"/>
          </reference>
          <reference field="20" count="1" selected="0">
            <x v="0"/>
          </reference>
          <reference field="21" count="1" selected="0">
            <x v="0"/>
          </reference>
          <reference field="22" count="1" selected="0">
            <x v="24"/>
          </reference>
          <reference field="23" count="1" selected="0">
            <x v="0"/>
          </reference>
          <reference field="24" count="1">
            <x v="80"/>
          </reference>
        </references>
      </pivotArea>
    </format>
    <format dxfId="1032">
      <pivotArea dataOnly="0" labelOnly="1" outline="0" fieldPosition="0">
        <references count="8">
          <reference field="0" count="1" selected="0">
            <x v="3"/>
          </reference>
          <reference field="1" count="1" selected="0">
            <x v="153"/>
          </reference>
          <reference field="5" count="1" selected="0">
            <x v="2"/>
          </reference>
          <reference field="20" count="1" selected="0">
            <x v="0"/>
          </reference>
          <reference field="21" count="1" selected="0">
            <x v="0"/>
          </reference>
          <reference field="22" count="1" selected="0">
            <x v="0"/>
          </reference>
          <reference field="23" count="1" selected="0">
            <x v="17"/>
          </reference>
          <reference field="24" count="1">
            <x v="17"/>
          </reference>
        </references>
      </pivotArea>
    </format>
    <format dxfId="1031">
      <pivotArea dataOnly="0" labelOnly="1" outline="0" fieldPosition="0">
        <references count="8">
          <reference field="0" count="1" selected="0">
            <x v="6"/>
          </reference>
          <reference field="1" count="1" selected="0">
            <x v="154"/>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24"/>
          </reference>
        </references>
      </pivotArea>
    </format>
    <format dxfId="1030">
      <pivotArea dataOnly="0" labelOnly="1" outline="0" fieldPosition="0">
        <references count="8">
          <reference field="0" count="1" selected="0">
            <x v="3"/>
          </reference>
          <reference field="1" count="1" selected="0">
            <x v="155"/>
          </reference>
          <reference field="5" count="1" selected="0">
            <x v="2"/>
          </reference>
          <reference field="20" count="1" selected="0">
            <x v="0"/>
          </reference>
          <reference field="21" count="1" selected="0">
            <x v="0"/>
          </reference>
          <reference field="22" count="1" selected="0">
            <x v="0"/>
          </reference>
          <reference field="23" count="1" selected="0">
            <x v="70"/>
          </reference>
          <reference field="24" count="1">
            <x v="50"/>
          </reference>
        </references>
      </pivotArea>
    </format>
    <format dxfId="1029">
      <pivotArea dataOnly="0" labelOnly="1" outline="0" fieldPosition="0">
        <references count="8">
          <reference field="0" count="1" selected="0">
            <x v="3"/>
          </reference>
          <reference field="1" count="1" selected="0">
            <x v="156"/>
          </reference>
          <reference field="5" count="1" selected="0">
            <x v="2"/>
          </reference>
          <reference field="20" count="1" selected="0">
            <x v="0"/>
          </reference>
          <reference field="21" count="1" selected="0">
            <x v="0"/>
          </reference>
          <reference field="22" count="1" selected="0">
            <x v="0"/>
          </reference>
          <reference field="23" count="1" selected="0">
            <x v="33"/>
          </reference>
          <reference field="24" count="1">
            <x v="25"/>
          </reference>
        </references>
      </pivotArea>
    </format>
    <format dxfId="1028">
      <pivotArea dataOnly="0" labelOnly="1" outline="0" fieldPosition="0">
        <references count="8">
          <reference field="0" count="1" selected="0">
            <x v="7"/>
          </reference>
          <reference field="1" count="1" selected="0">
            <x v="157"/>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11"/>
          </reference>
        </references>
      </pivotArea>
    </format>
    <format dxfId="1027">
      <pivotArea dataOnly="0" labelOnly="1" outline="0" fieldPosition="0">
        <references count="8">
          <reference field="0" count="1" selected="0">
            <x v="3"/>
          </reference>
          <reference field="1" count="1" selected="0">
            <x v="158"/>
          </reference>
          <reference field="5" count="1" selected="0">
            <x v="2"/>
          </reference>
          <reference field="20" count="1" selected="0">
            <x v="0"/>
          </reference>
          <reference field="21" count="1" selected="0">
            <x v="0"/>
          </reference>
          <reference field="22" count="1" selected="0">
            <x v="0"/>
          </reference>
          <reference field="23" count="1" selected="0">
            <x v="85"/>
          </reference>
          <reference field="24" count="1">
            <x v="64"/>
          </reference>
        </references>
      </pivotArea>
    </format>
    <format dxfId="1026">
      <pivotArea dataOnly="0" labelOnly="1" outline="0" fieldPosition="0">
        <references count="8">
          <reference field="0" count="1" selected="0">
            <x v="1"/>
          </reference>
          <reference field="1" count="1" selected="0">
            <x v="159"/>
          </reference>
          <reference field="5" count="1" selected="0">
            <x v="2"/>
          </reference>
          <reference field="20" count="1" selected="0">
            <x v="0"/>
          </reference>
          <reference field="21" count="1" selected="0">
            <x v="7"/>
          </reference>
          <reference field="22" count="1" selected="0">
            <x v="0"/>
          </reference>
          <reference field="23" count="1" selected="0">
            <x v="0"/>
          </reference>
          <reference field="24" count="1">
            <x v="80"/>
          </reference>
        </references>
      </pivotArea>
    </format>
    <format dxfId="1025">
      <pivotArea dataOnly="0" labelOnly="1" outline="0" fieldPosition="0">
        <references count="8">
          <reference field="0" count="1" selected="0">
            <x v="2"/>
          </reference>
          <reference field="1" count="1" selected="0">
            <x v="160"/>
          </reference>
          <reference field="5" count="1" selected="0">
            <x v="2"/>
          </reference>
          <reference field="20" count="1" selected="0">
            <x v="0"/>
          </reference>
          <reference field="21" count="1" selected="0">
            <x v="0"/>
          </reference>
          <reference field="22" count="1" selected="0">
            <x v="26"/>
          </reference>
          <reference field="23" count="1" selected="0">
            <x v="0"/>
          </reference>
          <reference field="24" count="1">
            <x v="6"/>
          </reference>
        </references>
      </pivotArea>
    </format>
    <format dxfId="1024">
      <pivotArea dataOnly="0" labelOnly="1" outline="0" fieldPosition="0">
        <references count="8">
          <reference field="0" count="1" selected="0">
            <x v="2"/>
          </reference>
          <reference field="1" count="1" selected="0">
            <x v="164"/>
          </reference>
          <reference field="5" count="1" selected="0">
            <x v="2"/>
          </reference>
          <reference field="20" count="1" selected="0">
            <x v="0"/>
          </reference>
          <reference field="21" count="1" selected="0">
            <x v="0"/>
          </reference>
          <reference field="22" count="1" selected="0">
            <x v="23"/>
          </reference>
          <reference field="23" count="1" selected="0">
            <x v="0"/>
          </reference>
          <reference field="24" count="1">
            <x v="80"/>
          </reference>
        </references>
      </pivotArea>
    </format>
    <format dxfId="1023">
      <pivotArea dataOnly="0" labelOnly="1" outline="0" fieldPosition="0">
        <references count="8">
          <reference field="0" count="1" selected="0">
            <x v="3"/>
          </reference>
          <reference field="1" count="1" selected="0">
            <x v="165"/>
          </reference>
          <reference field="5" count="1" selected="0">
            <x v="2"/>
          </reference>
          <reference field="20" count="1" selected="0">
            <x v="0"/>
          </reference>
          <reference field="21" count="1" selected="0">
            <x v="0"/>
          </reference>
          <reference field="22" count="1" selected="0">
            <x v="0"/>
          </reference>
          <reference field="23" count="1" selected="0">
            <x v="90"/>
          </reference>
          <reference field="24" count="1">
            <x v="38"/>
          </reference>
        </references>
      </pivotArea>
    </format>
    <format dxfId="1022">
      <pivotArea dataOnly="0" labelOnly="1" outline="0" fieldPosition="0">
        <references count="8">
          <reference field="0" count="1" selected="0">
            <x v="5"/>
          </reference>
          <reference field="1" count="1" selected="0">
            <x v="166"/>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10"/>
          </reference>
        </references>
      </pivotArea>
    </format>
    <format dxfId="1021">
      <pivotArea dataOnly="0" labelOnly="1" outline="0" fieldPosition="0">
        <references count="8">
          <reference field="0" count="1" selected="0">
            <x v="3"/>
          </reference>
          <reference field="1" count="1" selected="0">
            <x v="167"/>
          </reference>
          <reference field="5" count="1" selected="0">
            <x v="2"/>
          </reference>
          <reference field="20" count="1" selected="0">
            <x v="0"/>
          </reference>
          <reference field="21" count="1" selected="0">
            <x v="0"/>
          </reference>
          <reference field="22" count="1" selected="0">
            <x v="0"/>
          </reference>
          <reference field="23" count="1" selected="0">
            <x v="91"/>
          </reference>
          <reference field="24" count="1">
            <x v="80"/>
          </reference>
        </references>
      </pivotArea>
    </format>
    <format dxfId="1020">
      <pivotArea dataOnly="0" labelOnly="1" outline="0" fieldPosition="0">
        <references count="8">
          <reference field="0" count="1" selected="0">
            <x v="3"/>
          </reference>
          <reference field="1" count="1" selected="0">
            <x v="171"/>
          </reference>
          <reference field="5" count="1" selected="0">
            <x v="2"/>
          </reference>
          <reference field="20" count="1" selected="0">
            <x v="0"/>
          </reference>
          <reference field="21" count="1" selected="0">
            <x v="0"/>
          </reference>
          <reference field="22" count="1" selected="0">
            <x v="0"/>
          </reference>
          <reference field="23" count="1" selected="0">
            <x v="84"/>
          </reference>
          <reference field="24" count="1">
            <x v="62"/>
          </reference>
        </references>
      </pivotArea>
    </format>
    <format dxfId="1019">
      <pivotArea dataOnly="0" labelOnly="1" outline="0" fieldPosition="0">
        <references count="8">
          <reference field="0" count="1" selected="0">
            <x v="3"/>
          </reference>
          <reference field="1" count="1" selected="0">
            <x v="172"/>
          </reference>
          <reference field="5" count="1" selected="0">
            <x v="2"/>
          </reference>
          <reference field="20" count="1" selected="0">
            <x v="0"/>
          </reference>
          <reference field="21" count="1" selected="0">
            <x v="0"/>
          </reference>
          <reference field="22" count="1" selected="0">
            <x v="0"/>
          </reference>
          <reference field="23" count="1" selected="0">
            <x v="105"/>
          </reference>
          <reference field="24" count="1">
            <x v="79"/>
          </reference>
        </references>
      </pivotArea>
    </format>
    <format dxfId="1018">
      <pivotArea dataOnly="0" labelOnly="1" outline="0" fieldPosition="0">
        <references count="8">
          <reference field="0" count="1" selected="0">
            <x v="3"/>
          </reference>
          <reference field="1" count="1" selected="0">
            <x v="173"/>
          </reference>
          <reference field="5" count="1" selected="0">
            <x v="2"/>
          </reference>
          <reference field="20" count="1" selected="0">
            <x v="0"/>
          </reference>
          <reference field="21" count="1" selected="0">
            <x v="0"/>
          </reference>
          <reference field="22" count="1" selected="0">
            <x v="0"/>
          </reference>
          <reference field="23" count="1" selected="0">
            <x v="55"/>
          </reference>
          <reference field="24" count="1">
            <x v="34"/>
          </reference>
        </references>
      </pivotArea>
    </format>
    <format dxfId="1017">
      <pivotArea dataOnly="0" labelOnly="1" outline="0" fieldPosition="0">
        <references count="8">
          <reference field="0" count="1" selected="0">
            <x v="0"/>
          </reference>
          <reference field="1" count="1" selected="0">
            <x v="209"/>
          </reference>
          <reference field="5" count="1" selected="0">
            <x v="2"/>
          </reference>
          <reference field="20" count="1" selected="0">
            <x v="5"/>
          </reference>
          <reference field="21" count="1" selected="0">
            <x v="0"/>
          </reference>
          <reference field="22" count="1" selected="0">
            <x v="0"/>
          </reference>
          <reference field="23" count="1" selected="0">
            <x v="0"/>
          </reference>
          <reference field="24" count="1">
            <x v="80"/>
          </reference>
        </references>
      </pivotArea>
    </format>
    <format dxfId="1016">
      <pivotArea dataOnly="0" labelOnly="1" outline="0" fieldPosition="0">
        <references count="8">
          <reference field="0" count="1" selected="0">
            <x v="3"/>
          </reference>
          <reference field="1" count="1" selected="0">
            <x v="211"/>
          </reference>
          <reference field="5" count="1" selected="0">
            <x v="2"/>
          </reference>
          <reference field="20" count="1" selected="0">
            <x v="0"/>
          </reference>
          <reference field="21" count="1" selected="0">
            <x v="0"/>
          </reference>
          <reference field="22" count="1" selected="0">
            <x v="0"/>
          </reference>
          <reference field="23" count="1" selected="0">
            <x v="36"/>
          </reference>
          <reference field="24" count="1">
            <x v="27"/>
          </reference>
        </references>
      </pivotArea>
    </format>
    <format dxfId="1015">
      <pivotArea dataOnly="0" labelOnly="1" outline="0" fieldPosition="0">
        <references count="8">
          <reference field="0" count="1" selected="0">
            <x v="0"/>
          </reference>
          <reference field="1" count="1" selected="0">
            <x v="212"/>
          </reference>
          <reference field="5" count="1" selected="0">
            <x v="2"/>
          </reference>
          <reference field="20" count="1" selected="0">
            <x v="8"/>
          </reference>
          <reference field="21" count="1" selected="0">
            <x v="0"/>
          </reference>
          <reference field="22" count="1" selected="0">
            <x v="0"/>
          </reference>
          <reference field="23" count="1" selected="0">
            <x v="0"/>
          </reference>
          <reference field="24" count="1">
            <x v="80"/>
          </reference>
        </references>
      </pivotArea>
    </format>
    <format dxfId="1014">
      <pivotArea dataOnly="0" labelOnly="1" outline="0" fieldPosition="0">
        <references count="8">
          <reference field="0" count="1" selected="0">
            <x v="3"/>
          </reference>
          <reference field="1" count="1" selected="0">
            <x v="213"/>
          </reference>
          <reference field="5" count="1" selected="0">
            <x v="2"/>
          </reference>
          <reference field="20" count="1" selected="0">
            <x v="0"/>
          </reference>
          <reference field="21" count="1" selected="0">
            <x v="0"/>
          </reference>
          <reference field="22" count="1" selected="0">
            <x v="0"/>
          </reference>
          <reference field="23" count="1" selected="0">
            <x v="99"/>
          </reference>
          <reference field="24" count="1">
            <x v="22"/>
          </reference>
        </references>
      </pivotArea>
    </format>
    <format dxfId="1013">
      <pivotArea dataOnly="0" labelOnly="1" outline="0" fieldPosition="0">
        <references count="9">
          <reference field="0" count="1" selected="0">
            <x v="0"/>
          </reference>
          <reference field="1" count="1" selected="0">
            <x v="0"/>
          </reference>
          <reference field="5" count="1" selected="0">
            <x v="2"/>
          </reference>
          <reference field="13" count="1">
            <x v="0"/>
          </reference>
          <reference field="20" count="1" selected="0">
            <x v="9"/>
          </reference>
          <reference field="21" count="1" selected="0">
            <x v="0"/>
          </reference>
          <reference field="22" count="1" selected="0">
            <x v="0"/>
          </reference>
          <reference field="23" count="1" selected="0">
            <x v="0"/>
          </reference>
          <reference field="24" count="1" selected="0">
            <x v="80"/>
          </reference>
        </references>
      </pivotArea>
    </format>
    <format dxfId="1012">
      <pivotArea dataOnly="0" labelOnly="1" outline="0" fieldPosition="0">
        <references count="9">
          <reference field="0" count="1" selected="0">
            <x v="1"/>
          </reference>
          <reference field="1" count="1" selected="0">
            <x v="1"/>
          </reference>
          <reference field="5" count="1" selected="0">
            <x v="1"/>
          </reference>
          <reference field="13" count="1">
            <x v="77"/>
          </reference>
          <reference field="20" count="1" selected="0">
            <x v="0"/>
          </reference>
          <reference field="21" count="1" selected="0">
            <x v="12"/>
          </reference>
          <reference field="22" count="1" selected="0">
            <x v="0"/>
          </reference>
          <reference field="23" count="1" selected="0">
            <x v="0"/>
          </reference>
          <reference field="24" count="1" selected="0">
            <x v="8"/>
          </reference>
        </references>
      </pivotArea>
    </format>
    <format dxfId="1011">
      <pivotArea dataOnly="0" labelOnly="1" outline="0" fieldPosition="0">
        <references count="9">
          <reference field="0" count="1" selected="0">
            <x v="1"/>
          </reference>
          <reference field="1" count="1" selected="0">
            <x v="2"/>
          </reference>
          <reference field="5" count="1" selected="0">
            <x v="2"/>
          </reference>
          <reference field="13" count="1">
            <x v="78"/>
          </reference>
          <reference field="20" count="1" selected="0">
            <x v="0"/>
          </reference>
          <reference field="21" count="1" selected="0">
            <x v="18"/>
          </reference>
          <reference field="22" count="1" selected="0">
            <x v="0"/>
          </reference>
          <reference field="23" count="1" selected="0">
            <x v="0"/>
          </reference>
          <reference field="24" count="1" selected="0">
            <x v="81"/>
          </reference>
        </references>
      </pivotArea>
    </format>
    <format dxfId="1010">
      <pivotArea dataOnly="0" labelOnly="1" outline="0" fieldPosition="0">
        <references count="9">
          <reference field="0" count="1" selected="0">
            <x v="0"/>
          </reference>
          <reference field="1" count="1" selected="0">
            <x v="3"/>
          </reference>
          <reference field="5" count="1" selected="0">
            <x v="2"/>
          </reference>
          <reference field="13" count="1">
            <x v="0"/>
          </reference>
          <reference field="20" count="1" selected="0">
            <x v="6"/>
          </reference>
          <reference field="21" count="1" selected="0">
            <x v="0"/>
          </reference>
          <reference field="22" count="1" selected="0">
            <x v="0"/>
          </reference>
          <reference field="23" count="1" selected="0">
            <x v="0"/>
          </reference>
          <reference field="24" count="1" selected="0">
            <x v="80"/>
          </reference>
        </references>
      </pivotArea>
    </format>
    <format dxfId="1009">
      <pivotArea dataOnly="0" labelOnly="1" outline="0" fieldPosition="0">
        <references count="9">
          <reference field="0" count="1" selected="0">
            <x v="3"/>
          </reference>
          <reference field="1" count="1" selected="0">
            <x v="6"/>
          </reference>
          <reference field="5" count="1" selected="0">
            <x v="0"/>
          </reference>
          <reference field="13" count="1">
            <x v="79"/>
          </reference>
          <reference field="20" count="1" selected="0">
            <x v="0"/>
          </reference>
          <reference field="21" count="1" selected="0">
            <x v="0"/>
          </reference>
          <reference field="22" count="1" selected="0">
            <x v="0"/>
          </reference>
          <reference field="23" count="1" selected="0">
            <x v="106"/>
          </reference>
          <reference field="24" count="1" selected="0">
            <x v="37"/>
          </reference>
        </references>
      </pivotArea>
    </format>
    <format dxfId="1008">
      <pivotArea dataOnly="0" labelOnly="1" outline="0" fieldPosition="0">
        <references count="9">
          <reference field="0" count="1" selected="0">
            <x v="3"/>
          </reference>
          <reference field="1" count="1" selected="0">
            <x v="7"/>
          </reference>
          <reference field="5" count="1" selected="0">
            <x v="0"/>
          </reference>
          <reference field="13" count="1">
            <x v="80"/>
          </reference>
          <reference field="20" count="1" selected="0">
            <x v="0"/>
          </reference>
          <reference field="21" count="1" selected="0">
            <x v="0"/>
          </reference>
          <reference field="22" count="1" selected="0">
            <x v="0"/>
          </reference>
          <reference field="23" count="1" selected="0">
            <x v="71"/>
          </reference>
          <reference field="24" count="1" selected="0">
            <x v="51"/>
          </reference>
        </references>
      </pivotArea>
    </format>
    <format dxfId="1007">
      <pivotArea dataOnly="0" labelOnly="1" outline="0" fieldPosition="0">
        <references count="9">
          <reference field="0" count="1" selected="0">
            <x v="3"/>
          </reference>
          <reference field="1" count="1" selected="0">
            <x v="8"/>
          </reference>
          <reference field="5" count="1" selected="0">
            <x v="2"/>
          </reference>
          <reference field="13" count="1">
            <x v="81"/>
          </reference>
          <reference field="20" count="1" selected="0">
            <x v="0"/>
          </reference>
          <reference field="21" count="1" selected="0">
            <x v="0"/>
          </reference>
          <reference field="22" count="1" selected="0">
            <x v="0"/>
          </reference>
          <reference field="23" count="1" selected="0">
            <x v="40"/>
          </reference>
          <reference field="24" count="1" selected="0">
            <x v="82"/>
          </reference>
        </references>
      </pivotArea>
    </format>
    <format dxfId="1006">
      <pivotArea dataOnly="0" labelOnly="1" outline="0" fieldPosition="0">
        <references count="9">
          <reference field="0" count="1" selected="0">
            <x v="1"/>
          </reference>
          <reference field="1" count="1" selected="0">
            <x v="9"/>
          </reference>
          <reference field="5" count="1" selected="0">
            <x v="2"/>
          </reference>
          <reference field="13" count="1">
            <x v="0"/>
          </reference>
          <reference field="20" count="1" selected="0">
            <x v="0"/>
          </reference>
          <reference field="21" count="1" selected="0">
            <x v="2"/>
          </reference>
          <reference field="22" count="1" selected="0">
            <x v="0"/>
          </reference>
          <reference field="23" count="1" selected="0">
            <x v="0"/>
          </reference>
          <reference field="24" count="1" selected="0">
            <x v="80"/>
          </reference>
        </references>
      </pivotArea>
    </format>
    <format dxfId="1005">
      <pivotArea dataOnly="0" labelOnly="1" outline="0" fieldPosition="0">
        <references count="9">
          <reference field="0" count="1" selected="0">
            <x v="3"/>
          </reference>
          <reference field="1" count="1" selected="0">
            <x v="11"/>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23"/>
          </reference>
          <reference field="24" count="1" selected="0">
            <x v="40"/>
          </reference>
        </references>
      </pivotArea>
    </format>
    <format dxfId="1004">
      <pivotArea dataOnly="0" labelOnly="1" outline="0" fieldPosition="0">
        <references count="9">
          <reference field="0" count="1" selected="0">
            <x v="3"/>
          </reference>
          <reference field="1" count="1" selected="0">
            <x v="12"/>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93"/>
          </reference>
          <reference field="24" count="1" selected="0">
            <x v="19"/>
          </reference>
        </references>
      </pivotArea>
    </format>
    <format dxfId="1003">
      <pivotArea dataOnly="0" labelOnly="1" outline="0" fieldPosition="0">
        <references count="9">
          <reference field="0" count="1" selected="0">
            <x v="3"/>
          </reference>
          <reference field="1" count="1" selected="0">
            <x v="13"/>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25"/>
          </reference>
          <reference field="24" count="1" selected="0">
            <x v="37"/>
          </reference>
        </references>
      </pivotArea>
    </format>
    <format dxfId="1002">
      <pivotArea dataOnly="0" labelOnly="1" outline="0" fieldPosition="0">
        <references count="9">
          <reference field="0" count="1" selected="0">
            <x v="1"/>
          </reference>
          <reference field="1" count="1" selected="0">
            <x v="14"/>
          </reference>
          <reference field="5" count="1" selected="0">
            <x v="2"/>
          </reference>
          <reference field="13" count="1">
            <x v="0"/>
          </reference>
          <reference field="20" count="1" selected="0">
            <x v="0"/>
          </reference>
          <reference field="21" count="1" selected="0">
            <x v="10"/>
          </reference>
          <reference field="22" count="1" selected="0">
            <x v="0"/>
          </reference>
          <reference field="23" count="1" selected="0">
            <x v="0"/>
          </reference>
          <reference field="24" count="1" selected="0">
            <x v="80"/>
          </reference>
        </references>
      </pivotArea>
    </format>
    <format dxfId="1001">
      <pivotArea dataOnly="0" labelOnly="1" outline="0" fieldPosition="0">
        <references count="9">
          <reference field="0" count="1" selected="0">
            <x v="3"/>
          </reference>
          <reference field="1" count="1" selected="0">
            <x v="16"/>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15"/>
          </reference>
          <reference field="24" count="1" selected="0">
            <x v="37"/>
          </reference>
        </references>
      </pivotArea>
    </format>
    <format dxfId="1000">
      <pivotArea dataOnly="0" labelOnly="1" outline="0" fieldPosition="0">
        <references count="9">
          <reference field="0" count="1" selected="0">
            <x v="3"/>
          </reference>
          <reference field="1" count="1" selected="0">
            <x v="17"/>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21"/>
          </reference>
          <reference field="24" count="1" selected="0">
            <x v="20"/>
          </reference>
        </references>
      </pivotArea>
    </format>
    <format dxfId="999">
      <pivotArea dataOnly="0" labelOnly="1" outline="0" fieldPosition="0">
        <references count="9">
          <reference field="0" count="1" selected="0">
            <x v="3"/>
          </reference>
          <reference field="1" count="1" selected="0">
            <x v="20"/>
          </reference>
          <reference field="5" count="1" selected="0">
            <x v="2"/>
          </reference>
          <reference field="13" count="1">
            <x v="85"/>
          </reference>
          <reference field="20" count="1" selected="0">
            <x v="0"/>
          </reference>
          <reference field="21" count="1" selected="0">
            <x v="0"/>
          </reference>
          <reference field="22" count="1" selected="0">
            <x v="0"/>
          </reference>
          <reference field="23" count="1" selected="0">
            <x v="100"/>
          </reference>
          <reference field="24" count="1" selected="0">
            <x v="77"/>
          </reference>
        </references>
      </pivotArea>
    </format>
    <format dxfId="998">
      <pivotArea dataOnly="0" labelOnly="1" outline="0" fieldPosition="0">
        <references count="9">
          <reference field="0" count="1" selected="0">
            <x v="2"/>
          </reference>
          <reference field="1" count="1" selected="0">
            <x v="21"/>
          </reference>
          <reference field="5" count="1" selected="0">
            <x v="2"/>
          </reference>
          <reference field="13" count="1">
            <x v="0"/>
          </reference>
          <reference field="20" count="1" selected="0">
            <x v="0"/>
          </reference>
          <reference field="21" count="1" selected="0">
            <x v="0"/>
          </reference>
          <reference field="22" count="1" selected="0">
            <x v="21"/>
          </reference>
          <reference field="23" count="1" selected="0">
            <x v="0"/>
          </reference>
          <reference field="24" count="1" selected="0">
            <x v="80"/>
          </reference>
        </references>
      </pivotArea>
    </format>
    <format dxfId="997">
      <pivotArea dataOnly="0" labelOnly="1" outline="0" fieldPosition="0">
        <references count="9">
          <reference field="0" count="1" selected="0">
            <x v="3"/>
          </reference>
          <reference field="1" count="1" selected="0">
            <x v="26"/>
          </reference>
          <reference field="5" count="1" selected="0">
            <x v="2"/>
          </reference>
          <reference field="13" count="1">
            <x v="86"/>
          </reference>
          <reference field="20" count="1" selected="0">
            <x v="0"/>
          </reference>
          <reference field="21" count="1" selected="0">
            <x v="0"/>
          </reference>
          <reference field="22" count="1" selected="0">
            <x v="0"/>
          </reference>
          <reference field="23" count="1" selected="0">
            <x v="66"/>
          </reference>
          <reference field="24" count="1" selected="0">
            <x v="19"/>
          </reference>
        </references>
      </pivotArea>
    </format>
    <format dxfId="996">
      <pivotArea dataOnly="0" labelOnly="1" outline="0" fieldPosition="0">
        <references count="9">
          <reference field="0" count="1" selected="0">
            <x v="3"/>
          </reference>
          <reference field="1" count="1" selected="0">
            <x v="27"/>
          </reference>
          <reference field="5" count="1" selected="0">
            <x v="2"/>
          </reference>
          <reference field="13" count="1">
            <x v="87"/>
          </reference>
          <reference field="20" count="1" selected="0">
            <x v="0"/>
          </reference>
          <reference field="21" count="1" selected="0">
            <x v="0"/>
          </reference>
          <reference field="22" count="1" selected="0">
            <x v="0"/>
          </reference>
          <reference field="23" count="1" selected="0">
            <x v="39"/>
          </reference>
          <reference field="24" count="1" selected="0">
            <x v="46"/>
          </reference>
        </references>
      </pivotArea>
    </format>
    <format dxfId="995">
      <pivotArea dataOnly="0" labelOnly="1" outline="0" fieldPosition="0">
        <references count="9">
          <reference field="0" count="1" selected="0">
            <x v="3"/>
          </reference>
          <reference field="1" count="1" selected="0">
            <x v="28"/>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26"/>
          </reference>
          <reference field="24" count="1" selected="0">
            <x v="20"/>
          </reference>
        </references>
      </pivotArea>
    </format>
    <format dxfId="994">
      <pivotArea dataOnly="0" labelOnly="1" outline="0" fieldPosition="0">
        <references count="9">
          <reference field="0" count="1" selected="0">
            <x v="1"/>
          </reference>
          <reference field="1" count="1" selected="0">
            <x v="29"/>
          </reference>
          <reference field="5" count="1" selected="0">
            <x v="2"/>
          </reference>
          <reference field="13" count="1">
            <x v="0"/>
          </reference>
          <reference field="20" count="1" selected="0">
            <x v="0"/>
          </reference>
          <reference field="21" count="1" selected="0">
            <x v="17"/>
          </reference>
          <reference field="22" count="1" selected="0">
            <x v="0"/>
          </reference>
          <reference field="23" count="1" selected="0">
            <x v="0"/>
          </reference>
          <reference field="24" count="1" selected="0">
            <x v="80"/>
          </reference>
        </references>
      </pivotArea>
    </format>
    <format dxfId="993">
      <pivotArea dataOnly="0" labelOnly="1" outline="0" fieldPosition="0">
        <references count="9">
          <reference field="0" count="1" selected="0">
            <x v="3"/>
          </reference>
          <reference field="1" count="1" selected="0">
            <x v="31"/>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87"/>
          </reference>
          <reference field="24" count="1" selected="0">
            <x v="65"/>
          </reference>
        </references>
      </pivotArea>
    </format>
    <format dxfId="992">
      <pivotArea dataOnly="0" labelOnly="1" outline="0" fieldPosition="0">
        <references count="9">
          <reference field="0" count="1" selected="0">
            <x v="3"/>
          </reference>
          <reference field="1" count="1" selected="0">
            <x v="32"/>
          </reference>
          <reference field="5" count="1" selected="0">
            <x v="2"/>
          </reference>
          <reference field="13" count="1">
            <x v="86"/>
          </reference>
          <reference field="20" count="1" selected="0">
            <x v="0"/>
          </reference>
          <reference field="21" count="1" selected="0">
            <x v="0"/>
          </reference>
          <reference field="22" count="1" selected="0">
            <x v="0"/>
          </reference>
          <reference field="23" count="1" selected="0">
            <x v="72"/>
          </reference>
          <reference field="24" count="1" selected="0">
            <x v="55"/>
          </reference>
        </references>
      </pivotArea>
    </format>
    <format dxfId="991">
      <pivotArea dataOnly="0" labelOnly="1" outline="0" fieldPosition="0">
        <references count="9">
          <reference field="0" count="1" selected="0">
            <x v="3"/>
          </reference>
          <reference field="1" count="1" selected="0">
            <x v="33"/>
          </reference>
          <reference field="5" count="1" selected="0">
            <x v="2"/>
          </reference>
          <reference field="13" count="1">
            <x v="88"/>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990">
      <pivotArea dataOnly="0" labelOnly="1" outline="0" fieldPosition="0">
        <references count="9">
          <reference field="0" count="1" selected="0">
            <x v="3"/>
          </reference>
          <reference field="1" count="1" selected="0">
            <x v="34"/>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73"/>
          </reference>
          <reference field="24" count="1" selected="0">
            <x v="55"/>
          </reference>
        </references>
      </pivotArea>
    </format>
    <format dxfId="989">
      <pivotArea dataOnly="0" labelOnly="1" outline="0" fieldPosition="0">
        <references count="9">
          <reference field="0" count="1" selected="0">
            <x v="3"/>
          </reference>
          <reference field="1" count="1" selected="0">
            <x v="35"/>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988">
      <pivotArea dataOnly="0" labelOnly="1" outline="0" fieldPosition="0">
        <references count="9">
          <reference field="0" count="1" selected="0">
            <x v="3"/>
          </reference>
          <reference field="1" count="1" selected="0">
            <x v="36"/>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75"/>
          </reference>
          <reference field="24" count="1" selected="0">
            <x v="55"/>
          </reference>
        </references>
      </pivotArea>
    </format>
    <format dxfId="987">
      <pivotArea dataOnly="0" labelOnly="1" outline="0" fieldPosition="0">
        <references count="9">
          <reference field="0" count="1" selected="0">
            <x v="3"/>
          </reference>
          <reference field="1" count="1" selected="0">
            <x v="37"/>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986">
      <pivotArea dataOnly="0" labelOnly="1" outline="0" fieldPosition="0">
        <references count="9">
          <reference field="0" count="1" selected="0">
            <x v="3"/>
          </reference>
          <reference field="1" count="1" selected="0">
            <x v="38"/>
          </reference>
          <reference field="5" count="1" selected="0">
            <x v="2"/>
          </reference>
          <reference field="13" count="1">
            <x v="92"/>
          </reference>
          <reference field="20" count="1" selected="0">
            <x v="0"/>
          </reference>
          <reference field="21" count="1" selected="0">
            <x v="0"/>
          </reference>
          <reference field="22" count="1" selected="0">
            <x v="0"/>
          </reference>
          <reference field="23" count="1" selected="0">
            <x v="74"/>
          </reference>
          <reference field="24" count="1" selected="0">
            <x v="55"/>
          </reference>
        </references>
      </pivotArea>
    </format>
    <format dxfId="985">
      <pivotArea dataOnly="0" labelOnly="1" outline="0" fieldPosition="0">
        <references count="9">
          <reference field="0" count="1" selected="0">
            <x v="3"/>
          </reference>
          <reference field="1" count="1" selected="0">
            <x v="39"/>
          </reference>
          <reference field="5" count="1" selected="0">
            <x v="2"/>
          </reference>
          <reference field="13" count="1">
            <x v="93"/>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984">
      <pivotArea dataOnly="0" labelOnly="1" outline="0" fieldPosition="0">
        <references count="9">
          <reference field="0" count="1" selected="0">
            <x v="3"/>
          </reference>
          <reference field="1" count="1" selected="0">
            <x v="40"/>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14"/>
          </reference>
          <reference field="24" count="1" selected="0">
            <x v="15"/>
          </reference>
        </references>
      </pivotArea>
    </format>
    <format dxfId="983">
      <pivotArea dataOnly="0" labelOnly="1" outline="0" fieldPosition="0">
        <references count="9">
          <reference field="0" count="1" selected="0">
            <x v="1"/>
          </reference>
          <reference field="1" count="1" selected="0">
            <x v="41"/>
          </reference>
          <reference field="5" count="1" selected="0">
            <x v="2"/>
          </reference>
          <reference field="13" count="1">
            <x v="0"/>
          </reference>
          <reference field="20" count="1" selected="0">
            <x v="0"/>
          </reference>
          <reference field="21" count="1" selected="0">
            <x v="8"/>
          </reference>
          <reference field="22" count="1" selected="0">
            <x v="0"/>
          </reference>
          <reference field="23" count="1" selected="0">
            <x v="0"/>
          </reference>
          <reference field="24" count="1" selected="0">
            <x v="80"/>
          </reference>
        </references>
      </pivotArea>
    </format>
    <format dxfId="982">
      <pivotArea dataOnly="0" labelOnly="1" outline="0" fieldPosition="0">
        <references count="9">
          <reference field="0" count="1" selected="0">
            <x v="3"/>
          </reference>
          <reference field="1" count="1" selected="0">
            <x v="42"/>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104"/>
          </reference>
          <reference field="24" count="1" selected="0">
            <x v="78"/>
          </reference>
        </references>
      </pivotArea>
    </format>
    <format dxfId="981">
      <pivotArea dataOnly="0" labelOnly="1" outline="0" fieldPosition="0">
        <references count="9">
          <reference field="0" count="1" selected="0">
            <x v="1"/>
          </reference>
          <reference field="1" count="1" selected="0">
            <x v="43"/>
          </reference>
          <reference field="5" count="1" selected="0">
            <x v="2"/>
          </reference>
          <reference field="13" count="1">
            <x v="0"/>
          </reference>
          <reference field="20" count="1" selected="0">
            <x v="0"/>
          </reference>
          <reference field="21" count="1" selected="0">
            <x v="16"/>
          </reference>
          <reference field="22" count="1" selected="0">
            <x v="0"/>
          </reference>
          <reference field="23" count="1" selected="0">
            <x v="0"/>
          </reference>
          <reference field="24" count="1" selected="0">
            <x v="80"/>
          </reference>
        </references>
      </pivotArea>
    </format>
    <format dxfId="980">
      <pivotArea dataOnly="0" labelOnly="1" outline="0" fieldPosition="0">
        <references count="9">
          <reference field="0" count="1" selected="0">
            <x v="3"/>
          </reference>
          <reference field="1" count="1" selected="0">
            <x v="44"/>
          </reference>
          <reference field="5" count="1" selected="0">
            <x v="2"/>
          </reference>
          <reference field="13" count="1">
            <x v="95"/>
          </reference>
          <reference field="20" count="1" selected="0">
            <x v="0"/>
          </reference>
          <reference field="21" count="1" selected="0">
            <x v="0"/>
          </reference>
          <reference field="22" count="1" selected="0">
            <x v="0"/>
          </reference>
          <reference field="23" count="1" selected="0">
            <x v="63"/>
          </reference>
          <reference field="24" count="1" selected="0">
            <x v="83"/>
          </reference>
        </references>
      </pivotArea>
    </format>
    <format dxfId="979">
      <pivotArea dataOnly="0" labelOnly="1" outline="0" fieldPosition="0">
        <references count="9">
          <reference field="0" count="1" selected="0">
            <x v="3"/>
          </reference>
          <reference field="1" count="1" selected="0">
            <x v="45"/>
          </reference>
          <reference field="5" count="1" selected="0">
            <x v="2"/>
          </reference>
          <reference field="13" count="1">
            <x v="96"/>
          </reference>
          <reference field="20" count="1" selected="0">
            <x v="0"/>
          </reference>
          <reference field="21" count="1" selected="0">
            <x v="0"/>
          </reference>
          <reference field="22" count="1" selected="0">
            <x v="0"/>
          </reference>
          <reference field="23" count="1" selected="0">
            <x v="46"/>
          </reference>
          <reference field="24" count="1" selected="0">
            <x v="83"/>
          </reference>
        </references>
      </pivotArea>
    </format>
    <format dxfId="978">
      <pivotArea dataOnly="0" labelOnly="1" outline="0" fieldPosition="0">
        <references count="9">
          <reference field="0" count="1" selected="0">
            <x v="3"/>
          </reference>
          <reference field="1" count="1" selected="0">
            <x v="46"/>
          </reference>
          <reference field="5" count="1" selected="0">
            <x v="2"/>
          </reference>
          <reference field="13" count="1">
            <x v="97"/>
          </reference>
          <reference field="20" count="1" selected="0">
            <x v="0"/>
          </reference>
          <reference field="21" count="1" selected="0">
            <x v="0"/>
          </reference>
          <reference field="22" count="1" selected="0">
            <x v="0"/>
          </reference>
          <reference field="23" count="1" selected="0">
            <x v="42"/>
          </reference>
          <reference field="24" count="1" selected="0">
            <x v="83"/>
          </reference>
        </references>
      </pivotArea>
    </format>
    <format dxfId="977">
      <pivotArea dataOnly="0" labelOnly="1" outline="0" fieldPosition="0">
        <references count="9">
          <reference field="0" count="1" selected="0">
            <x v="3"/>
          </reference>
          <reference field="1" count="1" selected="0">
            <x v="47"/>
          </reference>
          <reference field="5" count="1" selected="0">
            <x v="2"/>
          </reference>
          <reference field="13" count="1">
            <x v="98"/>
          </reference>
          <reference field="20" count="1" selected="0">
            <x v="0"/>
          </reference>
          <reference field="21" count="1" selected="0">
            <x v="0"/>
          </reference>
          <reference field="22" count="1" selected="0">
            <x v="0"/>
          </reference>
          <reference field="23" count="1" selected="0">
            <x v="44"/>
          </reference>
          <reference field="24" count="1" selected="0">
            <x v="83"/>
          </reference>
        </references>
      </pivotArea>
    </format>
    <format dxfId="976">
      <pivotArea dataOnly="0" labelOnly="1" outline="0" fieldPosition="0">
        <references count="9">
          <reference field="0" count="1" selected="0">
            <x v="0"/>
          </reference>
          <reference field="1" count="1" selected="0">
            <x v="48"/>
          </reference>
          <reference field="5" count="1" selected="0">
            <x v="2"/>
          </reference>
          <reference field="13" count="1">
            <x v="0"/>
          </reference>
          <reference field="20" count="1" selected="0">
            <x v="4"/>
          </reference>
          <reference field="21" count="1" selected="0">
            <x v="0"/>
          </reference>
          <reference field="22" count="1" selected="0">
            <x v="0"/>
          </reference>
          <reference field="23" count="1" selected="0">
            <x v="0"/>
          </reference>
          <reference field="24" count="1" selected="0">
            <x v="80"/>
          </reference>
        </references>
      </pivotArea>
    </format>
    <format dxfId="975">
      <pivotArea dataOnly="0" labelOnly="1" outline="0" fieldPosition="0">
        <references count="9">
          <reference field="0" count="1" selected="0">
            <x v="3"/>
          </reference>
          <reference field="1" count="1" selected="0">
            <x v="54"/>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32"/>
          </reference>
          <reference field="24" count="1" selected="0">
            <x v="70"/>
          </reference>
        </references>
      </pivotArea>
    </format>
    <format dxfId="974">
      <pivotArea dataOnly="0" labelOnly="1" outline="0" fieldPosition="0">
        <references count="9">
          <reference field="0" count="1" selected="0">
            <x v="3"/>
          </reference>
          <reference field="1" count="1" selected="0">
            <x v="55"/>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53"/>
          </reference>
          <reference field="24" count="1" selected="0">
            <x v="53"/>
          </reference>
        </references>
      </pivotArea>
    </format>
    <format dxfId="973">
      <pivotArea dataOnly="0" labelOnly="1" outline="0" fieldPosition="0">
        <references count="9">
          <reference field="0" count="1" selected="0">
            <x v="1"/>
          </reference>
          <reference field="1" count="1" selected="0">
            <x v="57"/>
          </reference>
          <reference field="5" count="1" selected="0">
            <x v="2"/>
          </reference>
          <reference field="13" count="1">
            <x v="0"/>
          </reference>
          <reference field="20" count="1" selected="0">
            <x v="0"/>
          </reference>
          <reference field="21" count="1" selected="0">
            <x v="3"/>
          </reference>
          <reference field="22" count="1" selected="0">
            <x v="0"/>
          </reference>
          <reference field="23" count="1" selected="0">
            <x v="0"/>
          </reference>
          <reference field="24" count="1" selected="0">
            <x v="80"/>
          </reference>
        </references>
      </pivotArea>
    </format>
    <format dxfId="972">
      <pivotArea dataOnly="0" labelOnly="1" outline="0" fieldPosition="0">
        <references count="9">
          <reference field="0" count="1" selected="0">
            <x v="3"/>
          </reference>
          <reference field="1" count="1" selected="0">
            <x v="59"/>
          </reference>
          <reference field="5" count="1" selected="0">
            <x v="2"/>
          </reference>
          <reference field="13" count="1">
            <x v="79"/>
          </reference>
          <reference field="20" count="1" selected="0">
            <x v="0"/>
          </reference>
          <reference field="21" count="1" selected="0">
            <x v="0"/>
          </reference>
          <reference field="22" count="1" selected="0">
            <x v="0"/>
          </reference>
          <reference field="23" count="1" selected="0">
            <x v="107"/>
          </reference>
          <reference field="24" count="1" selected="0">
            <x v="67"/>
          </reference>
        </references>
      </pivotArea>
    </format>
    <format dxfId="971">
      <pivotArea dataOnly="0" labelOnly="1" outline="0" fieldPosition="0">
        <references count="9">
          <reference field="0" count="1" selected="0">
            <x v="2"/>
          </reference>
          <reference field="1" count="1" selected="0">
            <x v="61"/>
          </reference>
          <reference field="5" count="1" selected="0">
            <x v="2"/>
          </reference>
          <reference field="13" count="1">
            <x v="0"/>
          </reference>
          <reference field="20" count="1" selected="0">
            <x v="0"/>
          </reference>
          <reference field="21" count="1" selected="0">
            <x v="0"/>
          </reference>
          <reference field="22" count="1" selected="0">
            <x v="16"/>
          </reference>
          <reference field="23" count="1" selected="0">
            <x v="0"/>
          </reference>
          <reference field="24" count="1" selected="0">
            <x v="80"/>
          </reference>
        </references>
      </pivotArea>
    </format>
    <format dxfId="970">
      <pivotArea dataOnly="0" labelOnly="1" outline="0" fieldPosition="0">
        <references count="9">
          <reference field="0" count="1" selected="0">
            <x v="3"/>
          </reference>
          <reference field="1" count="1" selected="0">
            <x v="62"/>
          </reference>
          <reference field="5" count="1" selected="0">
            <x v="2"/>
          </reference>
          <reference field="13" count="1">
            <x v="99"/>
          </reference>
          <reference field="20" count="1" selected="0">
            <x v="0"/>
          </reference>
          <reference field="21" count="1" selected="0">
            <x v="0"/>
          </reference>
          <reference field="22" count="1" selected="0">
            <x v="0"/>
          </reference>
          <reference field="23" count="1" selected="0">
            <x v="109"/>
          </reference>
          <reference field="24" count="1" selected="0">
            <x v="67"/>
          </reference>
        </references>
      </pivotArea>
    </format>
    <format dxfId="969">
      <pivotArea dataOnly="0" labelOnly="1" outline="0" fieldPosition="0">
        <references count="9">
          <reference field="0" count="1" selected="0">
            <x v="3"/>
          </reference>
          <reference field="1" count="1" selected="0">
            <x v="64"/>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59"/>
          </reference>
          <reference field="24" count="1" selected="0">
            <x v="66"/>
          </reference>
        </references>
      </pivotArea>
    </format>
    <format dxfId="968">
      <pivotArea dataOnly="0" labelOnly="1" outline="0" fieldPosition="0">
        <references count="9">
          <reference field="0" count="1" selected="0">
            <x v="3"/>
          </reference>
          <reference field="1" count="1" selected="0">
            <x v="65"/>
          </reference>
          <reference field="5" count="1" selected="0">
            <x v="2"/>
          </reference>
          <reference field="13" count="1">
            <x v="100"/>
          </reference>
          <reference field="20" count="1" selected="0">
            <x v="0"/>
          </reference>
          <reference field="21" count="1" selected="0">
            <x v="0"/>
          </reference>
          <reference field="22" count="1" selected="0">
            <x v="0"/>
          </reference>
          <reference field="23" count="1" selected="0">
            <x v="101"/>
          </reference>
          <reference field="24" count="1" selected="0">
            <x v="45"/>
          </reference>
        </references>
      </pivotArea>
    </format>
    <format dxfId="967">
      <pivotArea dataOnly="0" labelOnly="1" outline="0" fieldPosition="0">
        <references count="9">
          <reference field="0" count="1" selected="0">
            <x v="3"/>
          </reference>
          <reference field="1" count="1" selected="0">
            <x v="66"/>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56"/>
          </reference>
          <reference field="24" count="1" selected="0">
            <x v="68"/>
          </reference>
        </references>
      </pivotArea>
    </format>
    <format dxfId="966">
      <pivotArea dataOnly="0" labelOnly="1" outline="0" fieldPosition="0">
        <references count="9">
          <reference field="0" count="1" selected="0">
            <x v="3"/>
          </reference>
          <reference field="1" count="1" selected="0">
            <x v="67"/>
          </reference>
          <reference field="5" count="1" selected="0">
            <x v="2"/>
          </reference>
          <reference field="13" count="1">
            <x v="101"/>
          </reference>
          <reference field="20" count="1" selected="0">
            <x v="0"/>
          </reference>
          <reference field="21" count="1" selected="0">
            <x v="0"/>
          </reference>
          <reference field="22" count="1" selected="0">
            <x v="0"/>
          </reference>
          <reference field="23" count="1" selected="0">
            <x v="111"/>
          </reference>
          <reference field="24" count="1" selected="0">
            <x v="68"/>
          </reference>
        </references>
      </pivotArea>
    </format>
    <format dxfId="965">
      <pivotArea dataOnly="0" labelOnly="1" outline="0" fieldPosition="0">
        <references count="9">
          <reference field="0" count="1" selected="0">
            <x v="2"/>
          </reference>
          <reference field="1" count="1" selected="0">
            <x v="68"/>
          </reference>
          <reference field="5" count="1" selected="0">
            <x v="2"/>
          </reference>
          <reference field="13" count="1">
            <x v="102"/>
          </reference>
          <reference field="20" count="1" selected="0">
            <x v="0"/>
          </reference>
          <reference field="21" count="1" selected="0">
            <x v="0"/>
          </reference>
          <reference field="22" count="1" selected="0">
            <x v="4"/>
          </reference>
          <reference field="23" count="1" selected="0">
            <x v="0"/>
          </reference>
          <reference field="24" count="1" selected="0">
            <x v="68"/>
          </reference>
        </references>
      </pivotArea>
    </format>
    <format dxfId="964">
      <pivotArea dataOnly="0" labelOnly="1" outline="0" fieldPosition="0">
        <references count="9">
          <reference field="0" count="1" selected="0">
            <x v="2"/>
          </reference>
          <reference field="1" count="1" selected="0">
            <x v="69"/>
          </reference>
          <reference field="5" count="1" selected="0">
            <x v="2"/>
          </reference>
          <reference field="13" count="1">
            <x v="0"/>
          </reference>
          <reference field="20" count="1" selected="0">
            <x v="0"/>
          </reference>
          <reference field="21" count="1" selected="0">
            <x v="0"/>
          </reference>
          <reference field="22" count="1" selected="0">
            <x v="25"/>
          </reference>
          <reference field="23" count="1" selected="0">
            <x v="0"/>
          </reference>
          <reference field="24" count="1" selected="0">
            <x v="80"/>
          </reference>
        </references>
      </pivotArea>
    </format>
    <format dxfId="963">
      <pivotArea dataOnly="0" labelOnly="1" outline="0" fieldPosition="0">
        <references count="9">
          <reference field="0" count="1" selected="0">
            <x v="3"/>
          </reference>
          <reference field="1" count="1" selected="0">
            <x v="70"/>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67"/>
          </reference>
          <reference field="24" count="1" selected="0">
            <x v="67"/>
          </reference>
        </references>
      </pivotArea>
    </format>
    <format dxfId="962">
      <pivotArea dataOnly="0" labelOnly="1" outline="0" fieldPosition="0">
        <references count="9">
          <reference field="0" count="1" selected="0">
            <x v="3"/>
          </reference>
          <reference field="1" count="1" selected="0">
            <x v="71"/>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31"/>
          </reference>
          <reference field="24" count="1" selected="0">
            <x v="67"/>
          </reference>
        </references>
      </pivotArea>
    </format>
    <format dxfId="961">
      <pivotArea dataOnly="0" labelOnly="1" outline="0" fieldPosition="0">
        <references count="9">
          <reference field="0" count="1" selected="0">
            <x v="3"/>
          </reference>
          <reference field="1" count="1" selected="0">
            <x v="74"/>
          </reference>
          <reference field="5" count="1" selected="0">
            <x v="2"/>
          </reference>
          <reference field="13" count="1">
            <x v="103"/>
          </reference>
          <reference field="20" count="1" selected="0">
            <x v="0"/>
          </reference>
          <reference field="21" count="1" selected="0">
            <x v="0"/>
          </reference>
          <reference field="22" count="1" selected="0">
            <x v="0"/>
          </reference>
          <reference field="23" count="1" selected="0">
            <x v="94"/>
          </reference>
          <reference field="24" count="1" selected="0">
            <x v="76"/>
          </reference>
        </references>
      </pivotArea>
    </format>
    <format dxfId="960">
      <pivotArea dataOnly="0" labelOnly="1" outline="0" fieldPosition="0">
        <references count="9">
          <reference field="0" count="1" selected="0">
            <x v="3"/>
          </reference>
          <reference field="1" count="1" selected="0">
            <x v="75"/>
          </reference>
          <reference field="5" count="1" selected="0">
            <x v="2"/>
          </reference>
          <reference field="13" count="1">
            <x v="104"/>
          </reference>
          <reference field="20" count="1" selected="0">
            <x v="0"/>
          </reference>
          <reference field="21" count="1" selected="0">
            <x v="0"/>
          </reference>
          <reference field="22" count="1" selected="0">
            <x v="0"/>
          </reference>
          <reference field="23" count="1" selected="0">
            <x v="112"/>
          </reference>
          <reference field="24" count="1" selected="0">
            <x v="68"/>
          </reference>
        </references>
      </pivotArea>
    </format>
    <format dxfId="959">
      <pivotArea dataOnly="0" labelOnly="1" outline="0" fieldPosition="0">
        <references count="9">
          <reference field="0" count="1" selected="0">
            <x v="3"/>
          </reference>
          <reference field="1" count="1" selected="0">
            <x v="76"/>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8"/>
          </reference>
          <reference field="24" count="1" selected="0">
            <x v="48"/>
          </reference>
        </references>
      </pivotArea>
    </format>
    <format dxfId="958">
      <pivotArea dataOnly="0" labelOnly="1" outline="0" fieldPosition="0">
        <references count="9">
          <reference field="0" count="1" selected="0">
            <x v="1"/>
          </reference>
          <reference field="1" count="1" selected="0">
            <x v="78"/>
          </reference>
          <reference field="5" count="1" selected="0">
            <x v="2"/>
          </reference>
          <reference field="13" count="1">
            <x v="0"/>
          </reference>
          <reference field="20" count="1" selected="0">
            <x v="0"/>
          </reference>
          <reference field="21" count="1" selected="0">
            <x v="11"/>
          </reference>
          <reference field="22" count="1" selected="0">
            <x v="0"/>
          </reference>
          <reference field="23" count="1" selected="0">
            <x v="0"/>
          </reference>
          <reference field="24" count="1" selected="0">
            <x v="80"/>
          </reference>
        </references>
      </pivotArea>
    </format>
    <format dxfId="957">
      <pivotArea dataOnly="0" labelOnly="1" outline="0" fieldPosition="0">
        <references count="9">
          <reference field="0" count="1" selected="0">
            <x v="3"/>
          </reference>
          <reference field="1" count="1" selected="0">
            <x v="80"/>
          </reference>
          <reference field="5" count="1" selected="0">
            <x v="2"/>
          </reference>
          <reference field="13" count="1">
            <x v="105"/>
          </reference>
          <reference field="20" count="1" selected="0">
            <x v="0"/>
          </reference>
          <reference field="21" count="1" selected="0">
            <x v="0"/>
          </reference>
          <reference field="22" count="1" selected="0">
            <x v="0"/>
          </reference>
          <reference field="23" count="1" selected="0">
            <x v="37"/>
          </reference>
          <reference field="24" count="1" selected="0">
            <x v="36"/>
          </reference>
        </references>
      </pivotArea>
    </format>
    <format dxfId="956">
      <pivotArea dataOnly="0" labelOnly="1" outline="0" fieldPosition="0">
        <references count="9">
          <reference field="0" count="1" selected="0">
            <x v="3"/>
          </reference>
          <reference field="1" count="1" selected="0">
            <x v="81"/>
          </reference>
          <reference field="5" count="1" selected="0">
            <x v="2"/>
          </reference>
          <reference field="13" count="1">
            <x v="106"/>
          </reference>
          <reference field="20" count="1" selected="0">
            <x v="0"/>
          </reference>
          <reference field="21" count="1" selected="0">
            <x v="0"/>
          </reference>
          <reference field="22" count="1" selected="0">
            <x v="0"/>
          </reference>
          <reference field="23" count="1" selected="0">
            <x v="12"/>
          </reference>
          <reference field="24" count="1" selected="0">
            <x v="36"/>
          </reference>
        </references>
      </pivotArea>
    </format>
    <format dxfId="955">
      <pivotArea dataOnly="0" labelOnly="1" outline="0" fieldPosition="0">
        <references count="9">
          <reference field="0" count="1" selected="0">
            <x v="3"/>
          </reference>
          <reference field="1" count="1" selected="0">
            <x v="82"/>
          </reference>
          <reference field="5" count="1" selected="0">
            <x v="2"/>
          </reference>
          <reference field="13" count="1">
            <x v="107"/>
          </reference>
          <reference field="20" count="1" selected="0">
            <x v="0"/>
          </reference>
          <reference field="21" count="1" selected="0">
            <x v="0"/>
          </reference>
          <reference field="22" count="1" selected="0">
            <x v="0"/>
          </reference>
          <reference field="23" count="1" selected="0">
            <x v="7"/>
          </reference>
          <reference field="24" count="1" selected="0">
            <x v="36"/>
          </reference>
        </references>
      </pivotArea>
    </format>
    <format dxfId="954">
      <pivotArea dataOnly="0" labelOnly="1" outline="0" fieldPosition="0">
        <references count="9">
          <reference field="0" count="1" selected="0">
            <x v="3"/>
          </reference>
          <reference field="1" count="1" selected="0">
            <x v="83"/>
          </reference>
          <reference field="5" count="1" selected="0">
            <x v="2"/>
          </reference>
          <reference field="13" count="1">
            <x v="108"/>
          </reference>
          <reference field="20" count="1" selected="0">
            <x v="0"/>
          </reference>
          <reference field="21" count="1" selected="0">
            <x v="0"/>
          </reference>
          <reference field="22" count="1" selected="0">
            <x v="0"/>
          </reference>
          <reference field="23" count="1" selected="0">
            <x v="9"/>
          </reference>
          <reference field="24" count="1" selected="0">
            <x v="36"/>
          </reference>
        </references>
      </pivotArea>
    </format>
    <format dxfId="953">
      <pivotArea dataOnly="0" labelOnly="1" outline="0" fieldPosition="0">
        <references count="9">
          <reference field="0" count="1" selected="0">
            <x v="3"/>
          </reference>
          <reference field="1" count="1" selected="0">
            <x v="84"/>
          </reference>
          <reference field="5" count="1" selected="0">
            <x v="2"/>
          </reference>
          <reference field="13" count="1">
            <x v="109"/>
          </reference>
          <reference field="20" count="1" selected="0">
            <x v="0"/>
          </reference>
          <reference field="21" count="1" selected="0">
            <x v="0"/>
          </reference>
          <reference field="22" count="1" selected="0">
            <x v="0"/>
          </reference>
          <reference field="23" count="1" selected="0">
            <x v="11"/>
          </reference>
          <reference field="24" count="1" selected="0">
            <x v="36"/>
          </reference>
        </references>
      </pivotArea>
    </format>
    <format dxfId="952">
      <pivotArea dataOnly="0" labelOnly="1" outline="0" fieldPosition="0">
        <references count="9">
          <reference field="0" count="1" selected="0">
            <x v="3"/>
          </reference>
          <reference field="1" count="1" selected="0">
            <x v="85"/>
          </reference>
          <reference field="5" count="1" selected="0">
            <x v="2"/>
          </reference>
          <reference field="13" count="1">
            <x v="110"/>
          </reference>
          <reference field="20" count="1" selected="0">
            <x v="0"/>
          </reference>
          <reference field="21" count="1" selected="0">
            <x v="0"/>
          </reference>
          <reference field="22" count="1" selected="0">
            <x v="0"/>
          </reference>
          <reference field="23" count="1" selected="0">
            <x v="6"/>
          </reference>
          <reference field="24" count="1" selected="0">
            <x v="36"/>
          </reference>
        </references>
      </pivotArea>
    </format>
    <format dxfId="951">
      <pivotArea dataOnly="0" labelOnly="1" outline="0" fieldPosition="0">
        <references count="9">
          <reference field="0" count="1" selected="0">
            <x v="3"/>
          </reference>
          <reference field="1" count="1" selected="0">
            <x v="86"/>
          </reference>
          <reference field="5" count="1" selected="0">
            <x v="2"/>
          </reference>
          <reference field="13" count="1">
            <x v="111"/>
          </reference>
          <reference field="20" count="1" selected="0">
            <x v="0"/>
          </reference>
          <reference field="21" count="1" selected="0">
            <x v="0"/>
          </reference>
          <reference field="22" count="1" selected="0">
            <x v="0"/>
          </reference>
          <reference field="23" count="1" selected="0">
            <x v="8"/>
          </reference>
          <reference field="24" count="1" selected="0">
            <x v="36"/>
          </reference>
        </references>
      </pivotArea>
    </format>
    <format dxfId="950">
      <pivotArea dataOnly="0" labelOnly="1" outline="0" fieldPosition="0">
        <references count="9">
          <reference field="0" count="1" selected="0">
            <x v="3"/>
          </reference>
          <reference field="1" count="1" selected="0">
            <x v="87"/>
          </reference>
          <reference field="5" count="1" selected="0">
            <x v="2"/>
          </reference>
          <reference field="13" count="1">
            <x v="112"/>
          </reference>
          <reference field="20" count="1" selected="0">
            <x v="0"/>
          </reference>
          <reference field="21" count="1" selected="0">
            <x v="0"/>
          </reference>
          <reference field="22" count="1" selected="0">
            <x v="0"/>
          </reference>
          <reference field="23" count="1" selected="0">
            <x v="10"/>
          </reference>
          <reference field="24" count="1" selected="0">
            <x v="36"/>
          </reference>
        </references>
      </pivotArea>
    </format>
    <format dxfId="949">
      <pivotArea dataOnly="0" labelOnly="1" outline="0" fieldPosition="0">
        <references count="9">
          <reference field="0" count="1" selected="0">
            <x v="3"/>
          </reference>
          <reference field="1" count="1" selected="0">
            <x v="88"/>
          </reference>
          <reference field="5" count="1" selected="0">
            <x v="2"/>
          </reference>
          <reference field="13" count="1">
            <x v="113"/>
          </reference>
          <reference field="20" count="1" selected="0">
            <x v="0"/>
          </reference>
          <reference field="21" count="1" selected="0">
            <x v="0"/>
          </reference>
          <reference field="22" count="1" selected="0">
            <x v="0"/>
          </reference>
          <reference field="23" count="1" selected="0">
            <x v="13"/>
          </reference>
          <reference field="24" count="1" selected="0">
            <x v="36"/>
          </reference>
        </references>
      </pivotArea>
    </format>
    <format dxfId="948">
      <pivotArea dataOnly="0" labelOnly="1" outline="0" fieldPosition="0">
        <references count="9">
          <reference field="0" count="1" selected="0">
            <x v="3"/>
          </reference>
          <reference field="1" count="1" selected="0">
            <x v="89"/>
          </reference>
          <reference field="5" count="1" selected="0">
            <x v="2"/>
          </reference>
          <reference field="13" count="1">
            <x v="114"/>
          </reference>
          <reference field="20" count="1" selected="0">
            <x v="0"/>
          </reference>
          <reference field="21" count="1" selected="0">
            <x v="0"/>
          </reference>
          <reference field="22" count="1" selected="0">
            <x v="0"/>
          </reference>
          <reference field="23" count="1" selected="0">
            <x v="1"/>
          </reference>
          <reference field="24" count="1" selected="0">
            <x v="36"/>
          </reference>
        </references>
      </pivotArea>
    </format>
    <format dxfId="947">
      <pivotArea dataOnly="0" labelOnly="1" outline="0" fieldPosition="0">
        <references count="9">
          <reference field="0" count="1" selected="0">
            <x v="2"/>
          </reference>
          <reference field="1" count="1" selected="0">
            <x v="90"/>
          </reference>
          <reference field="5" count="1" selected="0">
            <x v="2"/>
          </reference>
          <reference field="13" count="1">
            <x v="0"/>
          </reference>
          <reference field="20" count="1" selected="0">
            <x v="0"/>
          </reference>
          <reference field="21" count="1" selected="0">
            <x v="0"/>
          </reference>
          <reference field="22" count="1" selected="0">
            <x v="29"/>
          </reference>
          <reference field="23" count="1" selected="0">
            <x v="0"/>
          </reference>
          <reference field="24" count="1" selected="0">
            <x v="80"/>
          </reference>
        </references>
      </pivotArea>
    </format>
    <format dxfId="946">
      <pivotArea dataOnly="0" labelOnly="1" outline="0" fieldPosition="0">
        <references count="9">
          <reference field="0" count="1" selected="0">
            <x v="3"/>
          </reference>
          <reference field="1" count="1" selected="0">
            <x v="91"/>
          </reference>
          <reference field="5" count="1" selected="0">
            <x v="2"/>
          </reference>
          <reference field="13" count="1">
            <x v="115"/>
          </reference>
          <reference field="20" count="1" selected="0">
            <x v="0"/>
          </reference>
          <reference field="21" count="1" selected="0">
            <x v="0"/>
          </reference>
          <reference field="22" count="1" selected="0">
            <x v="0"/>
          </reference>
          <reference field="23" count="1" selected="0">
            <x v="37"/>
          </reference>
          <reference field="24" count="1" selected="0">
            <x v="35"/>
          </reference>
        </references>
      </pivotArea>
    </format>
    <format dxfId="945">
      <pivotArea dataOnly="0" labelOnly="1" outline="0" fieldPosition="0">
        <references count="9">
          <reference field="0" count="1" selected="0">
            <x v="3"/>
          </reference>
          <reference field="1" count="1" selected="0">
            <x v="92"/>
          </reference>
          <reference field="5" count="1" selected="0">
            <x v="2"/>
          </reference>
          <reference field="13" count="1">
            <x v="116"/>
          </reference>
          <reference field="20" count="1" selected="0">
            <x v="0"/>
          </reference>
          <reference field="21" count="1" selected="0">
            <x v="0"/>
          </reference>
          <reference field="22" count="1" selected="0">
            <x v="0"/>
          </reference>
          <reference field="23" count="1" selected="0">
            <x v="12"/>
          </reference>
          <reference field="24" count="1" selected="0">
            <x v="35"/>
          </reference>
        </references>
      </pivotArea>
    </format>
    <format dxfId="944">
      <pivotArea dataOnly="0" labelOnly="1" outline="0" fieldPosition="0">
        <references count="9">
          <reference field="0" count="1" selected="0">
            <x v="3"/>
          </reference>
          <reference field="1" count="1" selected="0">
            <x v="93"/>
          </reference>
          <reference field="5" count="1" selected="0">
            <x v="2"/>
          </reference>
          <reference field="13" count="1">
            <x v="117"/>
          </reference>
          <reference field="20" count="1" selected="0">
            <x v="0"/>
          </reference>
          <reference field="21" count="1" selected="0">
            <x v="0"/>
          </reference>
          <reference field="22" count="1" selected="0">
            <x v="0"/>
          </reference>
          <reference field="23" count="1" selected="0">
            <x v="7"/>
          </reference>
          <reference field="24" count="1" selected="0">
            <x v="35"/>
          </reference>
        </references>
      </pivotArea>
    </format>
    <format dxfId="943">
      <pivotArea dataOnly="0" labelOnly="1" outline="0" fieldPosition="0">
        <references count="9">
          <reference field="0" count="1" selected="0">
            <x v="3"/>
          </reference>
          <reference field="1" count="1" selected="0">
            <x v="94"/>
          </reference>
          <reference field="5" count="1" selected="0">
            <x v="2"/>
          </reference>
          <reference field="13" count="1">
            <x v="118"/>
          </reference>
          <reference field="20" count="1" selected="0">
            <x v="0"/>
          </reference>
          <reference field="21" count="1" selected="0">
            <x v="0"/>
          </reference>
          <reference field="22" count="1" selected="0">
            <x v="0"/>
          </reference>
          <reference field="23" count="1" selected="0">
            <x v="9"/>
          </reference>
          <reference field="24" count="1" selected="0">
            <x v="35"/>
          </reference>
        </references>
      </pivotArea>
    </format>
    <format dxfId="942">
      <pivotArea dataOnly="0" labelOnly="1" outline="0" fieldPosition="0">
        <references count="9">
          <reference field="0" count="1" selected="0">
            <x v="3"/>
          </reference>
          <reference field="1" count="1" selected="0">
            <x v="95"/>
          </reference>
          <reference field="5" count="1" selected="0">
            <x v="2"/>
          </reference>
          <reference field="13" count="1">
            <x v="119"/>
          </reference>
          <reference field="20" count="1" selected="0">
            <x v="0"/>
          </reference>
          <reference field="21" count="1" selected="0">
            <x v="0"/>
          </reference>
          <reference field="22" count="1" selected="0">
            <x v="0"/>
          </reference>
          <reference field="23" count="1" selected="0">
            <x v="11"/>
          </reference>
          <reference field="24" count="1" selected="0">
            <x v="35"/>
          </reference>
        </references>
      </pivotArea>
    </format>
    <format dxfId="941">
      <pivotArea dataOnly="0" labelOnly="1" outline="0" fieldPosition="0">
        <references count="9">
          <reference field="0" count="1" selected="0">
            <x v="3"/>
          </reference>
          <reference field="1" count="1" selected="0">
            <x v="96"/>
          </reference>
          <reference field="5" count="1" selected="0">
            <x v="2"/>
          </reference>
          <reference field="13" count="1">
            <x v="120"/>
          </reference>
          <reference field="20" count="1" selected="0">
            <x v="0"/>
          </reference>
          <reference field="21" count="1" selected="0">
            <x v="0"/>
          </reference>
          <reference field="22" count="1" selected="0">
            <x v="0"/>
          </reference>
          <reference field="23" count="1" selected="0">
            <x v="6"/>
          </reference>
          <reference field="24" count="1" selected="0">
            <x v="35"/>
          </reference>
        </references>
      </pivotArea>
    </format>
    <format dxfId="940">
      <pivotArea dataOnly="0" labelOnly="1" outline="0" fieldPosition="0">
        <references count="9">
          <reference field="0" count="1" selected="0">
            <x v="3"/>
          </reference>
          <reference field="1" count="1" selected="0">
            <x v="97"/>
          </reference>
          <reference field="5" count="1" selected="0">
            <x v="2"/>
          </reference>
          <reference field="13" count="1">
            <x v="121"/>
          </reference>
          <reference field="20" count="1" selected="0">
            <x v="0"/>
          </reference>
          <reference field="21" count="1" selected="0">
            <x v="0"/>
          </reference>
          <reference field="22" count="1" selected="0">
            <x v="0"/>
          </reference>
          <reference field="23" count="1" selected="0">
            <x v="8"/>
          </reference>
          <reference field="24" count="1" selected="0">
            <x v="35"/>
          </reference>
        </references>
      </pivotArea>
    </format>
    <format dxfId="939">
      <pivotArea dataOnly="0" labelOnly="1" outline="0" fieldPosition="0">
        <references count="9">
          <reference field="0" count="1" selected="0">
            <x v="3"/>
          </reference>
          <reference field="1" count="1" selected="0">
            <x v="98"/>
          </reference>
          <reference field="5" count="1" selected="0">
            <x v="2"/>
          </reference>
          <reference field="13" count="1">
            <x v="122"/>
          </reference>
          <reference field="20" count="1" selected="0">
            <x v="0"/>
          </reference>
          <reference field="21" count="1" selected="0">
            <x v="0"/>
          </reference>
          <reference field="22" count="1" selected="0">
            <x v="0"/>
          </reference>
          <reference field="23" count="1" selected="0">
            <x v="10"/>
          </reference>
          <reference field="24" count="1" selected="0">
            <x v="35"/>
          </reference>
        </references>
      </pivotArea>
    </format>
    <format dxfId="938">
      <pivotArea dataOnly="0" labelOnly="1" outline="0" fieldPosition="0">
        <references count="9">
          <reference field="0" count="1" selected="0">
            <x v="3"/>
          </reference>
          <reference field="1" count="1" selected="0">
            <x v="99"/>
          </reference>
          <reference field="5" count="1" selected="0">
            <x v="2"/>
          </reference>
          <reference field="13" count="1">
            <x v="123"/>
          </reference>
          <reference field="20" count="1" selected="0">
            <x v="0"/>
          </reference>
          <reference field="21" count="1" selected="0">
            <x v="0"/>
          </reference>
          <reference field="22" count="1" selected="0">
            <x v="0"/>
          </reference>
          <reference field="23" count="1" selected="0">
            <x v="13"/>
          </reference>
          <reference field="24" count="1" selected="0">
            <x v="35"/>
          </reference>
        </references>
      </pivotArea>
    </format>
    <format dxfId="937">
      <pivotArea dataOnly="0" labelOnly="1" outline="0" fieldPosition="0">
        <references count="9">
          <reference field="0" count="1" selected="0">
            <x v="3"/>
          </reference>
          <reference field="1" count="1" selected="0">
            <x v="100"/>
          </reference>
          <reference field="5" count="1" selected="0">
            <x v="2"/>
          </reference>
          <reference field="13" count="1">
            <x v="124"/>
          </reference>
          <reference field="20" count="1" selected="0">
            <x v="0"/>
          </reference>
          <reference field="21" count="1" selected="0">
            <x v="0"/>
          </reference>
          <reference field="22" count="1" selected="0">
            <x v="0"/>
          </reference>
          <reference field="23" count="1" selected="0">
            <x v="1"/>
          </reference>
          <reference field="24" count="1" selected="0">
            <x v="35"/>
          </reference>
        </references>
      </pivotArea>
    </format>
    <format dxfId="936">
      <pivotArea dataOnly="0" labelOnly="1" outline="0" fieldPosition="0">
        <references count="9">
          <reference field="0" count="1" selected="0">
            <x v="2"/>
          </reference>
          <reference field="1" count="1" selected="0">
            <x v="101"/>
          </reference>
          <reference field="5" count="1" selected="0">
            <x v="2"/>
          </reference>
          <reference field="13" count="1">
            <x v="0"/>
          </reference>
          <reference field="20" count="1" selected="0">
            <x v="0"/>
          </reference>
          <reference field="21" count="1" selected="0">
            <x v="0"/>
          </reference>
          <reference field="22" count="1" selected="0">
            <x v="10"/>
          </reference>
          <reference field="23" count="1" selected="0">
            <x v="0"/>
          </reference>
          <reference field="24" count="1" selected="0">
            <x v="80"/>
          </reference>
        </references>
      </pivotArea>
    </format>
    <format dxfId="935">
      <pivotArea dataOnly="0" labelOnly="1" outline="0" fieldPosition="0">
        <references count="9">
          <reference field="0" count="1" selected="0">
            <x v="3"/>
          </reference>
          <reference field="1" count="1" selected="0">
            <x v="102"/>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4"/>
          </reference>
          <reference field="24" count="1" selected="0">
            <x v="33"/>
          </reference>
        </references>
      </pivotArea>
    </format>
    <format dxfId="934">
      <pivotArea dataOnly="0" labelOnly="1" outline="0" fieldPosition="0">
        <references count="9">
          <reference field="0" count="1" selected="0">
            <x v="3"/>
          </reference>
          <reference field="1" count="1" selected="0">
            <x v="103"/>
          </reference>
          <reference field="5" count="1" selected="0">
            <x v="2"/>
          </reference>
          <reference field="13" count="1">
            <x v="125"/>
          </reference>
          <reference field="20" count="1" selected="0">
            <x v="0"/>
          </reference>
          <reference field="21" count="1" selected="0">
            <x v="0"/>
          </reference>
          <reference field="22" count="1" selected="0">
            <x v="0"/>
          </reference>
          <reference field="23" count="1" selected="0">
            <x v="49"/>
          </reference>
          <reference field="24" count="1" selected="0">
            <x v="29"/>
          </reference>
        </references>
      </pivotArea>
    </format>
    <format dxfId="933">
      <pivotArea dataOnly="0" labelOnly="1" outline="0" fieldPosition="0">
        <references count="9">
          <reference field="0" count="1" selected="0">
            <x v="3"/>
          </reference>
          <reference field="1" count="1" selected="0">
            <x v="104"/>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1"/>
          </reference>
          <reference field="24" count="1" selected="0">
            <x v="30"/>
          </reference>
        </references>
      </pivotArea>
    </format>
    <format dxfId="932">
      <pivotArea dataOnly="0" labelOnly="1" outline="0" fieldPosition="0">
        <references count="9">
          <reference field="0" count="1" selected="0">
            <x v="3"/>
          </reference>
          <reference field="1" count="1" selected="0">
            <x v="105"/>
          </reference>
          <reference field="5" count="1" selected="0">
            <x v="2"/>
          </reference>
          <reference field="13" count="1">
            <x v="125"/>
          </reference>
          <reference field="20" count="1" selected="0">
            <x v="0"/>
          </reference>
          <reference field="21" count="1" selected="0">
            <x v="0"/>
          </reference>
          <reference field="22" count="1" selected="0">
            <x v="0"/>
          </reference>
          <reference field="23" count="1" selected="0">
            <x v="48"/>
          </reference>
          <reference field="24" count="1" selected="0">
            <x v="29"/>
          </reference>
        </references>
      </pivotArea>
    </format>
    <format dxfId="931">
      <pivotArea dataOnly="0" labelOnly="1" outline="0" fieldPosition="0">
        <references count="9">
          <reference field="0" count="1" selected="0">
            <x v="3"/>
          </reference>
          <reference field="1" count="1" selected="0">
            <x v="106"/>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50"/>
          </reference>
          <reference field="24" count="1" selected="0">
            <x v="31"/>
          </reference>
        </references>
      </pivotArea>
    </format>
    <format dxfId="930">
      <pivotArea dataOnly="0" labelOnly="1" outline="0" fieldPosition="0">
        <references count="9">
          <reference field="0" count="1" selected="0">
            <x v="3"/>
          </reference>
          <reference field="1" count="1" selected="0">
            <x v="107"/>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3"/>
          </reference>
          <reference field="24" count="1" selected="0">
            <x v="69"/>
          </reference>
        </references>
      </pivotArea>
    </format>
    <format dxfId="929">
      <pivotArea dataOnly="0" labelOnly="1" outline="0" fieldPosition="0">
        <references count="9">
          <reference field="0" count="1" selected="0">
            <x v="3"/>
          </reference>
          <reference field="1" count="1" selected="0">
            <x v="108"/>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82"/>
          </reference>
          <reference field="24" count="1" selected="0">
            <x v="58"/>
          </reference>
        </references>
      </pivotArea>
    </format>
    <format dxfId="928">
      <pivotArea dataOnly="0" labelOnly="1" outline="0" fieldPosition="0">
        <references count="9">
          <reference field="0" count="1" selected="0">
            <x v="3"/>
          </reference>
          <reference field="1" count="1" selected="0">
            <x v="110"/>
          </reference>
          <reference field="5" count="1" selected="0">
            <x v="2"/>
          </reference>
          <reference field="13" count="1">
            <x v="126"/>
          </reference>
          <reference field="20" count="1" selected="0">
            <x v="0"/>
          </reference>
          <reference field="21" count="1" selected="0">
            <x v="0"/>
          </reference>
          <reference field="22" count="1" selected="0">
            <x v="0"/>
          </reference>
          <reference field="23" count="1" selected="0">
            <x v="83"/>
          </reference>
          <reference field="24" count="1" selected="0">
            <x v="23"/>
          </reference>
        </references>
      </pivotArea>
    </format>
    <format dxfId="927">
      <pivotArea dataOnly="0" labelOnly="1" outline="0" fieldPosition="0">
        <references count="9">
          <reference field="0" count="1" selected="0">
            <x v="2"/>
          </reference>
          <reference field="1" count="1" selected="0">
            <x v="111"/>
          </reference>
          <reference field="5" count="1" selected="0">
            <x v="2"/>
          </reference>
          <reference field="13" count="1">
            <x v="0"/>
          </reference>
          <reference field="20" count="1" selected="0">
            <x v="0"/>
          </reference>
          <reference field="21" count="1" selected="0">
            <x v="0"/>
          </reference>
          <reference field="22" count="1" selected="0">
            <x v="18"/>
          </reference>
          <reference field="23" count="1" selected="0">
            <x v="0"/>
          </reference>
          <reference field="24" count="1" selected="0">
            <x v="80"/>
          </reference>
        </references>
      </pivotArea>
    </format>
    <format dxfId="926">
      <pivotArea dataOnly="0" labelOnly="1" outline="0" fieldPosition="0">
        <references count="9">
          <reference field="0" count="1" selected="0">
            <x v="3"/>
          </reference>
          <reference field="1" count="1" selected="0">
            <x v="112"/>
          </reference>
          <reference field="5" count="1" selected="0">
            <x v="2"/>
          </reference>
          <reference field="13" count="1">
            <x v="82"/>
          </reference>
          <reference field="20" count="1" selected="0">
            <x v="0"/>
          </reference>
          <reference field="21" count="1" selected="0">
            <x v="0"/>
          </reference>
          <reference field="22" count="1" selected="0">
            <x v="0"/>
          </reference>
          <reference field="23" count="1" selected="0">
            <x v="52"/>
          </reference>
          <reference field="24" count="1" selected="0">
            <x v="49"/>
          </reference>
        </references>
      </pivotArea>
    </format>
    <format dxfId="925">
      <pivotArea dataOnly="0" labelOnly="1" outline="0" fieldPosition="0">
        <references count="9">
          <reference field="0" count="1" selected="0">
            <x v="3"/>
          </reference>
          <reference field="1" count="1" selected="0">
            <x v="113"/>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24"/>
          </reference>
          <reference field="24" count="1" selected="0">
            <x v="20"/>
          </reference>
        </references>
      </pivotArea>
    </format>
    <format dxfId="924">
      <pivotArea dataOnly="0" labelOnly="1" outline="0" fieldPosition="0">
        <references count="9">
          <reference field="0" count="1" selected="0">
            <x v="3"/>
          </reference>
          <reference field="1" count="1" selected="0">
            <x v="114"/>
          </reference>
          <reference field="5" count="1" selected="0">
            <x v="2"/>
          </reference>
          <reference field="13" count="1">
            <x v="127"/>
          </reference>
          <reference field="20" count="1" selected="0">
            <x v="0"/>
          </reference>
          <reference field="21" count="1" selected="0">
            <x v="0"/>
          </reference>
          <reference field="22" count="1" selected="0">
            <x v="0"/>
          </reference>
          <reference field="23" count="1" selected="0">
            <x v="77"/>
          </reference>
          <reference field="24" count="1" selected="0">
            <x v="13"/>
          </reference>
        </references>
      </pivotArea>
    </format>
    <format dxfId="923">
      <pivotArea dataOnly="0" labelOnly="1" outline="0" fieldPosition="0">
        <references count="9">
          <reference field="0" count="1" selected="0">
            <x v="3"/>
          </reference>
          <reference field="1" count="1" selected="0">
            <x v="115"/>
          </reference>
          <reference field="5" count="1" selected="0">
            <x v="2"/>
          </reference>
          <reference field="13" count="1">
            <x v="89"/>
          </reference>
          <reference field="20" count="1" selected="0">
            <x v="0"/>
          </reference>
          <reference field="21" count="1" selected="0">
            <x v="0"/>
          </reference>
          <reference field="22" count="1" selected="0">
            <x v="0"/>
          </reference>
          <reference field="23" count="1" selected="0">
            <x v="29"/>
          </reference>
          <reference field="24" count="1" selected="0">
            <x v="14"/>
          </reference>
        </references>
      </pivotArea>
    </format>
    <format dxfId="922">
      <pivotArea dataOnly="0" labelOnly="1" outline="0" fieldPosition="0">
        <references count="9">
          <reference field="0" count="1" selected="0">
            <x v="3"/>
          </reference>
          <reference field="1" count="1" selected="0">
            <x v="116"/>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22"/>
          </reference>
          <reference field="24" count="1" selected="0">
            <x v="47"/>
          </reference>
        </references>
      </pivotArea>
    </format>
    <format dxfId="921">
      <pivotArea dataOnly="0" labelOnly="1" outline="0" fieldPosition="0">
        <references count="9">
          <reference field="0" count="1" selected="0">
            <x v="2"/>
          </reference>
          <reference field="1" count="1" selected="0">
            <x v="117"/>
          </reference>
          <reference field="5" count="1" selected="0">
            <x v="2"/>
          </reference>
          <reference field="13" count="1">
            <x v="0"/>
          </reference>
          <reference field="20" count="1" selected="0">
            <x v="0"/>
          </reference>
          <reference field="21" count="1" selected="0">
            <x v="0"/>
          </reference>
          <reference field="22" count="1" selected="0">
            <x v="11"/>
          </reference>
          <reference field="23" count="1" selected="0">
            <x v="0"/>
          </reference>
          <reference field="24" count="1" selected="0">
            <x v="80"/>
          </reference>
        </references>
      </pivotArea>
    </format>
    <format dxfId="920">
      <pivotArea dataOnly="0" labelOnly="1" outline="0" fieldPosition="0">
        <references count="9">
          <reference field="0" count="1" selected="0">
            <x v="3"/>
          </reference>
          <reference field="1" count="1" selected="0">
            <x v="118"/>
          </reference>
          <reference field="5" count="1" selected="0">
            <x v="2"/>
          </reference>
          <reference field="13" count="1">
            <x v="128"/>
          </reference>
          <reference field="20" count="1" selected="0">
            <x v="0"/>
          </reference>
          <reference field="21" count="1" selected="0">
            <x v="0"/>
          </reference>
          <reference field="22" count="1" selected="0">
            <x v="0"/>
          </reference>
          <reference field="23" count="1" selected="0">
            <x v="78"/>
          </reference>
          <reference field="24" count="1" selected="0">
            <x v="68"/>
          </reference>
        </references>
      </pivotArea>
    </format>
    <format dxfId="919">
      <pivotArea dataOnly="0" labelOnly="1" outline="0" fieldPosition="0">
        <references count="9">
          <reference field="0" count="1" selected="0">
            <x v="3"/>
          </reference>
          <reference field="1" count="1" selected="0">
            <x v="119"/>
          </reference>
          <reference field="5" count="1" selected="0">
            <x v="2"/>
          </reference>
          <reference field="13" count="1">
            <x v="129"/>
          </reference>
          <reference field="20" count="1" selected="0">
            <x v="0"/>
          </reference>
          <reference field="21" count="1" selected="0">
            <x v="0"/>
          </reference>
          <reference field="22" count="1" selected="0">
            <x v="0"/>
          </reference>
          <reference field="23" count="1" selected="0">
            <x v="79"/>
          </reference>
          <reference field="24" count="1" selected="0">
            <x v="44"/>
          </reference>
        </references>
      </pivotArea>
    </format>
    <format dxfId="918">
      <pivotArea dataOnly="0" labelOnly="1" outline="0" fieldPosition="0">
        <references count="9">
          <reference field="0" count="1" selected="0">
            <x v="3"/>
          </reference>
          <reference field="1" count="1" selected="0">
            <x v="120"/>
          </reference>
          <reference field="5" count="1" selected="0">
            <x v="2"/>
          </reference>
          <reference field="13" count="1">
            <x v="130"/>
          </reference>
          <reference field="20" count="1" selected="0">
            <x v="0"/>
          </reference>
          <reference field="21" count="1" selected="0">
            <x v="0"/>
          </reference>
          <reference field="22" count="1" selected="0">
            <x v="0"/>
          </reference>
          <reference field="23" count="1" selected="0">
            <x v="80"/>
          </reference>
          <reference field="24" count="1" selected="0">
            <x v="44"/>
          </reference>
        </references>
      </pivotArea>
    </format>
    <format dxfId="917">
      <pivotArea dataOnly="0" labelOnly="1" outline="0" fieldPosition="0">
        <references count="9">
          <reference field="0" count="1" selected="0">
            <x v="0"/>
          </reference>
          <reference field="1" count="1" selected="0">
            <x v="121"/>
          </reference>
          <reference field="5" count="1" selected="0">
            <x v="2"/>
          </reference>
          <reference field="13" count="1">
            <x v="0"/>
          </reference>
          <reference field="20" count="1" selected="0">
            <x v="2"/>
          </reference>
          <reference field="21" count="1" selected="0">
            <x v="0"/>
          </reference>
          <reference field="22" count="1" selected="0">
            <x v="0"/>
          </reference>
          <reference field="23" count="1" selected="0">
            <x v="0"/>
          </reference>
          <reference field="24" count="1" selected="0">
            <x v="80"/>
          </reference>
        </references>
      </pivotArea>
    </format>
    <format dxfId="916">
      <pivotArea dataOnly="0" labelOnly="1" outline="0" fieldPosition="0">
        <references count="9">
          <reference field="0" count="1" selected="0">
            <x v="3"/>
          </reference>
          <reference field="1" count="1" selected="0">
            <x v="124"/>
          </reference>
          <reference field="5" count="1" selected="0">
            <x v="2"/>
          </reference>
          <reference field="13" count="1">
            <x v="131"/>
          </reference>
          <reference field="20" count="1" selected="0">
            <x v="0"/>
          </reference>
          <reference field="21" count="1" selected="0">
            <x v="0"/>
          </reference>
          <reference field="22" count="1" selected="0">
            <x v="0"/>
          </reference>
          <reference field="23" count="1" selected="0">
            <x v="45"/>
          </reference>
          <reference field="24" count="1" selected="0">
            <x v="1"/>
          </reference>
        </references>
      </pivotArea>
    </format>
    <format dxfId="915">
      <pivotArea dataOnly="0" labelOnly="1" outline="0" fieldPosition="0">
        <references count="9">
          <reference field="0" count="1" selected="0">
            <x v="3"/>
          </reference>
          <reference field="1" count="1" selected="0">
            <x v="125"/>
          </reference>
          <reference field="5" count="1" selected="0">
            <x v="2"/>
          </reference>
          <reference field="13" count="1">
            <x v="132"/>
          </reference>
          <reference field="20" count="1" selected="0">
            <x v="0"/>
          </reference>
          <reference field="21" count="1" selected="0">
            <x v="0"/>
          </reference>
          <reference field="22" count="1" selected="0">
            <x v="0"/>
          </reference>
          <reference field="23" count="1" selected="0">
            <x v="43"/>
          </reference>
          <reference field="24" count="1" selected="0">
            <x v="1"/>
          </reference>
        </references>
      </pivotArea>
    </format>
    <format dxfId="914">
      <pivotArea dataOnly="0" labelOnly="1" outline="0" fieldPosition="0">
        <references count="9">
          <reference field="0" count="1" selected="0">
            <x v="3"/>
          </reference>
          <reference field="1" count="1" selected="0">
            <x v="126"/>
          </reference>
          <reference field="5" count="1" selected="0">
            <x v="2"/>
          </reference>
          <reference field="13" count="1">
            <x v="133"/>
          </reference>
          <reference field="20" count="1" selected="0">
            <x v="0"/>
          </reference>
          <reference field="21" count="1" selected="0">
            <x v="0"/>
          </reference>
          <reference field="22" count="1" selected="0">
            <x v="0"/>
          </reference>
          <reference field="23" count="1" selected="0">
            <x v="41"/>
          </reference>
          <reference field="24" count="1" selected="0">
            <x v="1"/>
          </reference>
        </references>
      </pivotArea>
    </format>
    <format dxfId="913">
      <pivotArea dataOnly="0" labelOnly="1" outline="0" fieldPosition="0">
        <references count="9">
          <reference field="0" count="1" selected="0">
            <x v="0"/>
          </reference>
          <reference field="1" count="1" selected="0">
            <x v="127"/>
          </reference>
          <reference field="5" count="1" selected="0">
            <x v="2"/>
          </reference>
          <reference field="13" count="1">
            <x v="0"/>
          </reference>
          <reference field="20" count="1" selected="0">
            <x v="1"/>
          </reference>
          <reference field="21" count="1" selected="0">
            <x v="0"/>
          </reference>
          <reference field="22" count="1" selected="0">
            <x v="0"/>
          </reference>
          <reference field="23" count="1" selected="0">
            <x v="0"/>
          </reference>
          <reference field="24" count="1" selected="0">
            <x v="80"/>
          </reference>
        </references>
      </pivotArea>
    </format>
    <format dxfId="912">
      <pivotArea dataOnly="0" labelOnly="1" outline="0" fieldPosition="0">
        <references count="9">
          <reference field="0" count="1" selected="0">
            <x v="3"/>
          </reference>
          <reference field="1" count="1" selected="0">
            <x v="130"/>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30"/>
          </reference>
          <reference field="24" count="1" selected="0">
            <x v="63"/>
          </reference>
        </references>
      </pivotArea>
    </format>
    <format dxfId="911">
      <pivotArea dataOnly="0" labelOnly="1" outline="0" fieldPosition="0">
        <references count="9">
          <reference field="0" count="1" selected="0">
            <x v="2"/>
          </reference>
          <reference field="1" count="1" selected="0">
            <x v="131"/>
          </reference>
          <reference field="5" count="1" selected="0">
            <x v="2"/>
          </reference>
          <reference field="13" count="1">
            <x v="0"/>
          </reference>
          <reference field="20" count="1" selected="0">
            <x v="0"/>
          </reference>
          <reference field="21" count="1" selected="0">
            <x v="0"/>
          </reference>
          <reference field="22" count="1" selected="0">
            <x v="19"/>
          </reference>
          <reference field="23" count="1" selected="0">
            <x v="0"/>
          </reference>
          <reference field="24" count="1" selected="0">
            <x v="80"/>
          </reference>
        </references>
      </pivotArea>
    </format>
    <format dxfId="910">
      <pivotArea dataOnly="0" labelOnly="1" outline="0" fieldPosition="0">
        <references count="9">
          <reference field="0" count="1" selected="0">
            <x v="3"/>
          </reference>
          <reference field="1" count="1" selected="0">
            <x v="132"/>
          </reference>
          <reference field="5" count="1" selected="0">
            <x v="2"/>
          </reference>
          <reference field="13" count="1">
            <x v="90"/>
          </reference>
          <reference field="20" count="1" selected="0">
            <x v="0"/>
          </reference>
          <reference field="21" count="1" selected="0">
            <x v="0"/>
          </reference>
          <reference field="22" count="1" selected="0">
            <x v="0"/>
          </reference>
          <reference field="23" count="1" selected="0">
            <x v="5"/>
          </reference>
          <reference field="24" count="1" selected="0">
            <x v="54"/>
          </reference>
        </references>
      </pivotArea>
    </format>
    <format dxfId="909">
      <pivotArea dataOnly="0" labelOnly="1" outline="0" fieldPosition="0">
        <references count="9">
          <reference field="0" count="1" selected="0">
            <x v="3"/>
          </reference>
          <reference field="1" count="1" selected="0">
            <x v="133"/>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113"/>
          </reference>
          <reference field="24" count="1" selected="0">
            <x v="16"/>
          </reference>
        </references>
      </pivotArea>
    </format>
    <format dxfId="908">
      <pivotArea dataOnly="0" labelOnly="1" outline="0" fieldPosition="0">
        <references count="9">
          <reference field="0" count="1" selected="0">
            <x v="2"/>
          </reference>
          <reference field="1" count="1" selected="0">
            <x v="136"/>
          </reference>
          <reference field="5" count="1" selected="0">
            <x v="2"/>
          </reference>
          <reference field="13" count="1">
            <x v="0"/>
          </reference>
          <reference field="20" count="1" selected="0">
            <x v="0"/>
          </reference>
          <reference field="21" count="1" selected="0">
            <x v="0"/>
          </reference>
          <reference field="22" count="1" selected="0">
            <x v="1"/>
          </reference>
          <reference field="23" count="1" selected="0">
            <x v="0"/>
          </reference>
          <reference field="24" count="1" selected="0">
            <x v="80"/>
          </reference>
        </references>
      </pivotArea>
    </format>
    <format dxfId="907">
      <pivotArea dataOnly="0" labelOnly="1" outline="0" fieldPosition="0">
        <references count="9">
          <reference field="0" count="1" selected="0">
            <x v="3"/>
          </reference>
          <reference field="1" count="1" selected="0">
            <x v="137"/>
          </reference>
          <reference field="5" count="1" selected="0">
            <x v="2"/>
          </reference>
          <reference field="13" count="1">
            <x v="83"/>
          </reference>
          <reference field="20" count="1" selected="0">
            <x v="0"/>
          </reference>
          <reference field="21" count="1" selected="0">
            <x v="0"/>
          </reference>
          <reference field="22" count="1" selected="0">
            <x v="0"/>
          </reference>
          <reference field="23" count="1" selected="0">
            <x v="89"/>
          </reference>
          <reference field="24" count="1" selected="0">
            <x v="20"/>
          </reference>
        </references>
      </pivotArea>
    </format>
    <format dxfId="906">
      <pivotArea dataOnly="0" labelOnly="1" outline="0" fieldPosition="0">
        <references count="9">
          <reference field="0" count="1" selected="0">
            <x v="2"/>
          </reference>
          <reference field="1" count="1" selected="0">
            <x v="140"/>
          </reference>
          <reference field="5" count="1" selected="0">
            <x v="2"/>
          </reference>
          <reference field="13" count="1">
            <x v="0"/>
          </reference>
          <reference field="20" count="1" selected="0">
            <x v="0"/>
          </reference>
          <reference field="21" count="1" selected="0">
            <x v="0"/>
          </reference>
          <reference field="22" count="1" selected="0">
            <x v="27"/>
          </reference>
          <reference field="23" count="1" selected="0">
            <x v="0"/>
          </reference>
          <reference field="24" count="1" selected="0">
            <x v="80"/>
          </reference>
        </references>
      </pivotArea>
    </format>
    <format dxfId="905">
      <pivotArea dataOnly="0" labelOnly="1" outline="0" fieldPosition="0">
        <references count="9">
          <reference field="0" count="1" selected="0">
            <x v="3"/>
          </reference>
          <reference field="1" count="1" selected="0">
            <x v="141"/>
          </reference>
          <reference field="5" count="1" selected="0">
            <x v="2"/>
          </reference>
          <reference field="13" count="1">
            <x v="134"/>
          </reference>
          <reference field="20" count="1" selected="0">
            <x v="0"/>
          </reference>
          <reference field="21" count="1" selected="0">
            <x v="0"/>
          </reference>
          <reference field="22" count="1" selected="0">
            <x v="0"/>
          </reference>
          <reference field="23" count="1" selected="0">
            <x v="86"/>
          </reference>
          <reference field="24" count="1" selected="0">
            <x v="26"/>
          </reference>
        </references>
      </pivotArea>
    </format>
    <format dxfId="904">
      <pivotArea dataOnly="0" labelOnly="1" outline="0" fieldPosition="0">
        <references count="9">
          <reference field="0" count="1" selected="0">
            <x v="3"/>
          </reference>
          <reference field="1" count="1" selected="0">
            <x v="142"/>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114"/>
          </reference>
          <reference field="24" count="1" selected="0">
            <x v="84"/>
          </reference>
        </references>
      </pivotArea>
    </format>
    <format dxfId="903">
      <pivotArea dataOnly="0" labelOnly="1" outline="0" fieldPosition="0">
        <references count="9">
          <reference field="0" count="1" selected="0">
            <x v="3"/>
          </reference>
          <reference field="1" count="1" selected="0">
            <x v="153"/>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17"/>
          </reference>
          <reference field="24" count="1" selected="0">
            <x v="17"/>
          </reference>
        </references>
      </pivotArea>
    </format>
    <format dxfId="902">
      <pivotArea dataOnly="0" labelOnly="1" outline="0" fieldPosition="0">
        <references count="9">
          <reference field="0" count="1" selected="0">
            <x v="6"/>
          </reference>
          <reference field="1" count="1" selected="0">
            <x v="154"/>
          </reference>
          <reference field="5" count="1" selected="0">
            <x v="2"/>
          </reference>
          <reference field="13" count="1">
            <x v="91"/>
          </reference>
          <reference field="20" count="1" selected="0">
            <x v="0"/>
          </reference>
          <reference field="21" count="1" selected="0">
            <x v="0"/>
          </reference>
          <reference field="22" count="1" selected="0">
            <x v="0"/>
          </reference>
          <reference field="23" count="1" selected="0">
            <x v="0"/>
          </reference>
          <reference field="24" count="1" selected="0">
            <x v="24"/>
          </reference>
        </references>
      </pivotArea>
    </format>
    <format dxfId="901">
      <pivotArea dataOnly="0" labelOnly="1" outline="0" fieldPosition="0">
        <references count="9">
          <reference field="0" count="1" selected="0">
            <x v="3"/>
          </reference>
          <reference field="1" count="1" selected="0">
            <x v="155"/>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70"/>
          </reference>
          <reference field="24" count="1" selected="0">
            <x v="50"/>
          </reference>
        </references>
      </pivotArea>
    </format>
    <format dxfId="900">
      <pivotArea dataOnly="0" labelOnly="1" outline="0" fieldPosition="0">
        <references count="9">
          <reference field="0" count="1" selected="0">
            <x v="7"/>
          </reference>
          <reference field="1" count="1" selected="0">
            <x v="157"/>
          </reference>
          <reference field="5" count="1" selected="0">
            <x v="2"/>
          </reference>
          <reference field="13" count="1">
            <x v="92"/>
          </reference>
          <reference field="20" count="1" selected="0">
            <x v="0"/>
          </reference>
          <reference field="21" count="1" selected="0">
            <x v="0"/>
          </reference>
          <reference field="22" count="1" selected="0">
            <x v="0"/>
          </reference>
          <reference field="23" count="1" selected="0">
            <x v="0"/>
          </reference>
          <reference field="24" count="1" selected="0">
            <x v="11"/>
          </reference>
        </references>
      </pivotArea>
    </format>
    <format dxfId="899">
      <pivotArea dataOnly="0" labelOnly="1" outline="0" fieldPosition="0">
        <references count="9">
          <reference field="0" count="1" selected="0">
            <x v="3"/>
          </reference>
          <reference field="1" count="1" selected="0">
            <x v="158"/>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85"/>
          </reference>
          <reference field="24" count="1" selected="0">
            <x v="64"/>
          </reference>
        </references>
      </pivotArea>
    </format>
    <format dxfId="898">
      <pivotArea dataOnly="0" labelOnly="1" outline="0" fieldPosition="0">
        <references count="9">
          <reference field="0" count="1" selected="0">
            <x v="1"/>
          </reference>
          <reference field="1" count="1" selected="0">
            <x v="159"/>
          </reference>
          <reference field="5" count="1" selected="0">
            <x v="2"/>
          </reference>
          <reference field="13" count="1">
            <x v="0"/>
          </reference>
          <reference field="20" count="1" selected="0">
            <x v="0"/>
          </reference>
          <reference field="21" count="1" selected="0">
            <x v="7"/>
          </reference>
          <reference field="22" count="1" selected="0">
            <x v="0"/>
          </reference>
          <reference field="23" count="1" selected="0">
            <x v="0"/>
          </reference>
          <reference field="24" count="1" selected="0">
            <x v="80"/>
          </reference>
        </references>
      </pivotArea>
    </format>
    <format dxfId="897">
      <pivotArea dataOnly="0" labelOnly="1" outline="0" fieldPosition="0">
        <references count="9">
          <reference field="0" count="1" selected="0">
            <x v="3"/>
          </reference>
          <reference field="1" count="1" selected="0">
            <x v="165"/>
          </reference>
          <reference field="5" count="1" selected="0">
            <x v="2"/>
          </reference>
          <reference field="13" count="1">
            <x v="94"/>
          </reference>
          <reference field="20" count="1" selected="0">
            <x v="0"/>
          </reference>
          <reference field="21" count="1" selected="0">
            <x v="0"/>
          </reference>
          <reference field="22" count="1" selected="0">
            <x v="0"/>
          </reference>
          <reference field="23" count="1" selected="0">
            <x v="90"/>
          </reference>
          <reference field="24" count="1" selected="0">
            <x v="38"/>
          </reference>
        </references>
      </pivotArea>
    </format>
    <format dxfId="896">
      <pivotArea dataOnly="0" labelOnly="1" outline="0" fieldPosition="0">
        <references count="9">
          <reference field="0" count="1" selected="0">
            <x v="5"/>
          </reference>
          <reference field="1" count="1" selected="0">
            <x v="166"/>
          </reference>
          <reference field="5" count="1" selected="0">
            <x v="2"/>
          </reference>
          <reference field="13" count="1">
            <x v="80"/>
          </reference>
          <reference field="20" count="1" selected="0">
            <x v="0"/>
          </reference>
          <reference field="21" count="1" selected="0">
            <x v="0"/>
          </reference>
          <reference field="22" count="1" selected="0">
            <x v="0"/>
          </reference>
          <reference field="23" count="1" selected="0">
            <x v="0"/>
          </reference>
          <reference field="24" count="1" selected="0">
            <x v="10"/>
          </reference>
        </references>
      </pivotArea>
    </format>
    <format dxfId="895">
      <pivotArea dataOnly="0" labelOnly="1" outline="0" fieldPosition="0">
        <references count="9">
          <reference field="0" count="1" selected="0">
            <x v="3"/>
          </reference>
          <reference field="1" count="1" selected="0">
            <x v="167"/>
          </reference>
          <reference field="5" count="1" selected="0">
            <x v="2"/>
          </reference>
          <reference field="13" count="1">
            <x v="0"/>
          </reference>
          <reference field="20" count="1" selected="0">
            <x v="0"/>
          </reference>
          <reference field="21" count="1" selected="0">
            <x v="0"/>
          </reference>
          <reference field="22" count="1" selected="0">
            <x v="0"/>
          </reference>
          <reference field="23" count="1" selected="0">
            <x v="91"/>
          </reference>
          <reference field="24" count="1" selected="0">
            <x v="80"/>
          </reference>
        </references>
      </pivotArea>
    </format>
    <format dxfId="894">
      <pivotArea dataOnly="0" labelOnly="1" outline="0" fieldPosition="0">
        <references count="9">
          <reference field="0" count="1" selected="0">
            <x v="3"/>
          </reference>
          <reference field="1" count="1" selected="0">
            <x v="171"/>
          </reference>
          <reference field="5" count="1" selected="0">
            <x v="2"/>
          </reference>
          <reference field="13" count="1">
            <x v="84"/>
          </reference>
          <reference field="20" count="1" selected="0">
            <x v="0"/>
          </reference>
          <reference field="21" count="1" selected="0">
            <x v="0"/>
          </reference>
          <reference field="22" count="1" selected="0">
            <x v="0"/>
          </reference>
          <reference field="23" count="1" selected="0">
            <x v="84"/>
          </reference>
          <reference field="24" count="1" selected="0">
            <x v="62"/>
          </reference>
        </references>
      </pivotArea>
    </format>
    <format dxfId="893">
      <pivotArea dataOnly="0" labelOnly="1" outline="0" fieldPosition="0">
        <references count="9">
          <reference field="0" count="1" selected="0">
            <x v="0"/>
          </reference>
          <reference field="1" count="1" selected="0">
            <x v="209"/>
          </reference>
          <reference field="5" count="1" selected="0">
            <x v="2"/>
          </reference>
          <reference field="13" count="1">
            <x v="0"/>
          </reference>
          <reference field="20" count="1" selected="0">
            <x v="5"/>
          </reference>
          <reference field="21" count="1" selected="0">
            <x v="0"/>
          </reference>
          <reference field="22" count="1" selected="0">
            <x v="0"/>
          </reference>
          <reference field="23" count="1" selected="0">
            <x v="0"/>
          </reference>
          <reference field="24" count="1" selected="0">
            <x v="80"/>
          </reference>
        </references>
      </pivotArea>
    </format>
    <format dxfId="892">
      <pivotArea dataOnly="0" labelOnly="1" outline="0" fieldPosition="0">
        <references count="9">
          <reference field="0" count="1" selected="0">
            <x v="3"/>
          </reference>
          <reference field="1" count="1" selected="0">
            <x v="211"/>
          </reference>
          <reference field="5" count="1" selected="0">
            <x v="2"/>
          </reference>
          <reference field="13" count="1">
            <x v="135"/>
          </reference>
          <reference field="20" count="1" selected="0">
            <x v="0"/>
          </reference>
          <reference field="21" count="1" selected="0">
            <x v="0"/>
          </reference>
          <reference field="22" count="1" selected="0">
            <x v="0"/>
          </reference>
          <reference field="23" count="1" selected="0">
            <x v="36"/>
          </reference>
          <reference field="24" count="1" selected="0">
            <x v="27"/>
          </reference>
        </references>
      </pivotArea>
    </format>
    <format dxfId="891">
      <pivotArea dataOnly="0" labelOnly="1" outline="0" fieldPosition="0">
        <references count="9">
          <reference field="0" count="1" selected="0">
            <x v="0"/>
          </reference>
          <reference field="1" count="1" selected="0">
            <x v="212"/>
          </reference>
          <reference field="5" count="1" selected="0">
            <x v="2"/>
          </reference>
          <reference field="13" count="1">
            <x v="0"/>
          </reference>
          <reference field="20" count="1" selected="0">
            <x v="8"/>
          </reference>
          <reference field="21" count="1" selected="0">
            <x v="0"/>
          </reference>
          <reference field="22" count="1" selected="0">
            <x v="0"/>
          </reference>
          <reference field="23" count="1" selected="0">
            <x v="0"/>
          </reference>
          <reference field="24" count="1" selected="0">
            <x v="80"/>
          </reference>
        </references>
      </pivotArea>
    </format>
    <format dxfId="890">
      <pivotArea dataOnly="0" labelOnly="1" outline="0" fieldPosition="0">
        <references count="9">
          <reference field="0" count="1" selected="0">
            <x v="3"/>
          </reference>
          <reference field="1" count="1" selected="0">
            <x v="213"/>
          </reference>
          <reference field="5" count="1" selected="0">
            <x v="2"/>
          </reference>
          <reference field="13" count="1">
            <x v="136"/>
          </reference>
          <reference field="20" count="1" selected="0">
            <x v="0"/>
          </reference>
          <reference field="21" count="1" selected="0">
            <x v="0"/>
          </reference>
          <reference field="22" count="1" selected="0">
            <x v="0"/>
          </reference>
          <reference field="23" count="1" selected="0">
            <x v="99"/>
          </reference>
          <reference field="24" count="1" selected="0">
            <x v="22"/>
          </reference>
        </references>
      </pivotArea>
    </format>
    <format dxfId="889">
      <pivotArea dataOnly="0" labelOnly="1" outline="0" fieldPosition="0">
        <references count="10">
          <reference field="0" count="1" selected="0">
            <x v="0"/>
          </reference>
          <reference field="1" count="1" selected="0">
            <x v="0"/>
          </reference>
          <reference field="5" count="1" selected="0">
            <x v="2"/>
          </reference>
          <reference field="13" count="1" selected="0">
            <x v="0"/>
          </reference>
          <reference field="17" count="1">
            <x v="0"/>
          </reference>
          <reference field="20" count="1" selected="0">
            <x v="9"/>
          </reference>
          <reference field="21" count="1" selected="0">
            <x v="0"/>
          </reference>
          <reference field="22" count="1" selected="0">
            <x v="0"/>
          </reference>
          <reference field="23" count="1" selected="0">
            <x v="0"/>
          </reference>
          <reference field="24" count="1" selected="0">
            <x v="80"/>
          </reference>
        </references>
      </pivotArea>
    </format>
    <format dxfId="888">
      <pivotArea dataOnly="0" labelOnly="1" outline="0" fieldPosition="0">
        <references count="10">
          <reference field="0" count="1" selected="0">
            <x v="1"/>
          </reference>
          <reference field="1" count="1" selected="0">
            <x v="1"/>
          </reference>
          <reference field="5" count="1" selected="0">
            <x v="1"/>
          </reference>
          <reference field="13" count="1" selected="0">
            <x v="77"/>
          </reference>
          <reference field="17" count="1">
            <x v="56"/>
          </reference>
          <reference field="20" count="1" selected="0">
            <x v="0"/>
          </reference>
          <reference field="21" count="1" selected="0">
            <x v="12"/>
          </reference>
          <reference field="22" count="1" selected="0">
            <x v="0"/>
          </reference>
          <reference field="23" count="1" selected="0">
            <x v="0"/>
          </reference>
          <reference field="24" count="1" selected="0">
            <x v="8"/>
          </reference>
        </references>
      </pivotArea>
    </format>
    <format dxfId="887">
      <pivotArea dataOnly="0" labelOnly="1" outline="0" fieldPosition="0">
        <references count="10">
          <reference field="0" count="1" selected="0">
            <x v="1"/>
          </reference>
          <reference field="1" count="1" selected="0">
            <x v="2"/>
          </reference>
          <reference field="5" count="1" selected="0">
            <x v="2"/>
          </reference>
          <reference field="13" count="1" selected="0">
            <x v="78"/>
          </reference>
          <reference field="17" count="1">
            <x v="57"/>
          </reference>
          <reference field="20" count="1" selected="0">
            <x v="0"/>
          </reference>
          <reference field="21" count="1" selected="0">
            <x v="18"/>
          </reference>
          <reference field="22" count="1" selected="0">
            <x v="0"/>
          </reference>
          <reference field="23" count="1" selected="0">
            <x v="0"/>
          </reference>
          <reference field="24" count="1" selected="0">
            <x v="81"/>
          </reference>
        </references>
      </pivotArea>
    </format>
    <format dxfId="886">
      <pivotArea dataOnly="0" labelOnly="1" outline="0" fieldPosition="0">
        <references count="10">
          <reference field="0" count="1" selected="0">
            <x v="0"/>
          </reference>
          <reference field="1" count="1" selected="0">
            <x v="3"/>
          </reference>
          <reference field="5" count="1" selected="0">
            <x v="2"/>
          </reference>
          <reference field="13" count="1" selected="0">
            <x v="0"/>
          </reference>
          <reference field="17" count="1">
            <x v="0"/>
          </reference>
          <reference field="20" count="1" selected="0">
            <x v="6"/>
          </reference>
          <reference field="21" count="1" selected="0">
            <x v="0"/>
          </reference>
          <reference field="22" count="1" selected="0">
            <x v="0"/>
          </reference>
          <reference field="23" count="1" selected="0">
            <x v="0"/>
          </reference>
          <reference field="24" count="1" selected="0">
            <x v="80"/>
          </reference>
        </references>
      </pivotArea>
    </format>
    <format dxfId="885">
      <pivotArea dataOnly="0" labelOnly="1" outline="0" fieldPosition="0">
        <references count="10">
          <reference field="0" count="1" selected="0">
            <x v="1"/>
          </reference>
          <reference field="1" count="1" selected="0">
            <x v="4"/>
          </reference>
          <reference field="5" count="1" selected="0">
            <x v="1"/>
          </reference>
          <reference field="13" count="1" selected="0">
            <x v="0"/>
          </reference>
          <reference field="17" count="1">
            <x v="0"/>
          </reference>
          <reference field="20" count="1" selected="0">
            <x v="0"/>
          </reference>
          <reference field="21" count="1" selected="0">
            <x v="6"/>
          </reference>
          <reference field="22" count="1" selected="0">
            <x v="0"/>
          </reference>
          <reference field="23" count="1" selected="0">
            <x v="0"/>
          </reference>
          <reference field="24" count="1" selected="0">
            <x v="80"/>
          </reference>
        </references>
      </pivotArea>
    </format>
    <format dxfId="884">
      <pivotArea dataOnly="0" labelOnly="1" outline="0" fieldPosition="0">
        <references count="10">
          <reference field="0" count="1" selected="0">
            <x v="2"/>
          </reference>
          <reference field="1" count="1" selected="0">
            <x v="5"/>
          </reference>
          <reference field="5" count="1" selected="0">
            <x v="1"/>
          </reference>
          <reference field="13" count="1" selected="0">
            <x v="0"/>
          </reference>
          <reference field="17" count="1">
            <x v="0"/>
          </reference>
          <reference field="20" count="1" selected="0">
            <x v="0"/>
          </reference>
          <reference field="21" count="1" selected="0">
            <x v="0"/>
          </reference>
          <reference field="22" count="1" selected="0">
            <x v="12"/>
          </reference>
          <reference field="23" count="1" selected="0">
            <x v="0"/>
          </reference>
          <reference field="24" count="1" selected="0">
            <x v="80"/>
          </reference>
        </references>
      </pivotArea>
    </format>
    <format dxfId="883">
      <pivotArea dataOnly="0" labelOnly="1" outline="0" fieldPosition="0">
        <references count="10">
          <reference field="0" count="1" selected="0">
            <x v="3"/>
          </reference>
          <reference field="1" count="1" selected="0">
            <x v="6"/>
          </reference>
          <reference field="5" count="1" selected="0">
            <x v="0"/>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6"/>
          </reference>
          <reference field="24" count="1" selected="0">
            <x v="37"/>
          </reference>
        </references>
      </pivotArea>
    </format>
    <format dxfId="882">
      <pivotArea dataOnly="0" labelOnly="1" outline="0" fieldPosition="0">
        <references count="10">
          <reference field="0" count="1" selected="0">
            <x v="3"/>
          </reference>
          <reference field="1" count="1" selected="0">
            <x v="7"/>
          </reference>
          <reference field="5" count="1" selected="0">
            <x v="0"/>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71"/>
          </reference>
          <reference field="24" count="1" selected="0">
            <x v="51"/>
          </reference>
        </references>
      </pivotArea>
    </format>
    <format dxfId="881">
      <pivotArea dataOnly="0" labelOnly="1" outline="0" fieldPosition="0">
        <references count="10">
          <reference field="0" count="1" selected="0">
            <x v="3"/>
          </reference>
          <reference field="1" count="1" selected="0">
            <x v="8"/>
          </reference>
          <reference field="5" count="1" selected="0">
            <x v="2"/>
          </reference>
          <reference field="13" count="1" selected="0">
            <x v="81"/>
          </reference>
          <reference field="17" count="1">
            <x v="60"/>
          </reference>
          <reference field="20" count="1" selected="0">
            <x v="0"/>
          </reference>
          <reference field="21" count="1" selected="0">
            <x v="0"/>
          </reference>
          <reference field="22" count="1" selected="0">
            <x v="0"/>
          </reference>
          <reference field="23" count="1" selected="0">
            <x v="40"/>
          </reference>
          <reference field="24" count="1" selected="0">
            <x v="82"/>
          </reference>
        </references>
      </pivotArea>
    </format>
    <format dxfId="880">
      <pivotArea dataOnly="0" labelOnly="1" outline="0" fieldPosition="0">
        <references count="10">
          <reference field="0" count="1" selected="0">
            <x v="1"/>
          </reference>
          <reference field="1" count="1" selected="0">
            <x v="9"/>
          </reference>
          <reference field="5" count="1" selected="0">
            <x v="2"/>
          </reference>
          <reference field="13" count="1" selected="0">
            <x v="0"/>
          </reference>
          <reference field="17" count="1">
            <x v="0"/>
          </reference>
          <reference field="20" count="1" selected="0">
            <x v="0"/>
          </reference>
          <reference field="21" count="1" selected="0">
            <x v="2"/>
          </reference>
          <reference field="22" count="1" selected="0">
            <x v="0"/>
          </reference>
          <reference field="23" count="1" selected="0">
            <x v="0"/>
          </reference>
          <reference field="24" count="1" selected="0">
            <x v="80"/>
          </reference>
        </references>
      </pivotArea>
    </format>
    <format dxfId="879">
      <pivotArea dataOnly="0" labelOnly="1" outline="0" fieldPosition="0">
        <references count="10">
          <reference field="0" count="1" selected="0">
            <x v="2"/>
          </reference>
          <reference field="1" count="1" selected="0">
            <x v="1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
          </reference>
          <reference field="23" count="1" selected="0">
            <x v="0"/>
          </reference>
          <reference field="24" count="1" selected="0">
            <x v="80"/>
          </reference>
        </references>
      </pivotArea>
    </format>
    <format dxfId="878">
      <pivotArea dataOnly="0" labelOnly="1" outline="0" fieldPosition="0">
        <references count="10">
          <reference field="0" count="1" selected="0">
            <x v="3"/>
          </reference>
          <reference field="1" count="1" selected="0">
            <x v="11"/>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23"/>
          </reference>
          <reference field="24" count="1" selected="0">
            <x v="40"/>
          </reference>
        </references>
      </pivotArea>
    </format>
    <format dxfId="877">
      <pivotArea dataOnly="0" labelOnly="1" outline="0" fieldPosition="0">
        <references count="10">
          <reference field="0" count="1" selected="0">
            <x v="3"/>
          </reference>
          <reference field="1" count="1" selected="0">
            <x v="12"/>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93"/>
          </reference>
          <reference field="24" count="1" selected="0">
            <x v="19"/>
          </reference>
        </references>
      </pivotArea>
    </format>
    <format dxfId="876">
      <pivotArea dataOnly="0" labelOnly="1" outline="0" fieldPosition="0">
        <references count="10">
          <reference field="0" count="1" selected="0">
            <x v="3"/>
          </reference>
          <reference field="1" count="1" selected="0">
            <x v="13"/>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25"/>
          </reference>
          <reference field="24" count="1" selected="0">
            <x v="37"/>
          </reference>
        </references>
      </pivotArea>
    </format>
    <format dxfId="875">
      <pivotArea dataOnly="0" labelOnly="1" outline="0" fieldPosition="0">
        <references count="10">
          <reference field="0" count="1" selected="0">
            <x v="1"/>
          </reference>
          <reference field="1" count="1" selected="0">
            <x v="14"/>
          </reference>
          <reference field="5" count="1" selected="0">
            <x v="2"/>
          </reference>
          <reference field="13" count="1" selected="0">
            <x v="0"/>
          </reference>
          <reference field="17" count="1">
            <x v="0"/>
          </reference>
          <reference field="20" count="1" selected="0">
            <x v="0"/>
          </reference>
          <reference field="21" count="1" selected="0">
            <x v="10"/>
          </reference>
          <reference field="22" count="1" selected="0">
            <x v="0"/>
          </reference>
          <reference field="23" count="1" selected="0">
            <x v="0"/>
          </reference>
          <reference field="24" count="1" selected="0">
            <x v="80"/>
          </reference>
        </references>
      </pivotArea>
    </format>
    <format dxfId="874">
      <pivotArea dataOnly="0" labelOnly="1" outline="0" fieldPosition="0">
        <references count="10">
          <reference field="0" count="1" selected="0">
            <x v="2"/>
          </reference>
          <reference field="1" count="1" selected="0">
            <x v="15"/>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3"/>
          </reference>
          <reference field="23" count="1" selected="0">
            <x v="0"/>
          </reference>
          <reference field="24" count="1" selected="0">
            <x v="80"/>
          </reference>
        </references>
      </pivotArea>
    </format>
    <format dxfId="873">
      <pivotArea dataOnly="0" labelOnly="1" outline="0" fieldPosition="0">
        <references count="10">
          <reference field="0" count="1" selected="0">
            <x v="3"/>
          </reference>
          <reference field="1" count="1" selected="0">
            <x v="16"/>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15"/>
          </reference>
          <reference field="24" count="1" selected="0">
            <x v="37"/>
          </reference>
        </references>
      </pivotArea>
    </format>
    <format dxfId="872">
      <pivotArea dataOnly="0" labelOnly="1" outline="0" fieldPosition="0">
        <references count="10">
          <reference field="0" count="1" selected="0">
            <x v="3"/>
          </reference>
          <reference field="1" count="1" selected="0">
            <x v="1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1"/>
          </reference>
          <reference field="24" count="1" selected="0">
            <x v="20"/>
          </reference>
        </references>
      </pivotArea>
    </format>
    <format dxfId="871">
      <pivotArea dataOnly="0" labelOnly="1" outline="0" fieldPosition="0">
        <references count="10">
          <reference field="0" count="1" selected="0">
            <x v="3"/>
          </reference>
          <reference field="1" count="1" selected="0">
            <x v="1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0"/>
          </reference>
          <reference field="24" count="1" selected="0">
            <x v="2"/>
          </reference>
        </references>
      </pivotArea>
    </format>
    <format dxfId="870">
      <pivotArea dataOnly="0" labelOnly="1" outline="0" fieldPosition="0">
        <references count="10">
          <reference field="0" count="1" selected="0">
            <x v="2"/>
          </reference>
          <reference field="1" count="1" selected="0">
            <x v="1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8"/>
          </reference>
          <reference field="23" count="1" selected="0">
            <x v="0"/>
          </reference>
          <reference field="24" count="1" selected="0">
            <x v="80"/>
          </reference>
        </references>
      </pivotArea>
    </format>
    <format dxfId="869">
      <pivotArea dataOnly="0" labelOnly="1" outline="0" fieldPosition="0">
        <references count="10">
          <reference field="0" count="1" selected="0">
            <x v="3"/>
          </reference>
          <reference field="1" count="1" selected="0">
            <x v="20"/>
          </reference>
          <reference field="5" count="1" selected="0">
            <x v="2"/>
          </reference>
          <reference field="13" count="1" selected="0">
            <x v="85"/>
          </reference>
          <reference field="17" count="1">
            <x v="64"/>
          </reference>
          <reference field="20" count="1" selected="0">
            <x v="0"/>
          </reference>
          <reference field="21" count="1" selected="0">
            <x v="0"/>
          </reference>
          <reference field="22" count="1" selected="0">
            <x v="0"/>
          </reference>
          <reference field="23" count="1" selected="0">
            <x v="100"/>
          </reference>
          <reference field="24" count="1" selected="0">
            <x v="77"/>
          </reference>
        </references>
      </pivotArea>
    </format>
    <format dxfId="868">
      <pivotArea dataOnly="0" labelOnly="1" outline="0" fieldPosition="0">
        <references count="10">
          <reference field="0" count="1" selected="0">
            <x v="2"/>
          </reference>
          <reference field="1" count="1" selected="0">
            <x v="2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1"/>
          </reference>
          <reference field="23" count="1" selected="0">
            <x v="0"/>
          </reference>
          <reference field="24" count="1" selected="0">
            <x v="80"/>
          </reference>
        </references>
      </pivotArea>
    </format>
    <format dxfId="867">
      <pivotArea dataOnly="0" labelOnly="1" outline="0" fieldPosition="0">
        <references count="10">
          <reference field="0" count="1" selected="0">
            <x v="3"/>
          </reference>
          <reference field="1" count="1" selected="0">
            <x v="2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03"/>
          </reference>
          <reference field="24" count="1" selected="0">
            <x v="2"/>
          </reference>
        </references>
      </pivotArea>
    </format>
    <format dxfId="866">
      <pivotArea dataOnly="0" labelOnly="1" outline="0" fieldPosition="0">
        <references count="10">
          <reference field="0" count="1" selected="0">
            <x v="3"/>
          </reference>
          <reference field="1" count="1" selected="0">
            <x v="2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8"/>
          </reference>
          <reference field="24" count="1" selected="0">
            <x v="2"/>
          </reference>
        </references>
      </pivotArea>
    </format>
    <format dxfId="865">
      <pivotArea dataOnly="0" labelOnly="1" outline="0" fieldPosition="0">
        <references count="10">
          <reference field="0" count="1" selected="0">
            <x v="1"/>
          </reference>
          <reference field="1" count="1" selected="0">
            <x v="24"/>
          </reference>
          <reference field="5" count="1" selected="0">
            <x v="2"/>
          </reference>
          <reference field="13" count="1" selected="0">
            <x v="0"/>
          </reference>
          <reference field="17" count="1">
            <x v="0"/>
          </reference>
          <reference field="20" count="1" selected="0">
            <x v="0"/>
          </reference>
          <reference field="21" count="1" selected="0">
            <x v="9"/>
          </reference>
          <reference field="22" count="1" selected="0">
            <x v="0"/>
          </reference>
          <reference field="23" count="1" selected="0">
            <x v="0"/>
          </reference>
          <reference field="24" count="1" selected="0">
            <x v="80"/>
          </reference>
        </references>
      </pivotArea>
    </format>
    <format dxfId="864">
      <pivotArea dataOnly="0" labelOnly="1" outline="0" fieldPosition="0">
        <references count="10">
          <reference field="0" count="1" selected="0">
            <x v="2"/>
          </reference>
          <reference field="1" count="1" selected="0">
            <x v="25"/>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7"/>
          </reference>
          <reference field="23" count="1" selected="0">
            <x v="0"/>
          </reference>
          <reference field="24" count="1" selected="0">
            <x v="80"/>
          </reference>
        </references>
      </pivotArea>
    </format>
    <format dxfId="863">
      <pivotArea dataOnly="0" labelOnly="1" outline="0" fieldPosition="0">
        <references count="10">
          <reference field="0" count="1" selected="0">
            <x v="3"/>
          </reference>
          <reference field="1" count="1" selected="0">
            <x v="26"/>
          </reference>
          <reference field="5" count="1" selected="0">
            <x v="2"/>
          </reference>
          <reference field="13" count="1" selected="0">
            <x v="86"/>
          </reference>
          <reference field="17" count="1">
            <x v="40"/>
          </reference>
          <reference field="20" count="1" selected="0">
            <x v="0"/>
          </reference>
          <reference field="21" count="1" selected="0">
            <x v="0"/>
          </reference>
          <reference field="22" count="1" selected="0">
            <x v="0"/>
          </reference>
          <reference field="23" count="1" selected="0">
            <x v="66"/>
          </reference>
          <reference field="24" count="1" selected="0">
            <x v="19"/>
          </reference>
        </references>
      </pivotArea>
    </format>
    <format dxfId="862">
      <pivotArea dataOnly="0" labelOnly="1" outline="0" fieldPosition="0">
        <references count="10">
          <reference field="0" count="1" selected="0">
            <x v="3"/>
          </reference>
          <reference field="1" count="1" selected="0">
            <x v="27"/>
          </reference>
          <reference field="5" count="1" selected="0">
            <x v="2"/>
          </reference>
          <reference field="13" count="1" selected="0">
            <x v="87"/>
          </reference>
          <reference field="17" count="1">
            <x v="65"/>
          </reference>
          <reference field="20" count="1" selected="0">
            <x v="0"/>
          </reference>
          <reference field="21" count="1" selected="0">
            <x v="0"/>
          </reference>
          <reference field="22" count="1" selected="0">
            <x v="0"/>
          </reference>
          <reference field="23" count="1" selected="0">
            <x v="39"/>
          </reference>
          <reference field="24" count="1" selected="0">
            <x v="46"/>
          </reference>
        </references>
      </pivotArea>
    </format>
    <format dxfId="861">
      <pivotArea dataOnly="0" labelOnly="1" outline="0" fieldPosition="0">
        <references count="10">
          <reference field="0" count="1" selected="0">
            <x v="3"/>
          </reference>
          <reference field="1" count="1" selected="0">
            <x v="28"/>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26"/>
          </reference>
          <reference field="24" count="1" selected="0">
            <x v="20"/>
          </reference>
        </references>
      </pivotArea>
    </format>
    <format dxfId="860">
      <pivotArea dataOnly="0" labelOnly="1" outline="0" fieldPosition="0">
        <references count="10">
          <reference field="0" count="1" selected="0">
            <x v="1"/>
          </reference>
          <reference field="1" count="1" selected="0">
            <x v="29"/>
          </reference>
          <reference field="5" count="1" selected="0">
            <x v="2"/>
          </reference>
          <reference field="13" count="1" selected="0">
            <x v="0"/>
          </reference>
          <reference field="17" count="1">
            <x v="0"/>
          </reference>
          <reference field="20" count="1" selected="0">
            <x v="0"/>
          </reference>
          <reference field="21" count="1" selected="0">
            <x v="17"/>
          </reference>
          <reference field="22" count="1" selected="0">
            <x v="0"/>
          </reference>
          <reference field="23" count="1" selected="0">
            <x v="0"/>
          </reference>
          <reference field="24" count="1" selected="0">
            <x v="80"/>
          </reference>
        </references>
      </pivotArea>
    </format>
    <format dxfId="859">
      <pivotArea dataOnly="0" labelOnly="1" outline="0" fieldPosition="0">
        <references count="10">
          <reference field="0" count="1" selected="0">
            <x v="2"/>
          </reference>
          <reference field="1" count="1" selected="0">
            <x v="3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3"/>
          </reference>
          <reference field="23" count="1" selected="0">
            <x v="0"/>
          </reference>
          <reference field="24" count="1" selected="0">
            <x v="80"/>
          </reference>
        </references>
      </pivotArea>
    </format>
    <format dxfId="858">
      <pivotArea dataOnly="0" labelOnly="1" outline="0" fieldPosition="0">
        <references count="10">
          <reference field="0" count="1" selected="0">
            <x v="3"/>
          </reference>
          <reference field="1" count="1" selected="0">
            <x v="31"/>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87"/>
          </reference>
          <reference field="24" count="1" selected="0">
            <x v="65"/>
          </reference>
        </references>
      </pivotArea>
    </format>
    <format dxfId="857">
      <pivotArea dataOnly="0" labelOnly="1" outline="0" fieldPosition="0">
        <references count="10">
          <reference field="0" count="1" selected="0">
            <x v="3"/>
          </reference>
          <reference field="1" count="1" selected="0">
            <x v="32"/>
          </reference>
          <reference field="5" count="1" selected="0">
            <x v="2"/>
          </reference>
          <reference field="13" count="1" selected="0">
            <x v="86"/>
          </reference>
          <reference field="17" count="1">
            <x v="40"/>
          </reference>
          <reference field="20" count="1" selected="0">
            <x v="0"/>
          </reference>
          <reference field="21" count="1" selected="0">
            <x v="0"/>
          </reference>
          <reference field="22" count="1" selected="0">
            <x v="0"/>
          </reference>
          <reference field="23" count="1" selected="0">
            <x v="72"/>
          </reference>
          <reference field="24" count="1" selected="0">
            <x v="55"/>
          </reference>
        </references>
      </pivotArea>
    </format>
    <format dxfId="856">
      <pivotArea dataOnly="0" labelOnly="1" outline="0" fieldPosition="0">
        <references count="10">
          <reference field="0" count="1" selected="0">
            <x v="3"/>
          </reference>
          <reference field="1" count="1" selected="0">
            <x v="33"/>
          </reference>
          <reference field="5" count="1" selected="0">
            <x v="2"/>
          </reference>
          <reference field="13" count="1" selected="0">
            <x v="88"/>
          </reference>
          <reference field="17" count="1">
            <x v="66"/>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855">
      <pivotArea dataOnly="0" labelOnly="1" outline="0" fieldPosition="0">
        <references count="10">
          <reference field="0" count="1" selected="0">
            <x v="3"/>
          </reference>
          <reference field="1" count="1" selected="0">
            <x v="34"/>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73"/>
          </reference>
          <reference field="24" count="1" selected="0">
            <x v="55"/>
          </reference>
        </references>
      </pivotArea>
    </format>
    <format dxfId="854">
      <pivotArea dataOnly="0" labelOnly="1" outline="0" fieldPosition="0">
        <references count="10">
          <reference field="0" count="1" selected="0">
            <x v="3"/>
          </reference>
          <reference field="1" count="1" selected="0">
            <x v="35"/>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853">
      <pivotArea dataOnly="0" labelOnly="1" outline="0" fieldPosition="0">
        <references count="10">
          <reference field="0" count="1" selected="0">
            <x v="3"/>
          </reference>
          <reference field="1" count="1" selected="0">
            <x v="36"/>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75"/>
          </reference>
          <reference field="24" count="1" selected="0">
            <x v="55"/>
          </reference>
        </references>
      </pivotArea>
    </format>
    <format dxfId="852">
      <pivotArea dataOnly="0" labelOnly="1" outline="0" fieldPosition="0">
        <references count="10">
          <reference field="0" count="1" selected="0">
            <x v="3"/>
          </reference>
          <reference field="1" count="1" selected="0">
            <x v="37"/>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851">
      <pivotArea dataOnly="0" labelOnly="1" outline="0" fieldPosition="0">
        <references count="10">
          <reference field="0" count="1" selected="0">
            <x v="3"/>
          </reference>
          <reference field="1" count="1" selected="0">
            <x v="38"/>
          </reference>
          <reference field="5" count="1" selected="0">
            <x v="2"/>
          </reference>
          <reference field="13" count="1" selected="0">
            <x v="92"/>
          </reference>
          <reference field="17" count="1">
            <x v="69"/>
          </reference>
          <reference field="20" count="1" selected="0">
            <x v="0"/>
          </reference>
          <reference field="21" count="1" selected="0">
            <x v="0"/>
          </reference>
          <reference field="22" count="1" selected="0">
            <x v="0"/>
          </reference>
          <reference field="23" count="1" selected="0">
            <x v="74"/>
          </reference>
          <reference field="24" count="1" selected="0">
            <x v="55"/>
          </reference>
        </references>
      </pivotArea>
    </format>
    <format dxfId="850">
      <pivotArea dataOnly="0" labelOnly="1" outline="0" fieldPosition="0">
        <references count="10">
          <reference field="0" count="1" selected="0">
            <x v="3"/>
          </reference>
          <reference field="1" count="1" selected="0">
            <x v="39"/>
          </reference>
          <reference field="5" count="1" selected="0">
            <x v="2"/>
          </reference>
          <reference field="13" count="1" selected="0">
            <x v="93"/>
          </reference>
          <reference field="17" count="1">
            <x v="70"/>
          </reference>
          <reference field="20" count="1" selected="0">
            <x v="0"/>
          </reference>
          <reference field="21" count="1" selected="0">
            <x v="0"/>
          </reference>
          <reference field="22" count="1" selected="0">
            <x v="0"/>
          </reference>
          <reference field="23" count="1" selected="0">
            <x v="76"/>
          </reference>
          <reference field="24" count="1" selected="0">
            <x v="56"/>
          </reference>
        </references>
      </pivotArea>
    </format>
    <format dxfId="849">
      <pivotArea dataOnly="0" labelOnly="1" outline="0" fieldPosition="0">
        <references count="10">
          <reference field="0" count="1" selected="0">
            <x v="3"/>
          </reference>
          <reference field="1" count="1" selected="0">
            <x v="40"/>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14"/>
          </reference>
          <reference field="24" count="1" selected="0">
            <x v="15"/>
          </reference>
        </references>
      </pivotArea>
    </format>
    <format dxfId="848">
      <pivotArea dataOnly="0" labelOnly="1" outline="0" fieldPosition="0">
        <references count="10">
          <reference field="0" count="1" selected="0">
            <x v="1"/>
          </reference>
          <reference field="1" count="1" selected="0">
            <x v="41"/>
          </reference>
          <reference field="5" count="1" selected="0">
            <x v="2"/>
          </reference>
          <reference field="13" count="1" selected="0">
            <x v="0"/>
          </reference>
          <reference field="17" count="1">
            <x v="0"/>
          </reference>
          <reference field="20" count="1" selected="0">
            <x v="0"/>
          </reference>
          <reference field="21" count="1" selected="0">
            <x v="8"/>
          </reference>
          <reference field="22" count="1" selected="0">
            <x v="0"/>
          </reference>
          <reference field="23" count="1" selected="0">
            <x v="0"/>
          </reference>
          <reference field="24" count="1" selected="0">
            <x v="80"/>
          </reference>
        </references>
      </pivotArea>
    </format>
    <format dxfId="847">
      <pivotArea dataOnly="0" labelOnly="1" outline="0" fieldPosition="0">
        <references count="10">
          <reference field="0" count="1" selected="0">
            <x v="3"/>
          </reference>
          <reference field="1" count="1" selected="0">
            <x v="42"/>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104"/>
          </reference>
          <reference field="24" count="1" selected="0">
            <x v="78"/>
          </reference>
        </references>
      </pivotArea>
    </format>
    <format dxfId="846">
      <pivotArea dataOnly="0" labelOnly="1" outline="0" fieldPosition="0">
        <references count="10">
          <reference field="0" count="1" selected="0">
            <x v="1"/>
          </reference>
          <reference field="1" count="1" selected="0">
            <x v="43"/>
          </reference>
          <reference field="5" count="1" selected="0">
            <x v="2"/>
          </reference>
          <reference field="13" count="1" selected="0">
            <x v="0"/>
          </reference>
          <reference field="17" count="1">
            <x v="0"/>
          </reference>
          <reference field="20" count="1" selected="0">
            <x v="0"/>
          </reference>
          <reference field="21" count="1" selected="0">
            <x v="16"/>
          </reference>
          <reference field="22" count="1" selected="0">
            <x v="0"/>
          </reference>
          <reference field="23" count="1" selected="0">
            <x v="0"/>
          </reference>
          <reference field="24" count="1" selected="0">
            <x v="80"/>
          </reference>
        </references>
      </pivotArea>
    </format>
    <format dxfId="845">
      <pivotArea dataOnly="0" labelOnly="1" outline="0" fieldPosition="0">
        <references count="10">
          <reference field="0" count="1" selected="0">
            <x v="3"/>
          </reference>
          <reference field="1" count="1" selected="0">
            <x v="44"/>
          </reference>
          <reference field="5" count="1" selected="0">
            <x v="2"/>
          </reference>
          <reference field="13" count="1" selected="0">
            <x v="95"/>
          </reference>
          <reference field="17" count="1">
            <x v="72"/>
          </reference>
          <reference field="20" count="1" selected="0">
            <x v="0"/>
          </reference>
          <reference field="21" count="1" selected="0">
            <x v="0"/>
          </reference>
          <reference field="22" count="1" selected="0">
            <x v="0"/>
          </reference>
          <reference field="23" count="1" selected="0">
            <x v="63"/>
          </reference>
          <reference field="24" count="1" selected="0">
            <x v="83"/>
          </reference>
        </references>
      </pivotArea>
    </format>
    <format dxfId="844">
      <pivotArea dataOnly="0" labelOnly="1" outline="0" fieldPosition="0">
        <references count="10">
          <reference field="0" count="1" selected="0">
            <x v="3"/>
          </reference>
          <reference field="1" count="1" selected="0">
            <x v="45"/>
          </reference>
          <reference field="5" count="1" selected="0">
            <x v="2"/>
          </reference>
          <reference field="13" count="1" selected="0">
            <x v="96"/>
          </reference>
          <reference field="17" count="1">
            <x v="73"/>
          </reference>
          <reference field="20" count="1" selected="0">
            <x v="0"/>
          </reference>
          <reference field="21" count="1" selected="0">
            <x v="0"/>
          </reference>
          <reference field="22" count="1" selected="0">
            <x v="0"/>
          </reference>
          <reference field="23" count="1" selected="0">
            <x v="46"/>
          </reference>
          <reference field="24" count="1" selected="0">
            <x v="83"/>
          </reference>
        </references>
      </pivotArea>
    </format>
    <format dxfId="843">
      <pivotArea dataOnly="0" labelOnly="1" outline="0" fieldPosition="0">
        <references count="10">
          <reference field="0" count="1" selected="0">
            <x v="3"/>
          </reference>
          <reference field="1" count="1" selected="0">
            <x v="46"/>
          </reference>
          <reference field="5" count="1" selected="0">
            <x v="2"/>
          </reference>
          <reference field="13" count="1" selected="0">
            <x v="97"/>
          </reference>
          <reference field="17" count="1">
            <x v="74"/>
          </reference>
          <reference field="20" count="1" selected="0">
            <x v="0"/>
          </reference>
          <reference field="21" count="1" selected="0">
            <x v="0"/>
          </reference>
          <reference field="22" count="1" selected="0">
            <x v="0"/>
          </reference>
          <reference field="23" count="1" selected="0">
            <x v="42"/>
          </reference>
          <reference field="24" count="1" selected="0">
            <x v="83"/>
          </reference>
        </references>
      </pivotArea>
    </format>
    <format dxfId="842">
      <pivotArea dataOnly="0" labelOnly="1" outline="0" fieldPosition="0">
        <references count="10">
          <reference field="0" count="1" selected="0">
            <x v="3"/>
          </reference>
          <reference field="1" count="1" selected="0">
            <x v="47"/>
          </reference>
          <reference field="5" count="1" selected="0">
            <x v="2"/>
          </reference>
          <reference field="13" count="1" selected="0">
            <x v="98"/>
          </reference>
          <reference field="17" count="1">
            <x v="75"/>
          </reference>
          <reference field="20" count="1" selected="0">
            <x v="0"/>
          </reference>
          <reference field="21" count="1" selected="0">
            <x v="0"/>
          </reference>
          <reference field="22" count="1" selected="0">
            <x v="0"/>
          </reference>
          <reference field="23" count="1" selected="0">
            <x v="44"/>
          </reference>
          <reference field="24" count="1" selected="0">
            <x v="83"/>
          </reference>
        </references>
      </pivotArea>
    </format>
    <format dxfId="841">
      <pivotArea dataOnly="0" labelOnly="1" outline="0" fieldPosition="0">
        <references count="10">
          <reference field="0" count="1" selected="0">
            <x v="0"/>
          </reference>
          <reference field="1" count="1" selected="0">
            <x v="48"/>
          </reference>
          <reference field="5" count="1" selected="0">
            <x v="2"/>
          </reference>
          <reference field="13" count="1" selected="0">
            <x v="0"/>
          </reference>
          <reference field="17" count="1">
            <x v="0"/>
          </reference>
          <reference field="20" count="1" selected="0">
            <x v="4"/>
          </reference>
          <reference field="21" count="1" selected="0">
            <x v="0"/>
          </reference>
          <reference field="22" count="1" selected="0">
            <x v="0"/>
          </reference>
          <reference field="23" count="1" selected="0">
            <x v="0"/>
          </reference>
          <reference field="24" count="1" selected="0">
            <x v="80"/>
          </reference>
        </references>
      </pivotArea>
    </format>
    <format dxfId="840">
      <pivotArea dataOnly="0" labelOnly="1" outline="0" fieldPosition="0">
        <references count="10">
          <reference field="0" count="1" selected="0">
            <x v="1"/>
          </reference>
          <reference field="1" count="1" selected="0">
            <x v="49"/>
          </reference>
          <reference field="5" count="1" selected="0">
            <x v="2"/>
          </reference>
          <reference field="13" count="1" selected="0">
            <x v="0"/>
          </reference>
          <reference field="17" count="1">
            <x v="0"/>
          </reference>
          <reference field="20" count="1" selected="0">
            <x v="0"/>
          </reference>
          <reference field="21" count="1" selected="0">
            <x v="4"/>
          </reference>
          <reference field="22" count="1" selected="0">
            <x v="0"/>
          </reference>
          <reference field="23" count="1" selected="0">
            <x v="0"/>
          </reference>
          <reference field="24" count="1" selected="0">
            <x v="80"/>
          </reference>
        </references>
      </pivotArea>
    </format>
    <format dxfId="839">
      <pivotArea dataOnly="0" labelOnly="1" outline="0" fieldPosition="0">
        <references count="10">
          <reference field="0" count="1" selected="0">
            <x v="2"/>
          </reference>
          <reference field="1" count="1" selected="0">
            <x v="5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5"/>
          </reference>
          <reference field="23" count="1" selected="0">
            <x v="0"/>
          </reference>
          <reference field="24" count="1" selected="0">
            <x v="80"/>
          </reference>
        </references>
      </pivotArea>
    </format>
    <format dxfId="838">
      <pivotArea dataOnly="0" labelOnly="1" outline="0" fieldPosition="0">
        <references count="10">
          <reference field="0" count="1" selected="0">
            <x v="3"/>
          </reference>
          <reference field="1" count="1" selected="0">
            <x v="5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9"/>
          </reference>
          <reference field="24" count="1" selected="0">
            <x v="3"/>
          </reference>
        </references>
      </pivotArea>
    </format>
    <format dxfId="837">
      <pivotArea dataOnly="0" labelOnly="1" outline="0" fieldPosition="0">
        <references count="10">
          <reference field="0" count="1" selected="0">
            <x v="1"/>
          </reference>
          <reference field="1" count="1" selected="0">
            <x v="52"/>
          </reference>
          <reference field="5" count="1" selected="0">
            <x v="2"/>
          </reference>
          <reference field="13" count="1" selected="0">
            <x v="0"/>
          </reference>
          <reference field="17" count="1">
            <x v="0"/>
          </reference>
          <reference field="20" count="1" selected="0">
            <x v="0"/>
          </reference>
          <reference field="21" count="1" selected="0">
            <x v="13"/>
          </reference>
          <reference field="22" count="1" selected="0">
            <x v="0"/>
          </reference>
          <reference field="23" count="1" selected="0">
            <x v="0"/>
          </reference>
          <reference field="24" count="1" selected="0">
            <x v="80"/>
          </reference>
        </references>
      </pivotArea>
    </format>
    <format dxfId="836">
      <pivotArea dataOnly="0" labelOnly="1" outline="0" fieldPosition="0">
        <references count="10">
          <reference field="0" count="1" selected="0">
            <x v="2"/>
          </reference>
          <reference field="1" count="1" selected="0">
            <x v="5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8"/>
          </reference>
          <reference field="23" count="1" selected="0">
            <x v="0"/>
          </reference>
          <reference field="24" count="1" selected="0">
            <x v="80"/>
          </reference>
        </references>
      </pivotArea>
    </format>
    <format dxfId="835">
      <pivotArea dataOnly="0" labelOnly="1" outline="0" fieldPosition="0">
        <references count="10">
          <reference field="0" count="1" selected="0">
            <x v="3"/>
          </reference>
          <reference field="1" count="1" selected="0">
            <x v="54"/>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32"/>
          </reference>
          <reference field="24" count="1" selected="0">
            <x v="70"/>
          </reference>
        </references>
      </pivotArea>
    </format>
    <format dxfId="834">
      <pivotArea dataOnly="0" labelOnly="1" outline="0" fieldPosition="0">
        <references count="10">
          <reference field="0" count="1" selected="0">
            <x v="3"/>
          </reference>
          <reference field="1" count="1" selected="0">
            <x v="55"/>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3"/>
          </reference>
          <reference field="24" count="1" selected="0">
            <x v="53"/>
          </reference>
        </references>
      </pivotArea>
    </format>
    <format dxfId="833">
      <pivotArea dataOnly="0" labelOnly="1" outline="0" fieldPosition="0">
        <references count="10">
          <reference field="0" count="1" selected="0">
            <x v="3"/>
          </reference>
          <reference field="1" count="1" selected="0">
            <x v="56"/>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81"/>
          </reference>
          <reference field="24" count="1" selected="0">
            <x v="53"/>
          </reference>
        </references>
      </pivotArea>
    </format>
    <format dxfId="832">
      <pivotArea dataOnly="0" labelOnly="1" outline="0" fieldPosition="0">
        <references count="10">
          <reference field="0" count="1" selected="0">
            <x v="1"/>
          </reference>
          <reference field="1" count="1" selected="0">
            <x v="57"/>
          </reference>
          <reference field="5" count="1" selected="0">
            <x v="2"/>
          </reference>
          <reference field="13" count="1" selected="0">
            <x v="0"/>
          </reference>
          <reference field="17" count="1">
            <x v="0"/>
          </reference>
          <reference field="20" count="1" selected="0">
            <x v="0"/>
          </reference>
          <reference field="21" count="1" selected="0">
            <x v="3"/>
          </reference>
          <reference field="22" count="1" selected="0">
            <x v="0"/>
          </reference>
          <reference field="23" count="1" selected="0">
            <x v="0"/>
          </reference>
          <reference field="24" count="1" selected="0">
            <x v="80"/>
          </reference>
        </references>
      </pivotArea>
    </format>
    <format dxfId="831">
      <pivotArea dataOnly="0" labelOnly="1" outline="0" fieldPosition="0">
        <references count="10">
          <reference field="0" count="1" selected="0">
            <x v="2"/>
          </reference>
          <reference field="1" count="1" selected="0">
            <x v="5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9"/>
          </reference>
          <reference field="23" count="1" selected="0">
            <x v="0"/>
          </reference>
          <reference field="24" count="1" selected="0">
            <x v="80"/>
          </reference>
        </references>
      </pivotArea>
    </format>
    <format dxfId="830">
      <pivotArea dataOnly="0" labelOnly="1" outline="0" fieldPosition="0">
        <references count="10">
          <reference field="0" count="1" selected="0">
            <x v="3"/>
          </reference>
          <reference field="1" count="1" selected="0">
            <x v="59"/>
          </reference>
          <reference field="5" count="1" selected="0">
            <x v="2"/>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7"/>
          </reference>
          <reference field="24" count="1" selected="0">
            <x v="67"/>
          </reference>
        </references>
      </pivotArea>
    </format>
    <format dxfId="829">
      <pivotArea dataOnly="0" labelOnly="1" outline="0" fieldPosition="0">
        <references count="10">
          <reference field="0" count="1" selected="0">
            <x v="3"/>
          </reference>
          <reference field="1" count="1" selected="0">
            <x v="60"/>
          </reference>
          <reference field="5" count="1" selected="0">
            <x v="2"/>
          </reference>
          <reference field="13" count="1" selected="0">
            <x v="79"/>
          </reference>
          <reference field="17" count="1">
            <x v="58"/>
          </reference>
          <reference field="20" count="1" selected="0">
            <x v="0"/>
          </reference>
          <reference field="21" count="1" selected="0">
            <x v="0"/>
          </reference>
          <reference field="22" count="1" selected="0">
            <x v="0"/>
          </reference>
          <reference field="23" count="1" selected="0">
            <x v="108"/>
          </reference>
          <reference field="24" count="1" selected="0">
            <x v="67"/>
          </reference>
        </references>
      </pivotArea>
    </format>
    <format dxfId="828">
      <pivotArea dataOnly="0" labelOnly="1" outline="0" fieldPosition="0">
        <references count="10">
          <reference field="0" count="1" selected="0">
            <x v="2"/>
          </reference>
          <reference field="1" count="1" selected="0">
            <x v="6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6"/>
          </reference>
          <reference field="23" count="1" selected="0">
            <x v="0"/>
          </reference>
          <reference field="24" count="1" selected="0">
            <x v="80"/>
          </reference>
        </references>
      </pivotArea>
    </format>
    <format dxfId="827">
      <pivotArea dataOnly="0" labelOnly="1" outline="0" fieldPosition="0">
        <references count="10">
          <reference field="0" count="1" selected="0">
            <x v="3"/>
          </reference>
          <reference field="1" count="1" selected="0">
            <x v="62"/>
          </reference>
          <reference field="5" count="1" selected="0">
            <x v="2"/>
          </reference>
          <reference field="13" count="1" selected="0">
            <x v="99"/>
          </reference>
          <reference field="17" count="1">
            <x v="76"/>
          </reference>
          <reference field="20" count="1" selected="0">
            <x v="0"/>
          </reference>
          <reference field="21" count="1" selected="0">
            <x v="0"/>
          </reference>
          <reference field="22" count="1" selected="0">
            <x v="0"/>
          </reference>
          <reference field="23" count="1" selected="0">
            <x v="109"/>
          </reference>
          <reference field="24" count="1" selected="0">
            <x v="67"/>
          </reference>
        </references>
      </pivotArea>
    </format>
    <format dxfId="826">
      <pivotArea dataOnly="0" labelOnly="1" outline="0" fieldPosition="0">
        <references count="10">
          <reference field="0" count="1" selected="0">
            <x v="3"/>
          </reference>
          <reference field="1" count="1" selected="0">
            <x v="63"/>
          </reference>
          <reference field="5" count="1" selected="0">
            <x v="2"/>
          </reference>
          <reference field="13" count="1" selected="0">
            <x v="99"/>
          </reference>
          <reference field="17" count="1">
            <x v="76"/>
          </reference>
          <reference field="20" count="1" selected="0">
            <x v="0"/>
          </reference>
          <reference field="21" count="1" selected="0">
            <x v="0"/>
          </reference>
          <reference field="22" count="1" selected="0">
            <x v="0"/>
          </reference>
          <reference field="23" count="1" selected="0">
            <x v="110"/>
          </reference>
          <reference field="24" count="1" selected="0">
            <x v="67"/>
          </reference>
        </references>
      </pivotArea>
    </format>
    <format dxfId="825">
      <pivotArea dataOnly="0" labelOnly="1" outline="0" fieldPosition="0">
        <references count="10">
          <reference field="0" count="1" selected="0">
            <x v="3"/>
          </reference>
          <reference field="1" count="1" selected="0">
            <x v="64"/>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9"/>
          </reference>
          <reference field="24" count="1" selected="0">
            <x v="66"/>
          </reference>
        </references>
      </pivotArea>
    </format>
    <format dxfId="824">
      <pivotArea dataOnly="0" labelOnly="1" outline="0" fieldPosition="0">
        <references count="10">
          <reference field="0" count="1" selected="0">
            <x v="3"/>
          </reference>
          <reference field="1" count="1" selected="0">
            <x v="65"/>
          </reference>
          <reference field="5" count="1" selected="0">
            <x v="2"/>
          </reference>
          <reference field="13" count="1" selected="0">
            <x v="100"/>
          </reference>
          <reference field="17" count="1">
            <x v="0"/>
          </reference>
          <reference field="20" count="1" selected="0">
            <x v="0"/>
          </reference>
          <reference field="21" count="1" selected="0">
            <x v="0"/>
          </reference>
          <reference field="22" count="1" selected="0">
            <x v="0"/>
          </reference>
          <reference field="23" count="1" selected="0">
            <x v="101"/>
          </reference>
          <reference field="24" count="1" selected="0">
            <x v="45"/>
          </reference>
        </references>
      </pivotArea>
    </format>
    <format dxfId="823">
      <pivotArea dataOnly="0" labelOnly="1" outline="0" fieldPosition="0">
        <references count="10">
          <reference field="0" count="1" selected="0">
            <x v="3"/>
          </reference>
          <reference field="1" count="1" selected="0">
            <x v="66"/>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56"/>
          </reference>
          <reference field="24" count="1" selected="0">
            <x v="68"/>
          </reference>
        </references>
      </pivotArea>
    </format>
    <format dxfId="822">
      <pivotArea dataOnly="0" labelOnly="1" outline="0" fieldPosition="0">
        <references count="10">
          <reference field="0" count="1" selected="0">
            <x v="3"/>
          </reference>
          <reference field="1" count="1" selected="0">
            <x v="67"/>
          </reference>
          <reference field="5" count="1" selected="0">
            <x v="2"/>
          </reference>
          <reference field="13" count="1" selected="0">
            <x v="101"/>
          </reference>
          <reference field="17" count="1">
            <x v="77"/>
          </reference>
          <reference field="20" count="1" selected="0">
            <x v="0"/>
          </reference>
          <reference field="21" count="1" selected="0">
            <x v="0"/>
          </reference>
          <reference field="22" count="1" selected="0">
            <x v="0"/>
          </reference>
          <reference field="23" count="1" selected="0">
            <x v="111"/>
          </reference>
          <reference field="24" count="1" selected="0">
            <x v="68"/>
          </reference>
        </references>
      </pivotArea>
    </format>
    <format dxfId="821">
      <pivotArea dataOnly="0" labelOnly="1" outline="0" fieldPosition="0">
        <references count="10">
          <reference field="0" count="1" selected="0">
            <x v="2"/>
          </reference>
          <reference field="1" count="1" selected="0">
            <x v="68"/>
          </reference>
          <reference field="5" count="1" selected="0">
            <x v="2"/>
          </reference>
          <reference field="13" count="1" selected="0">
            <x v="102"/>
          </reference>
          <reference field="17" count="1">
            <x v="78"/>
          </reference>
          <reference field="20" count="1" selected="0">
            <x v="0"/>
          </reference>
          <reference field="21" count="1" selected="0">
            <x v="0"/>
          </reference>
          <reference field="22" count="1" selected="0">
            <x v="4"/>
          </reference>
          <reference field="23" count="1" selected="0">
            <x v="0"/>
          </reference>
          <reference field="24" count="1" selected="0">
            <x v="68"/>
          </reference>
        </references>
      </pivotArea>
    </format>
    <format dxfId="820">
      <pivotArea dataOnly="0" labelOnly="1" outline="0" fieldPosition="0">
        <references count="10">
          <reference field="0" count="1" selected="0">
            <x v="2"/>
          </reference>
          <reference field="1" count="1" selected="0">
            <x v="6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5"/>
          </reference>
          <reference field="23" count="1" selected="0">
            <x v="0"/>
          </reference>
          <reference field="24" count="1" selected="0">
            <x v="80"/>
          </reference>
        </references>
      </pivotArea>
    </format>
    <format dxfId="819">
      <pivotArea dataOnly="0" labelOnly="1" outline="0" fieldPosition="0">
        <references count="10">
          <reference field="0" count="1" selected="0">
            <x v="3"/>
          </reference>
          <reference field="1" count="1" selected="0">
            <x v="70"/>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67"/>
          </reference>
          <reference field="24" count="1" selected="0">
            <x v="67"/>
          </reference>
        </references>
      </pivotArea>
    </format>
    <format dxfId="818">
      <pivotArea dataOnly="0" labelOnly="1" outline="0" fieldPosition="0">
        <references count="10">
          <reference field="0" count="1" selected="0">
            <x v="3"/>
          </reference>
          <reference field="1" count="1" selected="0">
            <x v="71"/>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1"/>
          </reference>
          <reference field="24" count="1" selected="0">
            <x v="67"/>
          </reference>
        </references>
      </pivotArea>
    </format>
    <format dxfId="817">
      <pivotArea dataOnly="0" labelOnly="1" outline="0" fieldPosition="0">
        <references count="10">
          <reference field="0" count="1" selected="0">
            <x v="3"/>
          </reference>
          <reference field="1" count="1" selected="0">
            <x v="72"/>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8"/>
          </reference>
          <reference field="24" count="1" selected="0">
            <x v="67"/>
          </reference>
        </references>
      </pivotArea>
    </format>
    <format dxfId="816">
      <pivotArea dataOnly="0" labelOnly="1" outline="0" fieldPosition="0">
        <references count="10">
          <reference field="0" count="1" selected="0">
            <x v="3"/>
          </reference>
          <reference field="1" count="1" selected="0">
            <x v="73"/>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60"/>
          </reference>
          <reference field="24" count="1" selected="0">
            <x v="39"/>
          </reference>
        </references>
      </pivotArea>
    </format>
    <format dxfId="815">
      <pivotArea dataOnly="0" labelOnly="1" outline="0" fieldPosition="0">
        <references count="10">
          <reference field="0" count="1" selected="0">
            <x v="3"/>
          </reference>
          <reference field="1" count="1" selected="0">
            <x v="74"/>
          </reference>
          <reference field="5" count="1" selected="0">
            <x v="2"/>
          </reference>
          <reference field="13" count="1" selected="0">
            <x v="103"/>
          </reference>
          <reference field="17" count="1">
            <x v="79"/>
          </reference>
          <reference field="20" count="1" selected="0">
            <x v="0"/>
          </reference>
          <reference field="21" count="1" selected="0">
            <x v="0"/>
          </reference>
          <reference field="22" count="1" selected="0">
            <x v="0"/>
          </reference>
          <reference field="23" count="1" selected="0">
            <x v="94"/>
          </reference>
          <reference field="24" count="1" selected="0">
            <x v="76"/>
          </reference>
        </references>
      </pivotArea>
    </format>
    <format dxfId="814">
      <pivotArea dataOnly="0" labelOnly="1" outline="0" fieldPosition="0">
        <references count="10">
          <reference field="0" count="1" selected="0">
            <x v="3"/>
          </reference>
          <reference field="1" count="1" selected="0">
            <x v="75"/>
          </reference>
          <reference field="5" count="1" selected="0">
            <x v="2"/>
          </reference>
          <reference field="13" count="1" selected="0">
            <x v="104"/>
          </reference>
          <reference field="17" count="1">
            <x v="80"/>
          </reference>
          <reference field="20" count="1" selected="0">
            <x v="0"/>
          </reference>
          <reference field="21" count="1" selected="0">
            <x v="0"/>
          </reference>
          <reference field="22" count="1" selected="0">
            <x v="0"/>
          </reference>
          <reference field="23" count="1" selected="0">
            <x v="112"/>
          </reference>
          <reference field="24" count="1" selected="0">
            <x v="68"/>
          </reference>
        </references>
      </pivotArea>
    </format>
    <format dxfId="813">
      <pivotArea dataOnly="0" labelOnly="1" outline="0" fieldPosition="0">
        <references count="10">
          <reference field="0" count="1" selected="0">
            <x v="3"/>
          </reference>
          <reference field="1" count="1" selected="0">
            <x v="76"/>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8"/>
          </reference>
          <reference field="24" count="1" selected="0">
            <x v="48"/>
          </reference>
        </references>
      </pivotArea>
    </format>
    <format dxfId="812">
      <pivotArea dataOnly="0" labelOnly="1" outline="0" fieldPosition="0">
        <references count="10">
          <reference field="0" count="1" selected="0">
            <x v="3"/>
          </reference>
          <reference field="1" count="1" selected="0">
            <x v="77"/>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4"/>
          </reference>
          <reference field="24" count="1" selected="0">
            <x v="48"/>
          </reference>
        </references>
      </pivotArea>
    </format>
    <format dxfId="811">
      <pivotArea dataOnly="0" labelOnly="1" outline="0" fieldPosition="0">
        <references count="10">
          <reference field="0" count="1" selected="0">
            <x v="1"/>
          </reference>
          <reference field="1" count="1" selected="0">
            <x v="78"/>
          </reference>
          <reference field="5" count="1" selected="0">
            <x v="2"/>
          </reference>
          <reference field="13" count="1" selected="0">
            <x v="0"/>
          </reference>
          <reference field="17" count="1">
            <x v="0"/>
          </reference>
          <reference field="20" count="1" selected="0">
            <x v="0"/>
          </reference>
          <reference field="21" count="1" selected="0">
            <x v="11"/>
          </reference>
          <reference field="22" count="1" selected="0">
            <x v="0"/>
          </reference>
          <reference field="23" count="1" selected="0">
            <x v="0"/>
          </reference>
          <reference field="24" count="1" selected="0">
            <x v="80"/>
          </reference>
        </references>
      </pivotArea>
    </format>
    <format dxfId="810">
      <pivotArea dataOnly="0" labelOnly="1" outline="0" fieldPosition="0">
        <references count="10">
          <reference field="0" count="1" selected="0">
            <x v="2"/>
          </reference>
          <reference field="1" count="1" selected="0">
            <x v="7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6"/>
          </reference>
          <reference field="23" count="1" selected="0">
            <x v="0"/>
          </reference>
          <reference field="24" count="1" selected="0">
            <x v="80"/>
          </reference>
        </references>
      </pivotArea>
    </format>
    <format dxfId="809">
      <pivotArea dataOnly="0" labelOnly="1" outline="0" fieldPosition="0">
        <references count="10">
          <reference field="0" count="1" selected="0">
            <x v="3"/>
          </reference>
          <reference field="1" count="1" selected="0">
            <x v="80"/>
          </reference>
          <reference field="5" count="1" selected="0">
            <x v="2"/>
          </reference>
          <reference field="13" count="1" selected="0">
            <x v="105"/>
          </reference>
          <reference field="17" count="1">
            <x v="81"/>
          </reference>
          <reference field="20" count="1" selected="0">
            <x v="0"/>
          </reference>
          <reference field="21" count="1" selected="0">
            <x v="0"/>
          </reference>
          <reference field="22" count="1" selected="0">
            <x v="0"/>
          </reference>
          <reference field="23" count="1" selected="0">
            <x v="37"/>
          </reference>
          <reference field="24" count="1" selected="0">
            <x v="36"/>
          </reference>
        </references>
      </pivotArea>
    </format>
    <format dxfId="808">
      <pivotArea dataOnly="0" labelOnly="1" outline="0" fieldPosition="0">
        <references count="10">
          <reference field="0" count="1" selected="0">
            <x v="3"/>
          </reference>
          <reference field="1" count="1" selected="0">
            <x v="81"/>
          </reference>
          <reference field="5" count="1" selected="0">
            <x v="2"/>
          </reference>
          <reference field="13" count="1" selected="0">
            <x v="106"/>
          </reference>
          <reference field="17" count="1">
            <x v="82"/>
          </reference>
          <reference field="20" count="1" selected="0">
            <x v="0"/>
          </reference>
          <reference field="21" count="1" selected="0">
            <x v="0"/>
          </reference>
          <reference field="22" count="1" selected="0">
            <x v="0"/>
          </reference>
          <reference field="23" count="1" selected="0">
            <x v="12"/>
          </reference>
          <reference field="24" count="1" selected="0">
            <x v="36"/>
          </reference>
        </references>
      </pivotArea>
    </format>
    <format dxfId="807">
      <pivotArea dataOnly="0" labelOnly="1" outline="0" fieldPosition="0">
        <references count="10">
          <reference field="0" count="1" selected="0">
            <x v="3"/>
          </reference>
          <reference field="1" count="1" selected="0">
            <x v="82"/>
          </reference>
          <reference field="5" count="1" selected="0">
            <x v="2"/>
          </reference>
          <reference field="13" count="1" selected="0">
            <x v="107"/>
          </reference>
          <reference field="17" count="1">
            <x v="83"/>
          </reference>
          <reference field="20" count="1" selected="0">
            <x v="0"/>
          </reference>
          <reference field="21" count="1" selected="0">
            <x v="0"/>
          </reference>
          <reference field="22" count="1" selected="0">
            <x v="0"/>
          </reference>
          <reference field="23" count="1" selected="0">
            <x v="7"/>
          </reference>
          <reference field="24" count="1" selected="0">
            <x v="36"/>
          </reference>
        </references>
      </pivotArea>
    </format>
    <format dxfId="806">
      <pivotArea dataOnly="0" labelOnly="1" outline="0" fieldPosition="0">
        <references count="10">
          <reference field="0" count="1" selected="0">
            <x v="3"/>
          </reference>
          <reference field="1" count="1" selected="0">
            <x v="83"/>
          </reference>
          <reference field="5" count="1" selected="0">
            <x v="2"/>
          </reference>
          <reference field="13" count="1" selected="0">
            <x v="108"/>
          </reference>
          <reference field="17" count="1">
            <x v="84"/>
          </reference>
          <reference field="20" count="1" selected="0">
            <x v="0"/>
          </reference>
          <reference field="21" count="1" selected="0">
            <x v="0"/>
          </reference>
          <reference field="22" count="1" selected="0">
            <x v="0"/>
          </reference>
          <reference field="23" count="1" selected="0">
            <x v="9"/>
          </reference>
          <reference field="24" count="1" selected="0">
            <x v="36"/>
          </reference>
        </references>
      </pivotArea>
    </format>
    <format dxfId="805">
      <pivotArea dataOnly="0" labelOnly="1" outline="0" fieldPosition="0">
        <references count="10">
          <reference field="0" count="1" selected="0">
            <x v="3"/>
          </reference>
          <reference field="1" count="1" selected="0">
            <x v="84"/>
          </reference>
          <reference field="5" count="1" selected="0">
            <x v="2"/>
          </reference>
          <reference field="13" count="1" selected="0">
            <x v="109"/>
          </reference>
          <reference field="17" count="1">
            <x v="85"/>
          </reference>
          <reference field="20" count="1" selected="0">
            <x v="0"/>
          </reference>
          <reference field="21" count="1" selected="0">
            <x v="0"/>
          </reference>
          <reference field="22" count="1" selected="0">
            <x v="0"/>
          </reference>
          <reference field="23" count="1" selected="0">
            <x v="11"/>
          </reference>
          <reference field="24" count="1" selected="0">
            <x v="36"/>
          </reference>
        </references>
      </pivotArea>
    </format>
    <format dxfId="804">
      <pivotArea dataOnly="0" labelOnly="1" outline="0" fieldPosition="0">
        <references count="10">
          <reference field="0" count="1" selected="0">
            <x v="3"/>
          </reference>
          <reference field="1" count="1" selected="0">
            <x v="85"/>
          </reference>
          <reference field="5" count="1" selected="0">
            <x v="2"/>
          </reference>
          <reference field="13" count="1" selected="0">
            <x v="110"/>
          </reference>
          <reference field="17" count="1">
            <x v="86"/>
          </reference>
          <reference field="20" count="1" selected="0">
            <x v="0"/>
          </reference>
          <reference field="21" count="1" selected="0">
            <x v="0"/>
          </reference>
          <reference field="22" count="1" selected="0">
            <x v="0"/>
          </reference>
          <reference field="23" count="1" selected="0">
            <x v="6"/>
          </reference>
          <reference field="24" count="1" selected="0">
            <x v="36"/>
          </reference>
        </references>
      </pivotArea>
    </format>
    <format dxfId="803">
      <pivotArea dataOnly="0" labelOnly="1" outline="0" fieldPosition="0">
        <references count="10">
          <reference field="0" count="1" selected="0">
            <x v="3"/>
          </reference>
          <reference field="1" count="1" selected="0">
            <x v="86"/>
          </reference>
          <reference field="5" count="1" selected="0">
            <x v="2"/>
          </reference>
          <reference field="13" count="1" selected="0">
            <x v="111"/>
          </reference>
          <reference field="17" count="1">
            <x v="87"/>
          </reference>
          <reference field="20" count="1" selected="0">
            <x v="0"/>
          </reference>
          <reference field="21" count="1" selected="0">
            <x v="0"/>
          </reference>
          <reference field="22" count="1" selected="0">
            <x v="0"/>
          </reference>
          <reference field="23" count="1" selected="0">
            <x v="8"/>
          </reference>
          <reference field="24" count="1" selected="0">
            <x v="36"/>
          </reference>
        </references>
      </pivotArea>
    </format>
    <format dxfId="802">
      <pivotArea dataOnly="0" labelOnly="1" outline="0" fieldPosition="0">
        <references count="10">
          <reference field="0" count="1" selected="0">
            <x v="3"/>
          </reference>
          <reference field="1" count="1" selected="0">
            <x v="87"/>
          </reference>
          <reference field="5" count="1" selected="0">
            <x v="2"/>
          </reference>
          <reference field="13" count="1" selected="0">
            <x v="112"/>
          </reference>
          <reference field="17" count="1">
            <x v="88"/>
          </reference>
          <reference field="20" count="1" selected="0">
            <x v="0"/>
          </reference>
          <reference field="21" count="1" selected="0">
            <x v="0"/>
          </reference>
          <reference field="22" count="1" selected="0">
            <x v="0"/>
          </reference>
          <reference field="23" count="1" selected="0">
            <x v="10"/>
          </reference>
          <reference field="24" count="1" selected="0">
            <x v="36"/>
          </reference>
        </references>
      </pivotArea>
    </format>
    <format dxfId="801">
      <pivotArea dataOnly="0" labelOnly="1" outline="0" fieldPosition="0">
        <references count="10">
          <reference field="0" count="1" selected="0">
            <x v="3"/>
          </reference>
          <reference field="1" count="1" selected="0">
            <x v="88"/>
          </reference>
          <reference field="5" count="1" selected="0">
            <x v="2"/>
          </reference>
          <reference field="13" count="1" selected="0">
            <x v="113"/>
          </reference>
          <reference field="17" count="1">
            <x v="89"/>
          </reference>
          <reference field="20" count="1" selected="0">
            <x v="0"/>
          </reference>
          <reference field="21" count="1" selected="0">
            <x v="0"/>
          </reference>
          <reference field="22" count="1" selected="0">
            <x v="0"/>
          </reference>
          <reference field="23" count="1" selected="0">
            <x v="13"/>
          </reference>
          <reference field="24" count="1" selected="0">
            <x v="36"/>
          </reference>
        </references>
      </pivotArea>
    </format>
    <format dxfId="800">
      <pivotArea dataOnly="0" labelOnly="1" outline="0" fieldPosition="0">
        <references count="10">
          <reference field="0" count="1" selected="0">
            <x v="3"/>
          </reference>
          <reference field="1" count="1" selected="0">
            <x v="89"/>
          </reference>
          <reference field="5" count="1" selected="0">
            <x v="2"/>
          </reference>
          <reference field="13" count="1" selected="0">
            <x v="114"/>
          </reference>
          <reference field="17" count="1">
            <x v="90"/>
          </reference>
          <reference field="20" count="1" selected="0">
            <x v="0"/>
          </reference>
          <reference field="21" count="1" selected="0">
            <x v="0"/>
          </reference>
          <reference field="22" count="1" selected="0">
            <x v="0"/>
          </reference>
          <reference field="23" count="1" selected="0">
            <x v="1"/>
          </reference>
          <reference field="24" count="1" selected="0">
            <x v="36"/>
          </reference>
        </references>
      </pivotArea>
    </format>
    <format dxfId="799">
      <pivotArea dataOnly="0" labelOnly="1" outline="0" fieldPosition="0">
        <references count="10">
          <reference field="0" count="1" selected="0">
            <x v="2"/>
          </reference>
          <reference field="1" count="1" selected="0">
            <x v="9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9"/>
          </reference>
          <reference field="23" count="1" selected="0">
            <x v="0"/>
          </reference>
          <reference field="24" count="1" selected="0">
            <x v="80"/>
          </reference>
        </references>
      </pivotArea>
    </format>
    <format dxfId="798">
      <pivotArea dataOnly="0" labelOnly="1" outline="0" fieldPosition="0">
        <references count="10">
          <reference field="0" count="1" selected="0">
            <x v="3"/>
          </reference>
          <reference field="1" count="1" selected="0">
            <x v="91"/>
          </reference>
          <reference field="5" count="1" selected="0">
            <x v="2"/>
          </reference>
          <reference field="13" count="1" selected="0">
            <x v="115"/>
          </reference>
          <reference field="17" count="1">
            <x v="91"/>
          </reference>
          <reference field="20" count="1" selected="0">
            <x v="0"/>
          </reference>
          <reference field="21" count="1" selected="0">
            <x v="0"/>
          </reference>
          <reference field="22" count="1" selected="0">
            <x v="0"/>
          </reference>
          <reference field="23" count="1" selected="0">
            <x v="37"/>
          </reference>
          <reference field="24" count="1" selected="0">
            <x v="35"/>
          </reference>
        </references>
      </pivotArea>
    </format>
    <format dxfId="797">
      <pivotArea dataOnly="0" labelOnly="1" outline="0" fieldPosition="0">
        <references count="10">
          <reference field="0" count="1" selected="0">
            <x v="3"/>
          </reference>
          <reference field="1" count="1" selected="0">
            <x v="92"/>
          </reference>
          <reference field="5" count="1" selected="0">
            <x v="2"/>
          </reference>
          <reference field="13" count="1" selected="0">
            <x v="116"/>
          </reference>
          <reference field="17" count="1">
            <x v="92"/>
          </reference>
          <reference field="20" count="1" selected="0">
            <x v="0"/>
          </reference>
          <reference field="21" count="1" selected="0">
            <x v="0"/>
          </reference>
          <reference field="22" count="1" selected="0">
            <x v="0"/>
          </reference>
          <reference field="23" count="1" selected="0">
            <x v="12"/>
          </reference>
          <reference field="24" count="1" selected="0">
            <x v="35"/>
          </reference>
        </references>
      </pivotArea>
    </format>
    <format dxfId="796">
      <pivotArea dataOnly="0" labelOnly="1" outline="0" fieldPosition="0">
        <references count="10">
          <reference field="0" count="1" selected="0">
            <x v="3"/>
          </reference>
          <reference field="1" count="1" selected="0">
            <x v="93"/>
          </reference>
          <reference field="5" count="1" selected="0">
            <x v="2"/>
          </reference>
          <reference field="13" count="1" selected="0">
            <x v="117"/>
          </reference>
          <reference field="17" count="1">
            <x v="93"/>
          </reference>
          <reference field="20" count="1" selected="0">
            <x v="0"/>
          </reference>
          <reference field="21" count="1" selected="0">
            <x v="0"/>
          </reference>
          <reference field="22" count="1" selected="0">
            <x v="0"/>
          </reference>
          <reference field="23" count="1" selected="0">
            <x v="7"/>
          </reference>
          <reference field="24" count="1" selected="0">
            <x v="35"/>
          </reference>
        </references>
      </pivotArea>
    </format>
    <format dxfId="795">
      <pivotArea dataOnly="0" labelOnly="1" outline="0" fieldPosition="0">
        <references count="10">
          <reference field="0" count="1" selected="0">
            <x v="3"/>
          </reference>
          <reference field="1" count="1" selected="0">
            <x v="94"/>
          </reference>
          <reference field="5" count="1" selected="0">
            <x v="2"/>
          </reference>
          <reference field="13" count="1" selected="0">
            <x v="118"/>
          </reference>
          <reference field="17" count="1">
            <x v="94"/>
          </reference>
          <reference field="20" count="1" selected="0">
            <x v="0"/>
          </reference>
          <reference field="21" count="1" selected="0">
            <x v="0"/>
          </reference>
          <reference field="22" count="1" selected="0">
            <x v="0"/>
          </reference>
          <reference field="23" count="1" selected="0">
            <x v="9"/>
          </reference>
          <reference field="24" count="1" selected="0">
            <x v="35"/>
          </reference>
        </references>
      </pivotArea>
    </format>
    <format dxfId="794">
      <pivotArea dataOnly="0" labelOnly="1" outline="0" fieldPosition="0">
        <references count="10">
          <reference field="0" count="1" selected="0">
            <x v="3"/>
          </reference>
          <reference field="1" count="1" selected="0">
            <x v="95"/>
          </reference>
          <reference field="5" count="1" selected="0">
            <x v="2"/>
          </reference>
          <reference field="13" count="1" selected="0">
            <x v="119"/>
          </reference>
          <reference field="17" count="1">
            <x v="95"/>
          </reference>
          <reference field="20" count="1" selected="0">
            <x v="0"/>
          </reference>
          <reference field="21" count="1" selected="0">
            <x v="0"/>
          </reference>
          <reference field="22" count="1" selected="0">
            <x v="0"/>
          </reference>
          <reference field="23" count="1" selected="0">
            <x v="11"/>
          </reference>
          <reference field="24" count="1" selected="0">
            <x v="35"/>
          </reference>
        </references>
      </pivotArea>
    </format>
    <format dxfId="793">
      <pivotArea dataOnly="0" labelOnly="1" outline="0" fieldPosition="0">
        <references count="10">
          <reference field="0" count="1" selected="0">
            <x v="3"/>
          </reference>
          <reference field="1" count="1" selected="0">
            <x v="96"/>
          </reference>
          <reference field="5" count="1" selected="0">
            <x v="2"/>
          </reference>
          <reference field="13" count="1" selected="0">
            <x v="120"/>
          </reference>
          <reference field="17" count="1">
            <x v="96"/>
          </reference>
          <reference field="20" count="1" selected="0">
            <x v="0"/>
          </reference>
          <reference field="21" count="1" selected="0">
            <x v="0"/>
          </reference>
          <reference field="22" count="1" selected="0">
            <x v="0"/>
          </reference>
          <reference field="23" count="1" selected="0">
            <x v="6"/>
          </reference>
          <reference field="24" count="1" selected="0">
            <x v="35"/>
          </reference>
        </references>
      </pivotArea>
    </format>
    <format dxfId="792">
      <pivotArea dataOnly="0" labelOnly="1" outline="0" fieldPosition="0">
        <references count="10">
          <reference field="0" count="1" selected="0">
            <x v="3"/>
          </reference>
          <reference field="1" count="1" selected="0">
            <x v="97"/>
          </reference>
          <reference field="5" count="1" selected="0">
            <x v="2"/>
          </reference>
          <reference field="13" count="1" selected="0">
            <x v="121"/>
          </reference>
          <reference field="17" count="1">
            <x v="97"/>
          </reference>
          <reference field="20" count="1" selected="0">
            <x v="0"/>
          </reference>
          <reference field="21" count="1" selected="0">
            <x v="0"/>
          </reference>
          <reference field="22" count="1" selected="0">
            <x v="0"/>
          </reference>
          <reference field="23" count="1" selected="0">
            <x v="8"/>
          </reference>
          <reference field="24" count="1" selected="0">
            <x v="35"/>
          </reference>
        </references>
      </pivotArea>
    </format>
    <format dxfId="791">
      <pivotArea dataOnly="0" labelOnly="1" outline="0" fieldPosition="0">
        <references count="10">
          <reference field="0" count="1" selected="0">
            <x v="3"/>
          </reference>
          <reference field="1" count="1" selected="0">
            <x v="98"/>
          </reference>
          <reference field="5" count="1" selected="0">
            <x v="2"/>
          </reference>
          <reference field="13" count="1" selected="0">
            <x v="122"/>
          </reference>
          <reference field="17" count="1">
            <x v="98"/>
          </reference>
          <reference field="20" count="1" selected="0">
            <x v="0"/>
          </reference>
          <reference field="21" count="1" selected="0">
            <x v="0"/>
          </reference>
          <reference field="22" count="1" selected="0">
            <x v="0"/>
          </reference>
          <reference field="23" count="1" selected="0">
            <x v="10"/>
          </reference>
          <reference field="24" count="1" selected="0">
            <x v="35"/>
          </reference>
        </references>
      </pivotArea>
    </format>
    <format dxfId="790">
      <pivotArea dataOnly="0" labelOnly="1" outline="0" fieldPosition="0">
        <references count="10">
          <reference field="0" count="1" selected="0">
            <x v="3"/>
          </reference>
          <reference field="1" count="1" selected="0">
            <x v="99"/>
          </reference>
          <reference field="5" count="1" selected="0">
            <x v="2"/>
          </reference>
          <reference field="13" count="1" selected="0">
            <x v="123"/>
          </reference>
          <reference field="17" count="1">
            <x v="99"/>
          </reference>
          <reference field="20" count="1" selected="0">
            <x v="0"/>
          </reference>
          <reference field="21" count="1" selected="0">
            <x v="0"/>
          </reference>
          <reference field="22" count="1" selected="0">
            <x v="0"/>
          </reference>
          <reference field="23" count="1" selected="0">
            <x v="13"/>
          </reference>
          <reference field="24" count="1" selected="0">
            <x v="35"/>
          </reference>
        </references>
      </pivotArea>
    </format>
    <format dxfId="789">
      <pivotArea dataOnly="0" labelOnly="1" outline="0" fieldPosition="0">
        <references count="10">
          <reference field="0" count="1" selected="0">
            <x v="3"/>
          </reference>
          <reference field="1" count="1" selected="0">
            <x v="100"/>
          </reference>
          <reference field="5" count="1" selected="0">
            <x v="2"/>
          </reference>
          <reference field="13" count="1" selected="0">
            <x v="124"/>
          </reference>
          <reference field="17" count="1">
            <x v="100"/>
          </reference>
          <reference field="20" count="1" selected="0">
            <x v="0"/>
          </reference>
          <reference field="21" count="1" selected="0">
            <x v="0"/>
          </reference>
          <reference field="22" count="1" selected="0">
            <x v="0"/>
          </reference>
          <reference field="23" count="1" selected="0">
            <x v="1"/>
          </reference>
          <reference field="24" count="1" selected="0">
            <x v="35"/>
          </reference>
        </references>
      </pivotArea>
    </format>
    <format dxfId="788">
      <pivotArea dataOnly="0" labelOnly="1" outline="0" fieldPosition="0">
        <references count="10">
          <reference field="0" count="1" selected="0">
            <x v="2"/>
          </reference>
          <reference field="1" count="1" selected="0">
            <x v="10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0"/>
          </reference>
          <reference field="23" count="1" selected="0">
            <x v="0"/>
          </reference>
          <reference field="24" count="1" selected="0">
            <x v="80"/>
          </reference>
        </references>
      </pivotArea>
    </format>
    <format dxfId="787">
      <pivotArea dataOnly="0" labelOnly="1" outline="0" fieldPosition="0">
        <references count="10">
          <reference field="0" count="1" selected="0">
            <x v="3"/>
          </reference>
          <reference field="1" count="1" selected="0">
            <x v="102"/>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4"/>
          </reference>
          <reference field="24" count="1" selected="0">
            <x v="33"/>
          </reference>
        </references>
      </pivotArea>
    </format>
    <format dxfId="786">
      <pivotArea dataOnly="0" labelOnly="1" outline="0" fieldPosition="0">
        <references count="10">
          <reference field="0" count="1" selected="0">
            <x v="3"/>
          </reference>
          <reference field="1" count="1" selected="0">
            <x v="103"/>
          </reference>
          <reference field="5" count="1" selected="0">
            <x v="2"/>
          </reference>
          <reference field="13" count="1" selected="0">
            <x v="125"/>
          </reference>
          <reference field="17" count="1">
            <x v="101"/>
          </reference>
          <reference field="20" count="1" selected="0">
            <x v="0"/>
          </reference>
          <reference field="21" count="1" selected="0">
            <x v="0"/>
          </reference>
          <reference field="22" count="1" selected="0">
            <x v="0"/>
          </reference>
          <reference field="23" count="1" selected="0">
            <x v="49"/>
          </reference>
          <reference field="24" count="1" selected="0">
            <x v="29"/>
          </reference>
        </references>
      </pivotArea>
    </format>
    <format dxfId="785">
      <pivotArea dataOnly="0" labelOnly="1" outline="0" fieldPosition="0">
        <references count="10">
          <reference field="0" count="1" selected="0">
            <x v="3"/>
          </reference>
          <reference field="1" count="1" selected="0">
            <x v="104"/>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1"/>
          </reference>
          <reference field="24" count="1" selected="0">
            <x v="30"/>
          </reference>
        </references>
      </pivotArea>
    </format>
    <format dxfId="784">
      <pivotArea dataOnly="0" labelOnly="1" outline="0" fieldPosition="0">
        <references count="10">
          <reference field="0" count="1" selected="0">
            <x v="3"/>
          </reference>
          <reference field="1" count="1" selected="0">
            <x v="105"/>
          </reference>
          <reference field="5" count="1" selected="0">
            <x v="2"/>
          </reference>
          <reference field="13" count="1" selected="0">
            <x v="125"/>
          </reference>
          <reference field="17" count="1">
            <x v="101"/>
          </reference>
          <reference field="20" count="1" selected="0">
            <x v="0"/>
          </reference>
          <reference field="21" count="1" selected="0">
            <x v="0"/>
          </reference>
          <reference field="22" count="1" selected="0">
            <x v="0"/>
          </reference>
          <reference field="23" count="1" selected="0">
            <x v="48"/>
          </reference>
          <reference field="24" count="1" selected="0">
            <x v="29"/>
          </reference>
        </references>
      </pivotArea>
    </format>
    <format dxfId="783">
      <pivotArea dataOnly="0" labelOnly="1" outline="0" fieldPosition="0">
        <references count="10">
          <reference field="0" count="1" selected="0">
            <x v="3"/>
          </reference>
          <reference field="1" count="1" selected="0">
            <x v="106"/>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50"/>
          </reference>
          <reference field="24" count="1" selected="0">
            <x v="31"/>
          </reference>
        </references>
      </pivotArea>
    </format>
    <format dxfId="782">
      <pivotArea dataOnly="0" labelOnly="1" outline="0" fieldPosition="0">
        <references count="10">
          <reference field="0" count="1" selected="0">
            <x v="3"/>
          </reference>
          <reference field="1" count="1" selected="0">
            <x v="107"/>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3"/>
          </reference>
          <reference field="24" count="1" selected="0">
            <x v="69"/>
          </reference>
        </references>
      </pivotArea>
    </format>
    <format dxfId="781">
      <pivotArea dataOnly="0" labelOnly="1" outline="0" fieldPosition="0">
        <references count="10">
          <reference field="0" count="1" selected="0">
            <x v="3"/>
          </reference>
          <reference field="1" count="1" selected="0">
            <x v="108"/>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82"/>
          </reference>
          <reference field="24" count="1" selected="0">
            <x v="58"/>
          </reference>
        </references>
      </pivotArea>
    </format>
    <format dxfId="780">
      <pivotArea dataOnly="0" labelOnly="1" outline="0" fieldPosition="0">
        <references count="10">
          <reference field="0" count="1" selected="0">
            <x v="3"/>
          </reference>
          <reference field="1" count="1" selected="0">
            <x v="109"/>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95"/>
          </reference>
          <reference field="24" count="1" selected="0">
            <x v="73"/>
          </reference>
        </references>
      </pivotArea>
    </format>
    <format dxfId="779">
      <pivotArea dataOnly="0" labelOnly="1" outline="0" fieldPosition="0">
        <references count="10">
          <reference field="0" count="1" selected="0">
            <x v="3"/>
          </reference>
          <reference field="1" count="1" selected="0">
            <x v="110"/>
          </reference>
          <reference field="5" count="1" selected="0">
            <x v="2"/>
          </reference>
          <reference field="13" count="1" selected="0">
            <x v="126"/>
          </reference>
          <reference field="17" count="1">
            <x v="102"/>
          </reference>
          <reference field="20" count="1" selected="0">
            <x v="0"/>
          </reference>
          <reference field="21" count="1" selected="0">
            <x v="0"/>
          </reference>
          <reference field="22" count="1" selected="0">
            <x v="0"/>
          </reference>
          <reference field="23" count="1" selected="0">
            <x v="83"/>
          </reference>
          <reference field="24" count="1" selected="0">
            <x v="23"/>
          </reference>
        </references>
      </pivotArea>
    </format>
    <format dxfId="778">
      <pivotArea dataOnly="0" labelOnly="1" outline="0" fieldPosition="0">
        <references count="10">
          <reference field="0" count="1" selected="0">
            <x v="2"/>
          </reference>
          <reference field="1" count="1" selected="0">
            <x v="11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8"/>
          </reference>
          <reference field="23" count="1" selected="0">
            <x v="0"/>
          </reference>
          <reference field="24" count="1" selected="0">
            <x v="80"/>
          </reference>
        </references>
      </pivotArea>
    </format>
    <format dxfId="777">
      <pivotArea dataOnly="0" labelOnly="1" outline="0" fieldPosition="0">
        <references count="10">
          <reference field="0" count="1" selected="0">
            <x v="3"/>
          </reference>
          <reference field="1" count="1" selected="0">
            <x v="112"/>
          </reference>
          <reference field="5" count="1" selected="0">
            <x v="2"/>
          </reference>
          <reference field="13" count="1" selected="0">
            <x v="82"/>
          </reference>
          <reference field="17" count="1">
            <x v="61"/>
          </reference>
          <reference field="20" count="1" selected="0">
            <x v="0"/>
          </reference>
          <reference field="21" count="1" selected="0">
            <x v="0"/>
          </reference>
          <reference field="22" count="1" selected="0">
            <x v="0"/>
          </reference>
          <reference field="23" count="1" selected="0">
            <x v="52"/>
          </reference>
          <reference field="24" count="1" selected="0">
            <x v="49"/>
          </reference>
        </references>
      </pivotArea>
    </format>
    <format dxfId="776">
      <pivotArea dataOnly="0" labelOnly="1" outline="0" fieldPosition="0">
        <references count="10">
          <reference field="0" count="1" selected="0">
            <x v="3"/>
          </reference>
          <reference field="1" count="1" selected="0">
            <x v="113"/>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24"/>
          </reference>
          <reference field="24" count="1" selected="0">
            <x v="20"/>
          </reference>
        </references>
      </pivotArea>
    </format>
    <format dxfId="775">
      <pivotArea dataOnly="0" labelOnly="1" outline="0" fieldPosition="0">
        <references count="10">
          <reference field="0" count="1" selected="0">
            <x v="3"/>
          </reference>
          <reference field="1" count="1" selected="0">
            <x v="114"/>
          </reference>
          <reference field="5" count="1" selected="0">
            <x v="2"/>
          </reference>
          <reference field="13" count="1" selected="0">
            <x v="127"/>
          </reference>
          <reference field="17" count="1">
            <x v="103"/>
          </reference>
          <reference field="20" count="1" selected="0">
            <x v="0"/>
          </reference>
          <reference field="21" count="1" selected="0">
            <x v="0"/>
          </reference>
          <reference field="22" count="1" selected="0">
            <x v="0"/>
          </reference>
          <reference field="23" count="1" selected="0">
            <x v="77"/>
          </reference>
          <reference field="24" count="1" selected="0">
            <x v="13"/>
          </reference>
        </references>
      </pivotArea>
    </format>
    <format dxfId="774">
      <pivotArea dataOnly="0" labelOnly="1" outline="0" fieldPosition="0">
        <references count="10">
          <reference field="0" count="1" selected="0">
            <x v="3"/>
          </reference>
          <reference field="1" count="1" selected="0">
            <x v="115"/>
          </reference>
          <reference field="5" count="1" selected="0">
            <x v="2"/>
          </reference>
          <reference field="13" count="1" selected="0">
            <x v="89"/>
          </reference>
          <reference field="17" count="1">
            <x v="67"/>
          </reference>
          <reference field="20" count="1" selected="0">
            <x v="0"/>
          </reference>
          <reference field="21" count="1" selected="0">
            <x v="0"/>
          </reference>
          <reference field="22" count="1" selected="0">
            <x v="0"/>
          </reference>
          <reference field="23" count="1" selected="0">
            <x v="29"/>
          </reference>
          <reference field="24" count="1" selected="0">
            <x v="14"/>
          </reference>
        </references>
      </pivotArea>
    </format>
    <format dxfId="773">
      <pivotArea dataOnly="0" labelOnly="1" outline="0" fieldPosition="0">
        <references count="10">
          <reference field="0" count="1" selected="0">
            <x v="3"/>
          </reference>
          <reference field="1" count="1" selected="0">
            <x v="116"/>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22"/>
          </reference>
          <reference field="24" count="1" selected="0">
            <x v="47"/>
          </reference>
        </references>
      </pivotArea>
    </format>
    <format dxfId="772">
      <pivotArea dataOnly="0" labelOnly="1" outline="0" fieldPosition="0">
        <references count="10">
          <reference field="0" count="1" selected="0">
            <x v="2"/>
          </reference>
          <reference field="1" count="1" selected="0">
            <x v="11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1"/>
          </reference>
          <reference field="23" count="1" selected="0">
            <x v="0"/>
          </reference>
          <reference field="24" count="1" selected="0">
            <x v="80"/>
          </reference>
        </references>
      </pivotArea>
    </format>
    <format dxfId="771">
      <pivotArea dataOnly="0" labelOnly="1" outline="0" fieldPosition="0">
        <references count="10">
          <reference field="0" count="1" selected="0">
            <x v="3"/>
          </reference>
          <reference field="1" count="1" selected="0">
            <x v="118"/>
          </reference>
          <reference field="5" count="1" selected="0">
            <x v="2"/>
          </reference>
          <reference field="13" count="1" selected="0">
            <x v="128"/>
          </reference>
          <reference field="17" count="1">
            <x v="104"/>
          </reference>
          <reference field="20" count="1" selected="0">
            <x v="0"/>
          </reference>
          <reference field="21" count="1" selected="0">
            <x v="0"/>
          </reference>
          <reference field="22" count="1" selected="0">
            <x v="0"/>
          </reference>
          <reference field="23" count="1" selected="0">
            <x v="78"/>
          </reference>
          <reference field="24" count="1" selected="0">
            <x v="68"/>
          </reference>
        </references>
      </pivotArea>
    </format>
    <format dxfId="770">
      <pivotArea dataOnly="0" labelOnly="1" outline="0" fieldPosition="0">
        <references count="10">
          <reference field="0" count="1" selected="0">
            <x v="3"/>
          </reference>
          <reference field="1" count="1" selected="0">
            <x v="119"/>
          </reference>
          <reference field="5" count="1" selected="0">
            <x v="2"/>
          </reference>
          <reference field="13" count="1" selected="0">
            <x v="129"/>
          </reference>
          <reference field="17" count="1">
            <x v="105"/>
          </reference>
          <reference field="20" count="1" selected="0">
            <x v="0"/>
          </reference>
          <reference field="21" count="1" selected="0">
            <x v="0"/>
          </reference>
          <reference field="22" count="1" selected="0">
            <x v="0"/>
          </reference>
          <reference field="23" count="1" selected="0">
            <x v="79"/>
          </reference>
          <reference field="24" count="1" selected="0">
            <x v="44"/>
          </reference>
        </references>
      </pivotArea>
    </format>
    <format dxfId="769">
      <pivotArea dataOnly="0" labelOnly="1" outline="0" fieldPosition="0">
        <references count="10">
          <reference field="0" count="1" selected="0">
            <x v="3"/>
          </reference>
          <reference field="1" count="1" selected="0">
            <x v="120"/>
          </reference>
          <reference field="5" count="1" selected="0">
            <x v="2"/>
          </reference>
          <reference field="13" count="1" selected="0">
            <x v="130"/>
          </reference>
          <reference field="17" count="1">
            <x v="106"/>
          </reference>
          <reference field="20" count="1" selected="0">
            <x v="0"/>
          </reference>
          <reference field="21" count="1" selected="0">
            <x v="0"/>
          </reference>
          <reference field="22" count="1" selected="0">
            <x v="0"/>
          </reference>
          <reference field="23" count="1" selected="0">
            <x v="80"/>
          </reference>
          <reference field="24" count="1" selected="0">
            <x v="44"/>
          </reference>
        </references>
      </pivotArea>
    </format>
    <format dxfId="768">
      <pivotArea dataOnly="0" labelOnly="1" outline="0" fieldPosition="0">
        <references count="10">
          <reference field="0" count="1" selected="0">
            <x v="0"/>
          </reference>
          <reference field="1" count="1" selected="0">
            <x v="121"/>
          </reference>
          <reference field="5" count="1" selected="0">
            <x v="2"/>
          </reference>
          <reference field="13" count="1" selected="0">
            <x v="0"/>
          </reference>
          <reference field="17" count="1">
            <x v="0"/>
          </reference>
          <reference field="20" count="1" selected="0">
            <x v="2"/>
          </reference>
          <reference field="21" count="1" selected="0">
            <x v="0"/>
          </reference>
          <reference field="22" count="1" selected="0">
            <x v="0"/>
          </reference>
          <reference field="23" count="1" selected="0">
            <x v="0"/>
          </reference>
          <reference field="24" count="1" selected="0">
            <x v="80"/>
          </reference>
        </references>
      </pivotArea>
    </format>
    <format dxfId="767">
      <pivotArea dataOnly="0" labelOnly="1" outline="0" fieldPosition="0">
        <references count="10">
          <reference field="0" count="1" selected="0">
            <x v="2"/>
          </reference>
          <reference field="1" count="1" selected="0">
            <x v="12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0"/>
          </reference>
          <reference field="23" count="1" selected="0">
            <x v="0"/>
          </reference>
          <reference field="24" count="1" selected="0">
            <x v="80"/>
          </reference>
        </references>
      </pivotArea>
    </format>
    <format dxfId="766">
      <pivotArea dataOnly="0" labelOnly="1" outline="0" fieldPosition="0">
        <references count="10">
          <reference field="0" count="1" selected="0">
            <x v="3"/>
          </reference>
          <reference field="1" count="1" selected="0">
            <x v="12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2"/>
          </reference>
          <reference field="24" count="1" selected="0">
            <x v="1"/>
          </reference>
        </references>
      </pivotArea>
    </format>
    <format dxfId="765">
      <pivotArea dataOnly="0" labelOnly="1" outline="0" fieldPosition="0">
        <references count="10">
          <reference field="0" count="1" selected="0">
            <x v="3"/>
          </reference>
          <reference field="1" count="1" selected="0">
            <x v="124"/>
          </reference>
          <reference field="5" count="1" selected="0">
            <x v="2"/>
          </reference>
          <reference field="13" count="1" selected="0">
            <x v="131"/>
          </reference>
          <reference field="17" count="1">
            <x v="107"/>
          </reference>
          <reference field="20" count="1" selected="0">
            <x v="0"/>
          </reference>
          <reference field="21" count="1" selected="0">
            <x v="0"/>
          </reference>
          <reference field="22" count="1" selected="0">
            <x v="0"/>
          </reference>
          <reference field="23" count="1" selected="0">
            <x v="45"/>
          </reference>
          <reference field="24" count="1" selected="0">
            <x v="1"/>
          </reference>
        </references>
      </pivotArea>
    </format>
    <format dxfId="764">
      <pivotArea dataOnly="0" labelOnly="1" outline="0" fieldPosition="0">
        <references count="10">
          <reference field="0" count="1" selected="0">
            <x v="3"/>
          </reference>
          <reference field="1" count="1" selected="0">
            <x v="125"/>
          </reference>
          <reference field="5" count="1" selected="0">
            <x v="2"/>
          </reference>
          <reference field="13" count="1" selected="0">
            <x v="132"/>
          </reference>
          <reference field="17" count="1">
            <x v="108"/>
          </reference>
          <reference field="20" count="1" selected="0">
            <x v="0"/>
          </reference>
          <reference field="21" count="1" selected="0">
            <x v="0"/>
          </reference>
          <reference field="22" count="1" selected="0">
            <x v="0"/>
          </reference>
          <reference field="23" count="1" selected="0">
            <x v="43"/>
          </reference>
          <reference field="24" count="1" selected="0">
            <x v="1"/>
          </reference>
        </references>
      </pivotArea>
    </format>
    <format dxfId="763">
      <pivotArea dataOnly="0" labelOnly="1" outline="0" fieldPosition="0">
        <references count="10">
          <reference field="0" count="1" selected="0">
            <x v="3"/>
          </reference>
          <reference field="1" count="1" selected="0">
            <x v="126"/>
          </reference>
          <reference field="5" count="1" selected="0">
            <x v="2"/>
          </reference>
          <reference field="13" count="1" selected="0">
            <x v="133"/>
          </reference>
          <reference field="17" count="1">
            <x v="109"/>
          </reference>
          <reference field="20" count="1" selected="0">
            <x v="0"/>
          </reference>
          <reference field="21" count="1" selected="0">
            <x v="0"/>
          </reference>
          <reference field="22" count="1" selected="0">
            <x v="0"/>
          </reference>
          <reference field="23" count="1" selected="0">
            <x v="41"/>
          </reference>
          <reference field="24" count="1" selected="0">
            <x v="1"/>
          </reference>
        </references>
      </pivotArea>
    </format>
    <format dxfId="762">
      <pivotArea dataOnly="0" labelOnly="1" outline="0" fieldPosition="0">
        <references count="10">
          <reference field="0" count="1" selected="0">
            <x v="0"/>
          </reference>
          <reference field="1" count="1" selected="0">
            <x v="127"/>
          </reference>
          <reference field="5" count="1" selected="0">
            <x v="2"/>
          </reference>
          <reference field="13" count="1" selected="0">
            <x v="0"/>
          </reference>
          <reference field="17" count="1">
            <x v="0"/>
          </reference>
          <reference field="20" count="1" selected="0">
            <x v="1"/>
          </reference>
          <reference field="21" count="1" selected="0">
            <x v="0"/>
          </reference>
          <reference field="22" count="1" selected="0">
            <x v="0"/>
          </reference>
          <reference field="23" count="1" selected="0">
            <x v="0"/>
          </reference>
          <reference field="24" count="1" selected="0">
            <x v="80"/>
          </reference>
        </references>
      </pivotArea>
    </format>
    <format dxfId="761">
      <pivotArea dataOnly="0" labelOnly="1" outline="0" fieldPosition="0">
        <references count="10">
          <reference field="0" count="1" selected="0">
            <x v="1"/>
          </reference>
          <reference field="1" count="1" selected="0">
            <x v="128"/>
          </reference>
          <reference field="5" count="1" selected="0">
            <x v="2"/>
          </reference>
          <reference field="13" count="1" selected="0">
            <x v="0"/>
          </reference>
          <reference field="17" count="1">
            <x v="0"/>
          </reference>
          <reference field="20" count="1" selected="0">
            <x v="0"/>
          </reference>
          <reference field="21" count="1" selected="0">
            <x v="1"/>
          </reference>
          <reference field="22" count="1" selected="0">
            <x v="0"/>
          </reference>
          <reference field="23" count="1" selected="0">
            <x v="0"/>
          </reference>
          <reference field="24" count="1" selected="0">
            <x v="80"/>
          </reference>
        </references>
      </pivotArea>
    </format>
    <format dxfId="760">
      <pivotArea dataOnly="0" labelOnly="1" outline="0" fieldPosition="0">
        <references count="10">
          <reference field="0" count="1" selected="0">
            <x v="2"/>
          </reference>
          <reference field="1" count="1" selected="0">
            <x v="12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5"/>
          </reference>
          <reference field="23" count="1" selected="0">
            <x v="0"/>
          </reference>
          <reference field="24" count="1" selected="0">
            <x v="80"/>
          </reference>
        </references>
      </pivotArea>
    </format>
    <format dxfId="759">
      <pivotArea dataOnly="0" labelOnly="1" outline="0" fieldPosition="0">
        <references count="10">
          <reference field="0" count="1" selected="0">
            <x v="3"/>
          </reference>
          <reference field="1" count="1" selected="0">
            <x v="130"/>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30"/>
          </reference>
          <reference field="24" count="1" selected="0">
            <x v="63"/>
          </reference>
        </references>
      </pivotArea>
    </format>
    <format dxfId="758">
      <pivotArea dataOnly="0" labelOnly="1" outline="0" fieldPosition="0">
        <references count="10">
          <reference field="0" count="1" selected="0">
            <x v="2"/>
          </reference>
          <reference field="1" count="1" selected="0">
            <x v="13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9"/>
          </reference>
          <reference field="23" count="1" selected="0">
            <x v="0"/>
          </reference>
          <reference field="24" count="1" selected="0">
            <x v="80"/>
          </reference>
        </references>
      </pivotArea>
    </format>
    <format dxfId="757">
      <pivotArea dataOnly="0" labelOnly="1" outline="0" fieldPosition="0">
        <references count="10">
          <reference field="0" count="1" selected="0">
            <x v="3"/>
          </reference>
          <reference field="1" count="1" selected="0">
            <x v="132"/>
          </reference>
          <reference field="5" count="1" selected="0">
            <x v="2"/>
          </reference>
          <reference field="13" count="1" selected="0">
            <x v="90"/>
          </reference>
          <reference field="17" count="1">
            <x v="68"/>
          </reference>
          <reference field="20" count="1" selected="0">
            <x v="0"/>
          </reference>
          <reference field="21" count="1" selected="0">
            <x v="0"/>
          </reference>
          <reference field="22" count="1" selected="0">
            <x v="0"/>
          </reference>
          <reference field="23" count="1" selected="0">
            <x v="5"/>
          </reference>
          <reference field="24" count="1" selected="0">
            <x v="54"/>
          </reference>
        </references>
      </pivotArea>
    </format>
    <format dxfId="756">
      <pivotArea dataOnly="0" labelOnly="1" outline="0" fieldPosition="0">
        <references count="10">
          <reference field="0" count="1" selected="0">
            <x v="3"/>
          </reference>
          <reference field="1" count="1" selected="0">
            <x v="133"/>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113"/>
          </reference>
          <reference field="24" count="1" selected="0">
            <x v="16"/>
          </reference>
        </references>
      </pivotArea>
    </format>
    <format dxfId="755">
      <pivotArea dataOnly="0" labelOnly="1" outline="0" fieldPosition="0">
        <references count="10">
          <reference field="0" count="1" selected="0">
            <x v="3"/>
          </reference>
          <reference field="1" count="1" selected="0">
            <x v="134"/>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102"/>
          </reference>
          <reference field="24" count="1" selected="0">
            <x v="20"/>
          </reference>
        </references>
      </pivotArea>
    </format>
    <format dxfId="754">
      <pivotArea dataOnly="0" labelOnly="1" outline="0" fieldPosition="0">
        <references count="10">
          <reference field="0" count="1" selected="0">
            <x v="3"/>
          </reference>
          <reference field="1" count="1" selected="0">
            <x v="135"/>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97"/>
          </reference>
          <reference field="24" count="1" selected="0">
            <x v="75"/>
          </reference>
        </references>
      </pivotArea>
    </format>
    <format dxfId="753">
      <pivotArea dataOnly="0" labelOnly="1" outline="0" fieldPosition="0">
        <references count="10">
          <reference field="0" count="1" selected="0">
            <x v="2"/>
          </reference>
          <reference field="1" count="1" selected="0">
            <x v="136"/>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
          </reference>
          <reference field="23" count="1" selected="0">
            <x v="0"/>
          </reference>
          <reference field="24" count="1" selected="0">
            <x v="80"/>
          </reference>
        </references>
      </pivotArea>
    </format>
    <format dxfId="752">
      <pivotArea dataOnly="0" labelOnly="1" outline="0" fieldPosition="0">
        <references count="10">
          <reference field="0" count="1" selected="0">
            <x v="3"/>
          </reference>
          <reference field="1" count="1" selected="0">
            <x v="137"/>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89"/>
          </reference>
          <reference field="24" count="1" selected="0">
            <x v="20"/>
          </reference>
        </references>
      </pivotArea>
    </format>
    <format dxfId="751">
      <pivotArea dataOnly="0" labelOnly="1" outline="0" fieldPosition="0">
        <references count="10">
          <reference field="0" count="1" selected="0">
            <x v="3"/>
          </reference>
          <reference field="1" count="1" selected="0">
            <x v="139"/>
          </reference>
          <reference field="5" count="1" selected="0">
            <x v="2"/>
          </reference>
          <reference field="13" count="1" selected="0">
            <x v="83"/>
          </reference>
          <reference field="17" count="1">
            <x v="62"/>
          </reference>
          <reference field="20" count="1" selected="0">
            <x v="0"/>
          </reference>
          <reference field="21" count="1" selected="0">
            <x v="0"/>
          </reference>
          <reference field="22" count="1" selected="0">
            <x v="0"/>
          </reference>
          <reference field="23" count="1" selected="0">
            <x v="88"/>
          </reference>
          <reference field="24" count="1" selected="0">
            <x v="72"/>
          </reference>
        </references>
      </pivotArea>
    </format>
    <format dxfId="750">
      <pivotArea dataOnly="0" labelOnly="1" outline="0" fieldPosition="0">
        <references count="10">
          <reference field="0" count="1" selected="0">
            <x v="2"/>
          </reference>
          <reference field="1" count="1" selected="0">
            <x v="14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7"/>
          </reference>
          <reference field="23" count="1" selected="0">
            <x v="0"/>
          </reference>
          <reference field="24" count="1" selected="0">
            <x v="80"/>
          </reference>
        </references>
      </pivotArea>
    </format>
    <format dxfId="749">
      <pivotArea dataOnly="0" labelOnly="1" outline="0" fieldPosition="0">
        <references count="10">
          <reference field="0" count="1" selected="0">
            <x v="3"/>
          </reference>
          <reference field="1" count="1" selected="0">
            <x v="141"/>
          </reference>
          <reference field="5" count="1" selected="0">
            <x v="2"/>
          </reference>
          <reference field="13" count="1" selected="0">
            <x v="134"/>
          </reference>
          <reference field="17" count="1">
            <x v="110"/>
          </reference>
          <reference field="20" count="1" selected="0">
            <x v="0"/>
          </reference>
          <reference field="21" count="1" selected="0">
            <x v="0"/>
          </reference>
          <reference field="22" count="1" selected="0">
            <x v="0"/>
          </reference>
          <reference field="23" count="1" selected="0">
            <x v="86"/>
          </reference>
          <reference field="24" count="1" selected="0">
            <x v="26"/>
          </reference>
        </references>
      </pivotArea>
    </format>
    <format dxfId="748">
      <pivotArea dataOnly="0" labelOnly="1" outline="0" fieldPosition="0">
        <references count="10">
          <reference field="0" count="1" selected="0">
            <x v="3"/>
          </reference>
          <reference field="1" count="1" selected="0">
            <x v="14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14"/>
          </reference>
          <reference field="24" count="1" selected="0">
            <x v="84"/>
          </reference>
        </references>
      </pivotArea>
    </format>
    <format dxfId="747">
      <pivotArea dataOnly="0" labelOnly="1" outline="0" fieldPosition="0">
        <references count="10">
          <reference field="0" count="1" selected="0">
            <x v="3"/>
          </reference>
          <reference field="1" count="1" selected="0">
            <x v="14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9"/>
          </reference>
          <reference field="24" count="1" selected="0">
            <x v="4"/>
          </reference>
        </references>
      </pivotArea>
    </format>
    <format dxfId="746">
      <pivotArea dataOnly="0" labelOnly="1" outline="0" fieldPosition="0">
        <references count="10">
          <reference field="0" count="1" selected="0">
            <x v="3"/>
          </reference>
          <reference field="1" count="1" selected="0">
            <x v="144"/>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4"/>
          </reference>
          <reference field="24" count="1" selected="0">
            <x v="5"/>
          </reference>
        </references>
      </pivotArea>
    </format>
    <format dxfId="745">
      <pivotArea dataOnly="0" labelOnly="1" outline="0" fieldPosition="0">
        <references count="10">
          <reference field="0" count="1" selected="0">
            <x v="0"/>
          </reference>
          <reference field="1" count="1" selected="0">
            <x v="146"/>
          </reference>
          <reference field="5" count="1" selected="0">
            <x v="2"/>
          </reference>
          <reference field="13" count="1" selected="0">
            <x v="0"/>
          </reference>
          <reference field="17" count="1">
            <x v="0"/>
          </reference>
          <reference field="20" count="1" selected="0">
            <x v="3"/>
          </reference>
          <reference field="21" count="1" selected="0">
            <x v="0"/>
          </reference>
          <reference field="22" count="1" selected="0">
            <x v="0"/>
          </reference>
          <reference field="23" count="1" selected="0">
            <x v="0"/>
          </reference>
          <reference field="24" count="1" selected="0">
            <x v="80"/>
          </reference>
        </references>
      </pivotArea>
    </format>
    <format dxfId="744">
      <pivotArea dataOnly="0" labelOnly="1" outline="0" fieldPosition="0">
        <references count="10">
          <reference field="0" count="1" selected="0">
            <x v="1"/>
          </reference>
          <reference field="1" count="1" selected="0">
            <x v="147"/>
          </reference>
          <reference field="5" count="1" selected="0">
            <x v="2"/>
          </reference>
          <reference field="13" count="1" selected="0">
            <x v="0"/>
          </reference>
          <reference field="17" count="1">
            <x v="0"/>
          </reference>
          <reference field="20" count="1" selected="0">
            <x v="0"/>
          </reference>
          <reference field="21" count="1" selected="0">
            <x v="15"/>
          </reference>
          <reference field="22" count="1" selected="0">
            <x v="0"/>
          </reference>
          <reference field="23" count="1" selected="0">
            <x v="0"/>
          </reference>
          <reference field="24" count="1" selected="0">
            <x v="80"/>
          </reference>
        </references>
      </pivotArea>
    </format>
    <format dxfId="743">
      <pivotArea dataOnly="0" labelOnly="1" outline="0" fieldPosition="0">
        <references count="10">
          <reference field="0" count="1" selected="0">
            <x v="2"/>
          </reference>
          <reference field="1" count="1" selected="0">
            <x v="148"/>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14"/>
          </reference>
          <reference field="23" count="1" selected="0">
            <x v="0"/>
          </reference>
          <reference field="24" count="1" selected="0">
            <x v="2"/>
          </reference>
        </references>
      </pivotArea>
    </format>
    <format dxfId="742">
      <pivotArea dataOnly="0" labelOnly="1" outline="0" fieldPosition="0">
        <references count="10">
          <reference field="0" count="1" selected="0">
            <x v="3"/>
          </reference>
          <reference field="1" count="1" selected="0">
            <x v="149"/>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27"/>
          </reference>
          <reference field="24" count="1" selected="0">
            <x v="2"/>
          </reference>
        </references>
      </pivotArea>
    </format>
    <format dxfId="741">
      <pivotArea dataOnly="0" labelOnly="1" outline="0" fieldPosition="0">
        <references count="10">
          <reference field="0" count="1" selected="0">
            <x v="3"/>
          </reference>
          <reference field="1" count="1" selected="0">
            <x v="15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57"/>
          </reference>
          <reference field="24" count="1" selected="0">
            <x v="2"/>
          </reference>
        </references>
      </pivotArea>
    </format>
    <format dxfId="740">
      <pivotArea dataOnly="0" labelOnly="1" outline="0" fieldPosition="0">
        <references count="10">
          <reference field="0" count="1" selected="0">
            <x v="3"/>
          </reference>
          <reference field="1" count="1" selected="0">
            <x v="15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18"/>
          </reference>
          <reference field="24" count="1" selected="0">
            <x v="2"/>
          </reference>
        </references>
      </pivotArea>
    </format>
    <format dxfId="739">
      <pivotArea dataOnly="0" labelOnly="1" outline="0" fieldPosition="0">
        <references count="10">
          <reference field="0" count="1" selected="0">
            <x v="2"/>
          </reference>
          <reference field="1" count="1" selected="0">
            <x v="15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4"/>
          </reference>
          <reference field="23" count="1" selected="0">
            <x v="0"/>
          </reference>
          <reference field="24" count="1" selected="0">
            <x v="80"/>
          </reference>
        </references>
      </pivotArea>
    </format>
    <format dxfId="738">
      <pivotArea dataOnly="0" labelOnly="1" outline="0" fieldPosition="0">
        <references count="10">
          <reference field="0" count="1" selected="0">
            <x v="3"/>
          </reference>
          <reference field="1" count="1" selected="0">
            <x v="153"/>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17"/>
          </reference>
          <reference field="24" count="1" selected="0">
            <x v="17"/>
          </reference>
        </references>
      </pivotArea>
    </format>
    <format dxfId="737">
      <pivotArea dataOnly="0" labelOnly="1" outline="0" fieldPosition="0">
        <references count="10">
          <reference field="0" count="1" selected="0">
            <x v="6"/>
          </reference>
          <reference field="1" count="1" selected="0">
            <x v="154"/>
          </reference>
          <reference field="5" count="1" selected="0">
            <x v="2"/>
          </reference>
          <reference field="13" count="1" selected="0">
            <x v="91"/>
          </reference>
          <reference field="17" count="1">
            <x v="12"/>
          </reference>
          <reference field="20" count="1" selected="0">
            <x v="0"/>
          </reference>
          <reference field="21" count="1" selected="0">
            <x v="0"/>
          </reference>
          <reference field="22" count="1" selected="0">
            <x v="0"/>
          </reference>
          <reference field="23" count="1" selected="0">
            <x v="0"/>
          </reference>
          <reference field="24" count="1" selected="0">
            <x v="24"/>
          </reference>
        </references>
      </pivotArea>
    </format>
    <format dxfId="736">
      <pivotArea dataOnly="0" labelOnly="1" outline="0" fieldPosition="0">
        <references count="10">
          <reference field="0" count="1" selected="0">
            <x v="3"/>
          </reference>
          <reference field="1" count="1" selected="0">
            <x v="155"/>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70"/>
          </reference>
          <reference field="24" count="1" selected="0">
            <x v="50"/>
          </reference>
        </references>
      </pivotArea>
    </format>
    <format dxfId="735">
      <pivotArea dataOnly="0" labelOnly="1" outline="0" fieldPosition="0">
        <references count="10">
          <reference field="0" count="1" selected="0">
            <x v="3"/>
          </reference>
          <reference field="1" count="1" selected="0">
            <x v="156"/>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33"/>
          </reference>
          <reference field="24" count="1" selected="0">
            <x v="25"/>
          </reference>
        </references>
      </pivotArea>
    </format>
    <format dxfId="734">
      <pivotArea dataOnly="0" labelOnly="1" outline="0" fieldPosition="0">
        <references count="10">
          <reference field="0" count="1" selected="0">
            <x v="7"/>
          </reference>
          <reference field="1" count="1" selected="0">
            <x v="157"/>
          </reference>
          <reference field="5" count="1" selected="0">
            <x v="2"/>
          </reference>
          <reference field="13" count="1" selected="0">
            <x v="92"/>
          </reference>
          <reference field="17" count="1">
            <x v="69"/>
          </reference>
          <reference field="20" count="1" selected="0">
            <x v="0"/>
          </reference>
          <reference field="21" count="1" selected="0">
            <x v="0"/>
          </reference>
          <reference field="22" count="1" selected="0">
            <x v="0"/>
          </reference>
          <reference field="23" count="1" selected="0">
            <x v="0"/>
          </reference>
          <reference field="24" count="1" selected="0">
            <x v="11"/>
          </reference>
        </references>
      </pivotArea>
    </format>
    <format dxfId="733">
      <pivotArea dataOnly="0" labelOnly="1" outline="0" fieldPosition="0">
        <references count="10">
          <reference field="0" count="1" selected="0">
            <x v="3"/>
          </reference>
          <reference field="1" count="1" selected="0">
            <x v="158"/>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85"/>
          </reference>
          <reference field="24" count="1" selected="0">
            <x v="64"/>
          </reference>
        </references>
      </pivotArea>
    </format>
    <format dxfId="732">
      <pivotArea dataOnly="0" labelOnly="1" outline="0" fieldPosition="0">
        <references count="10">
          <reference field="0" count="1" selected="0">
            <x v="1"/>
          </reference>
          <reference field="1" count="1" selected="0">
            <x v="159"/>
          </reference>
          <reference field="5" count="1" selected="0">
            <x v="2"/>
          </reference>
          <reference field="13" count="1" selected="0">
            <x v="0"/>
          </reference>
          <reference field="17" count="1">
            <x v="0"/>
          </reference>
          <reference field="20" count="1" selected="0">
            <x v="0"/>
          </reference>
          <reference field="21" count="1" selected="0">
            <x v="7"/>
          </reference>
          <reference field="22" count="1" selected="0">
            <x v="0"/>
          </reference>
          <reference field="23" count="1" selected="0">
            <x v="0"/>
          </reference>
          <reference field="24" count="1" selected="0">
            <x v="80"/>
          </reference>
        </references>
      </pivotArea>
    </format>
    <format dxfId="731">
      <pivotArea dataOnly="0" labelOnly="1" outline="0" fieldPosition="0">
        <references count="10">
          <reference field="0" count="1" selected="0">
            <x v="2"/>
          </reference>
          <reference field="1" count="1" selected="0">
            <x v="16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6"/>
          </reference>
          <reference field="23" count="1" selected="0">
            <x v="0"/>
          </reference>
          <reference field="24" count="1" selected="0">
            <x v="6"/>
          </reference>
        </references>
      </pivotArea>
    </format>
    <format dxfId="730">
      <pivotArea dataOnly="0" labelOnly="1" outline="0" fieldPosition="0">
        <references count="10">
          <reference field="0" count="1" selected="0">
            <x v="3"/>
          </reference>
          <reference field="1" count="1" selected="0">
            <x v="161"/>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1"/>
          </reference>
          <reference field="24" count="1" selected="0">
            <x v="6"/>
          </reference>
        </references>
      </pivotArea>
    </format>
    <format dxfId="729">
      <pivotArea dataOnly="0" labelOnly="1" outline="0" fieldPosition="0">
        <references count="10">
          <reference field="0" count="1" selected="0">
            <x v="3"/>
          </reference>
          <reference field="1" count="1" selected="0">
            <x v="162"/>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64"/>
          </reference>
          <reference field="24" count="1" selected="0">
            <x v="6"/>
          </reference>
        </references>
      </pivotArea>
    </format>
    <format dxfId="728">
      <pivotArea dataOnly="0" labelOnly="1" outline="0" fieldPosition="0">
        <references count="10">
          <reference field="0" count="1" selected="0">
            <x v="3"/>
          </reference>
          <reference field="1" count="1" selected="0">
            <x v="163"/>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6"/>
          </reference>
          <reference field="24" count="1" selected="0">
            <x v="6"/>
          </reference>
        </references>
      </pivotArea>
    </format>
    <format dxfId="727">
      <pivotArea dataOnly="0" labelOnly="1" outline="0" fieldPosition="0">
        <references count="10">
          <reference field="0" count="1" selected="0">
            <x v="2"/>
          </reference>
          <reference field="1" count="1" selected="0">
            <x v="164"/>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3"/>
          </reference>
          <reference field="23" count="1" selected="0">
            <x v="0"/>
          </reference>
          <reference field="24" count="1" selected="0">
            <x v="80"/>
          </reference>
        </references>
      </pivotArea>
    </format>
    <format dxfId="726">
      <pivotArea dataOnly="0" labelOnly="1" outline="0" fieldPosition="0">
        <references count="10">
          <reference field="0" count="1" selected="0">
            <x v="3"/>
          </reference>
          <reference field="1" count="1" selected="0">
            <x v="165"/>
          </reference>
          <reference field="5" count="1" selected="0">
            <x v="2"/>
          </reference>
          <reference field="13" count="1" selected="0">
            <x v="94"/>
          </reference>
          <reference field="17" count="1">
            <x v="71"/>
          </reference>
          <reference field="20" count="1" selected="0">
            <x v="0"/>
          </reference>
          <reference field="21" count="1" selected="0">
            <x v="0"/>
          </reference>
          <reference field="22" count="1" selected="0">
            <x v="0"/>
          </reference>
          <reference field="23" count="1" selected="0">
            <x v="90"/>
          </reference>
          <reference field="24" count="1" selected="0">
            <x v="38"/>
          </reference>
        </references>
      </pivotArea>
    </format>
    <format dxfId="725">
      <pivotArea dataOnly="0" labelOnly="1" outline="0" fieldPosition="0">
        <references count="10">
          <reference field="0" count="1" selected="0">
            <x v="5"/>
          </reference>
          <reference field="1" count="1" selected="0">
            <x v="166"/>
          </reference>
          <reference field="5" count="1" selected="0">
            <x v="2"/>
          </reference>
          <reference field="13" count="1" selected="0">
            <x v="80"/>
          </reference>
          <reference field="17" count="1">
            <x v="59"/>
          </reference>
          <reference field="20" count="1" selected="0">
            <x v="0"/>
          </reference>
          <reference field="21" count="1" selected="0">
            <x v="0"/>
          </reference>
          <reference field="22" count="1" selected="0">
            <x v="0"/>
          </reference>
          <reference field="23" count="1" selected="0">
            <x v="0"/>
          </reference>
          <reference field="24" count="1" selected="0">
            <x v="10"/>
          </reference>
        </references>
      </pivotArea>
    </format>
    <format dxfId="724">
      <pivotArea dataOnly="0" labelOnly="1" outline="0" fieldPosition="0">
        <references count="10">
          <reference field="0" count="1" selected="0">
            <x v="3"/>
          </reference>
          <reference field="1" count="1" selected="0">
            <x v="167"/>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0"/>
          </reference>
          <reference field="23" count="1" selected="0">
            <x v="91"/>
          </reference>
          <reference field="24" count="1" selected="0">
            <x v="80"/>
          </reference>
        </references>
      </pivotArea>
    </format>
    <format dxfId="723">
      <pivotArea dataOnly="0" labelOnly="1" outline="0" fieldPosition="0">
        <references count="10">
          <reference field="0" count="1" selected="0">
            <x v="0"/>
          </reference>
          <reference field="1" count="1" selected="0">
            <x v="168"/>
          </reference>
          <reference field="5" count="1" selected="0">
            <x v="2"/>
          </reference>
          <reference field="13" count="1" selected="0">
            <x v="0"/>
          </reference>
          <reference field="17" count="1">
            <x v="0"/>
          </reference>
          <reference field="20" count="1" selected="0">
            <x v="7"/>
          </reference>
          <reference field="21" count="1" selected="0">
            <x v="0"/>
          </reference>
          <reference field="22" count="1" selected="0">
            <x v="0"/>
          </reference>
          <reference field="23" count="1" selected="0">
            <x v="0"/>
          </reference>
          <reference field="24" count="1" selected="0">
            <x v="80"/>
          </reference>
        </references>
      </pivotArea>
    </format>
    <format dxfId="722">
      <pivotArea dataOnly="0" labelOnly="1" outline="0" fieldPosition="0">
        <references count="10">
          <reference field="0" count="1" selected="0">
            <x v="1"/>
          </reference>
          <reference field="1" count="1" selected="0">
            <x v="169"/>
          </reference>
          <reference field="5" count="1" selected="0">
            <x v="2"/>
          </reference>
          <reference field="13" count="1" selected="0">
            <x v="0"/>
          </reference>
          <reference field="17" count="1">
            <x v="0"/>
          </reference>
          <reference field="20" count="1" selected="0">
            <x v="0"/>
          </reference>
          <reference field="21" count="1" selected="0">
            <x v="14"/>
          </reference>
          <reference field="22" count="1" selected="0">
            <x v="0"/>
          </reference>
          <reference field="23" count="1" selected="0">
            <x v="0"/>
          </reference>
          <reference field="24" count="1" selected="0">
            <x v="80"/>
          </reference>
        </references>
      </pivotArea>
    </format>
    <format dxfId="721">
      <pivotArea dataOnly="0" labelOnly="1" outline="0" fieldPosition="0">
        <references count="10">
          <reference field="0" count="1" selected="0">
            <x v="2"/>
          </reference>
          <reference field="1" count="1" selected="0">
            <x v="170"/>
          </reference>
          <reference field="5" count="1" selected="0">
            <x v="2"/>
          </reference>
          <reference field="13" count="1" selected="0">
            <x v="0"/>
          </reference>
          <reference field="17" count="1">
            <x v="0"/>
          </reference>
          <reference field="20" count="1" selected="0">
            <x v="0"/>
          </reference>
          <reference field="21" count="1" selected="0">
            <x v="0"/>
          </reference>
          <reference field="22" count="1" selected="0">
            <x v="22"/>
          </reference>
          <reference field="23" count="1" selected="0">
            <x v="0"/>
          </reference>
          <reference field="24" count="1" selected="0">
            <x v="80"/>
          </reference>
        </references>
      </pivotArea>
    </format>
    <format dxfId="720">
      <pivotArea dataOnly="0" labelOnly="1" outline="0" fieldPosition="0">
        <references count="10">
          <reference field="0" count="1" selected="0">
            <x v="3"/>
          </reference>
          <reference field="1" count="1" selected="0">
            <x v="171"/>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84"/>
          </reference>
          <reference field="24" count="1" selected="0">
            <x v="62"/>
          </reference>
        </references>
      </pivotArea>
    </format>
    <format dxfId="719">
      <pivotArea dataOnly="0" labelOnly="1" outline="0" fieldPosition="0">
        <references count="10">
          <reference field="0" count="1" selected="0">
            <x v="3"/>
          </reference>
          <reference field="1" count="1" selected="0">
            <x v="172"/>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105"/>
          </reference>
          <reference field="24" count="1" selected="0">
            <x v="79"/>
          </reference>
        </references>
      </pivotArea>
    </format>
    <format dxfId="718">
      <pivotArea dataOnly="0" labelOnly="1" outline="0" fieldPosition="0">
        <references count="10">
          <reference field="0" count="1" selected="0">
            <x v="3"/>
          </reference>
          <reference field="1" count="1" selected="0">
            <x v="173"/>
          </reference>
          <reference field="5" count="1" selected="0">
            <x v="2"/>
          </reference>
          <reference field="13" count="1" selected="0">
            <x v="84"/>
          </reference>
          <reference field="17" count="1">
            <x v="63"/>
          </reference>
          <reference field="20" count="1" selected="0">
            <x v="0"/>
          </reference>
          <reference field="21" count="1" selected="0">
            <x v="0"/>
          </reference>
          <reference field="22" count="1" selected="0">
            <x v="0"/>
          </reference>
          <reference field="23" count="1" selected="0">
            <x v="55"/>
          </reference>
          <reference field="24" count="1" selected="0">
            <x v="34"/>
          </reference>
        </references>
      </pivotArea>
    </format>
    <format dxfId="717">
      <pivotArea dataOnly="0" labelOnly="1" outline="0" fieldPosition="0">
        <references count="10">
          <reference field="0" count="1" selected="0">
            <x v="0"/>
          </reference>
          <reference field="1" count="1" selected="0">
            <x v="209"/>
          </reference>
          <reference field="5" count="1" selected="0">
            <x v="2"/>
          </reference>
          <reference field="13" count="1" selected="0">
            <x v="0"/>
          </reference>
          <reference field="17" count="1">
            <x v="0"/>
          </reference>
          <reference field="20" count="1" selected="0">
            <x v="5"/>
          </reference>
          <reference field="21" count="1" selected="0">
            <x v="0"/>
          </reference>
          <reference field="22" count="1" selected="0">
            <x v="0"/>
          </reference>
          <reference field="23" count="1" selected="0">
            <x v="0"/>
          </reference>
          <reference field="24" count="1" selected="0">
            <x v="80"/>
          </reference>
        </references>
      </pivotArea>
    </format>
    <format dxfId="716">
      <pivotArea dataOnly="0" labelOnly="1" outline="0" fieldPosition="0">
        <references count="10">
          <reference field="0" count="1" selected="0">
            <x v="1"/>
          </reference>
          <reference field="1" count="1" selected="0">
            <x v="210"/>
          </reference>
          <reference field="5" count="1" selected="0">
            <x v="2"/>
          </reference>
          <reference field="13" count="1" selected="0">
            <x v="0"/>
          </reference>
          <reference field="17" count="1">
            <x v="0"/>
          </reference>
          <reference field="20" count="1" selected="0">
            <x v="0"/>
          </reference>
          <reference field="21" count="1" selected="0">
            <x v="5"/>
          </reference>
          <reference field="22" count="1" selected="0">
            <x v="0"/>
          </reference>
          <reference field="23" count="1" selected="0">
            <x v="0"/>
          </reference>
          <reference field="24" count="1" selected="0">
            <x v="80"/>
          </reference>
        </references>
      </pivotArea>
    </format>
    <format dxfId="715">
      <pivotArea dataOnly="0" labelOnly="1" outline="0" fieldPosition="0">
        <references count="10">
          <reference field="0" count="1" selected="0">
            <x v="3"/>
          </reference>
          <reference field="1" count="1" selected="0">
            <x v="211"/>
          </reference>
          <reference field="5" count="1" selected="0">
            <x v="2"/>
          </reference>
          <reference field="13" count="1" selected="0">
            <x v="135"/>
          </reference>
          <reference field="17" count="1">
            <x v="0"/>
          </reference>
          <reference field="20" count="1" selected="0">
            <x v="0"/>
          </reference>
          <reference field="21" count="1" selected="0">
            <x v="0"/>
          </reference>
          <reference field="22" count="1" selected="0">
            <x v="0"/>
          </reference>
          <reference field="23" count="1" selected="0">
            <x v="36"/>
          </reference>
          <reference field="24" count="1" selected="0">
            <x v="27"/>
          </reference>
        </references>
      </pivotArea>
    </format>
    <format dxfId="714">
      <pivotArea dataOnly="0" labelOnly="1" outline="0" fieldPosition="0">
        <references count="10">
          <reference field="0" count="1" selected="0">
            <x v="0"/>
          </reference>
          <reference field="1" count="1" selected="0">
            <x v="212"/>
          </reference>
          <reference field="5" count="1" selected="0">
            <x v="2"/>
          </reference>
          <reference field="13" count="1" selected="0">
            <x v="0"/>
          </reference>
          <reference field="17" count="1">
            <x v="0"/>
          </reference>
          <reference field="20" count="1" selected="0">
            <x v="8"/>
          </reference>
          <reference field="21" count="1" selected="0">
            <x v="0"/>
          </reference>
          <reference field="22" count="1" selected="0">
            <x v="0"/>
          </reference>
          <reference field="23" count="1" selected="0">
            <x v="0"/>
          </reference>
          <reference field="24" count="1" selected="0">
            <x v="80"/>
          </reference>
        </references>
      </pivotArea>
    </format>
    <format dxfId="713">
      <pivotArea dataOnly="0" labelOnly="1" outline="0" fieldPosition="0">
        <references count="10">
          <reference field="0" count="1" selected="0">
            <x v="3"/>
          </reference>
          <reference field="1" count="1" selected="0">
            <x v="213"/>
          </reference>
          <reference field="5" count="1" selected="0">
            <x v="2"/>
          </reference>
          <reference field="13" count="1" selected="0">
            <x v="136"/>
          </reference>
          <reference field="17" count="1">
            <x v="0"/>
          </reference>
          <reference field="20" count="1" selected="0">
            <x v="0"/>
          </reference>
          <reference field="21" count="1" selected="0">
            <x v="0"/>
          </reference>
          <reference field="22" count="1" selected="0">
            <x v="0"/>
          </reference>
          <reference field="23" count="1" selected="0">
            <x v="99"/>
          </reference>
          <reference field="24" count="1" selected="0">
            <x v="22"/>
          </reference>
        </references>
      </pivotArea>
    </format>
    <format dxfId="712">
      <pivotArea dataOnly="0" labelOnly="1" outline="0" fieldPosition="0">
        <references count="1">
          <reference field="1" count="1">
            <x v="218"/>
          </reference>
        </references>
      </pivotArea>
    </format>
    <format dxfId="711">
      <pivotArea dataOnly="0" labelOnly="1" outline="0" fieldPosition="0">
        <references count="2">
          <reference field="0" count="1">
            <x v="0"/>
          </reference>
          <reference field="1" count="1" selected="0">
            <x v="218"/>
          </reference>
        </references>
      </pivotArea>
    </format>
    <format dxfId="710">
      <pivotArea dataOnly="0" labelOnly="1" outline="0" fieldPosition="0">
        <references count="3">
          <reference field="0" count="1" selected="0">
            <x v="3"/>
          </reference>
          <reference field="1" count="1" selected="0">
            <x v="213"/>
          </reference>
          <reference field="20" count="1">
            <x v="0"/>
          </reference>
        </references>
      </pivotArea>
    </format>
    <format dxfId="709">
      <pivotArea dataOnly="0" labelOnly="1" outline="0" fieldPosition="0">
        <references count="4">
          <reference field="0" count="1" selected="0">
            <x v="3"/>
          </reference>
          <reference field="1" count="1" selected="0">
            <x v="211"/>
          </reference>
          <reference field="20" count="1" selected="0">
            <x v="0"/>
          </reference>
          <reference field="21" count="1">
            <x v="0"/>
          </reference>
        </references>
      </pivotArea>
    </format>
    <format dxfId="708">
      <pivotArea dataOnly="0" labelOnly="1" outline="0" fieldPosition="0">
        <references count="5">
          <reference field="0" count="1" selected="0">
            <x v="3"/>
          </reference>
          <reference field="1" count="1" selected="0">
            <x v="171"/>
          </reference>
          <reference field="20" count="1" selected="0">
            <x v="0"/>
          </reference>
          <reference field="21" count="1" selected="0">
            <x v="0"/>
          </reference>
          <reference field="22" count="1">
            <x v="0"/>
          </reference>
        </references>
      </pivotArea>
    </format>
    <format dxfId="707">
      <pivotArea dataOnly="0" labelOnly="1" outline="0" fieldPosition="0">
        <references count="6">
          <reference field="0" count="1" selected="0">
            <x v="0"/>
          </reference>
          <reference field="1" count="1" selected="0">
            <x v="218"/>
          </reference>
          <reference field="20" count="1" selected="0">
            <x v="0"/>
          </reference>
          <reference field="21" count="1" selected="0">
            <x v="0"/>
          </reference>
          <reference field="22" count="1" selected="0">
            <x v="0"/>
          </reference>
          <reference field="23" count="1">
            <x v="0"/>
          </reference>
        </references>
      </pivotArea>
    </format>
    <format dxfId="706">
      <pivotArea dataOnly="0" labelOnly="1" outline="0" fieldPosition="0">
        <references count="7">
          <reference field="0" count="1" selected="0">
            <x v="3"/>
          </reference>
          <reference field="1" count="1" selected="0">
            <x v="8"/>
          </reference>
          <reference field="5" count="1">
            <x v="2"/>
          </reference>
          <reference field="20" count="1" selected="0">
            <x v="0"/>
          </reference>
          <reference field="21" count="1" selected="0">
            <x v="0"/>
          </reference>
          <reference field="22" count="1" selected="0">
            <x v="0"/>
          </reference>
          <reference field="23" count="1" selected="0">
            <x v="40"/>
          </reference>
        </references>
      </pivotArea>
    </format>
    <format dxfId="705">
      <pivotArea dataOnly="0" labelOnly="1" outline="0" fieldPosition="0">
        <references count="8">
          <reference field="0" count="1" selected="0">
            <x v="0"/>
          </reference>
          <reference field="1" count="1" selected="0">
            <x v="218"/>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80"/>
          </reference>
        </references>
      </pivotArea>
    </format>
    <format dxfId="704">
      <pivotArea dataOnly="0" labelOnly="1" outline="0" fieldPosition="0">
        <references count="9">
          <reference field="0" count="1" selected="0">
            <x v="0"/>
          </reference>
          <reference field="1" count="1" selected="0">
            <x v="218"/>
          </reference>
          <reference field="5" count="1" selected="0">
            <x v="2"/>
          </reference>
          <reference field="13" count="1">
            <x v="139"/>
          </reference>
          <reference field="20" count="1" selected="0">
            <x v="0"/>
          </reference>
          <reference field="21" count="1" selected="0">
            <x v="0"/>
          </reference>
          <reference field="22" count="1" selected="0">
            <x v="0"/>
          </reference>
          <reference field="23" count="1" selected="0">
            <x v="0"/>
          </reference>
          <reference field="24" count="1" selected="0">
            <x v="80"/>
          </reference>
        </references>
      </pivotArea>
    </format>
    <format dxfId="703">
      <pivotArea dataOnly="0" labelOnly="1" outline="0" fieldPosition="0">
        <references count="10">
          <reference field="0" count="1" selected="0">
            <x v="0"/>
          </reference>
          <reference field="1" count="1" selected="0">
            <x v="218"/>
          </reference>
          <reference field="5" count="1" selected="0">
            <x v="2"/>
          </reference>
          <reference field="13" count="1" selected="0">
            <x v="139"/>
          </reference>
          <reference field="17" count="1">
            <x v="111"/>
          </reference>
          <reference field="20" count="1" selected="0">
            <x v="0"/>
          </reference>
          <reference field="21" count="1" selected="0">
            <x v="0"/>
          </reference>
          <reference field="22" count="1" selected="0">
            <x v="0"/>
          </reference>
          <reference field="23" count="1" selected="0">
            <x v="0"/>
          </reference>
          <reference field="24" count="1" selected="0">
            <x v="80"/>
          </reference>
        </references>
      </pivotArea>
    </format>
    <format dxfId="702">
      <pivotArea dataOnly="0" labelOnly="1" outline="0" fieldPosition="0">
        <references count="1">
          <reference field="1" count="1">
            <x v="218"/>
          </reference>
        </references>
      </pivotArea>
    </format>
    <format dxfId="701">
      <pivotArea dataOnly="0" labelOnly="1" outline="0" fieldPosition="0">
        <references count="2">
          <reference field="0" count="1">
            <x v="0"/>
          </reference>
          <reference field="1" count="1" selected="0">
            <x v="218"/>
          </reference>
        </references>
      </pivotArea>
    </format>
    <format dxfId="700">
      <pivotArea dataOnly="0" labelOnly="1" outline="0" fieldPosition="0">
        <references count="3">
          <reference field="0" count="1" selected="0">
            <x v="3"/>
          </reference>
          <reference field="1" count="1" selected="0">
            <x v="213"/>
          </reference>
          <reference field="20" count="1">
            <x v="0"/>
          </reference>
        </references>
      </pivotArea>
    </format>
    <format dxfId="699">
      <pivotArea dataOnly="0" labelOnly="1" outline="0" fieldPosition="0">
        <references count="4">
          <reference field="0" count="1" selected="0">
            <x v="3"/>
          </reference>
          <reference field="1" count="1" selected="0">
            <x v="211"/>
          </reference>
          <reference field="20" count="1" selected="0">
            <x v="0"/>
          </reference>
          <reference field="21" count="1">
            <x v="0"/>
          </reference>
        </references>
      </pivotArea>
    </format>
    <format dxfId="698">
      <pivotArea dataOnly="0" labelOnly="1" outline="0" fieldPosition="0">
        <references count="5">
          <reference field="0" count="1" selected="0">
            <x v="3"/>
          </reference>
          <reference field="1" count="1" selected="0">
            <x v="171"/>
          </reference>
          <reference field="20" count="1" selected="0">
            <x v="0"/>
          </reference>
          <reference field="21" count="1" selected="0">
            <x v="0"/>
          </reference>
          <reference field="22" count="1">
            <x v="0"/>
          </reference>
        </references>
      </pivotArea>
    </format>
    <format dxfId="697">
      <pivotArea dataOnly="0" labelOnly="1" outline="0" fieldPosition="0">
        <references count="6">
          <reference field="0" count="1" selected="0">
            <x v="0"/>
          </reference>
          <reference field="1" count="1" selected="0">
            <x v="218"/>
          </reference>
          <reference field="20" count="1" selected="0">
            <x v="0"/>
          </reference>
          <reference field="21" count="1" selected="0">
            <x v="0"/>
          </reference>
          <reference field="22" count="1" selected="0">
            <x v="0"/>
          </reference>
          <reference field="23" count="1">
            <x v="0"/>
          </reference>
        </references>
      </pivotArea>
    </format>
    <format dxfId="696">
      <pivotArea dataOnly="0" labelOnly="1" outline="0" fieldPosition="0">
        <references count="7">
          <reference field="0" count="1" selected="0">
            <x v="3"/>
          </reference>
          <reference field="1" count="1" selected="0">
            <x v="8"/>
          </reference>
          <reference field="5" count="1">
            <x v="2"/>
          </reference>
          <reference field="20" count="1" selected="0">
            <x v="0"/>
          </reference>
          <reference field="21" count="1" selected="0">
            <x v="0"/>
          </reference>
          <reference field="22" count="1" selected="0">
            <x v="0"/>
          </reference>
          <reference field="23" count="1" selected="0">
            <x v="40"/>
          </reference>
        </references>
      </pivotArea>
    </format>
    <format dxfId="695">
      <pivotArea dataOnly="0" labelOnly="1" outline="0" fieldPosition="0">
        <references count="8">
          <reference field="0" count="1" selected="0">
            <x v="0"/>
          </reference>
          <reference field="1" count="1" selected="0">
            <x v="218"/>
          </reference>
          <reference field="5" count="1" selected="0">
            <x v="2"/>
          </reference>
          <reference field="20" count="1" selected="0">
            <x v="0"/>
          </reference>
          <reference field="21" count="1" selected="0">
            <x v="0"/>
          </reference>
          <reference field="22" count="1" selected="0">
            <x v="0"/>
          </reference>
          <reference field="23" count="1" selected="0">
            <x v="0"/>
          </reference>
          <reference field="24" count="1">
            <x v="80"/>
          </reference>
        </references>
      </pivotArea>
    </format>
    <format dxfId="694">
      <pivotArea dataOnly="0" labelOnly="1" outline="0" fieldPosition="0">
        <references count="9">
          <reference field="0" count="1" selected="0">
            <x v="0"/>
          </reference>
          <reference field="1" count="1" selected="0">
            <x v="218"/>
          </reference>
          <reference field="5" count="1" selected="0">
            <x v="2"/>
          </reference>
          <reference field="13" count="1">
            <x v="139"/>
          </reference>
          <reference field="20" count="1" selected="0">
            <x v="0"/>
          </reference>
          <reference field="21" count="1" selected="0">
            <x v="0"/>
          </reference>
          <reference field="22" count="1" selected="0">
            <x v="0"/>
          </reference>
          <reference field="23" count="1" selected="0">
            <x v="0"/>
          </reference>
          <reference field="24" count="1" selected="0">
            <x v="80"/>
          </reference>
        </references>
      </pivotArea>
    </format>
    <format dxfId="693">
      <pivotArea dataOnly="0" labelOnly="1" outline="0" fieldPosition="0">
        <references count="10">
          <reference field="0" count="1" selected="0">
            <x v="0"/>
          </reference>
          <reference field="1" count="1" selected="0">
            <x v="218"/>
          </reference>
          <reference field="5" count="1" selected="0">
            <x v="2"/>
          </reference>
          <reference field="13" count="1" selected="0">
            <x v="139"/>
          </reference>
          <reference field="17" count="1">
            <x v="111"/>
          </reference>
          <reference field="20" count="1" selected="0">
            <x v="0"/>
          </reference>
          <reference field="21" count="1" selected="0">
            <x v="0"/>
          </reference>
          <reference field="22" count="1" selected="0">
            <x v="0"/>
          </reference>
          <reference field="23" count="1" selected="0">
            <x v="0"/>
          </reference>
          <reference field="24" count="1" selected="0">
            <x v="80"/>
          </reference>
        </references>
      </pivotArea>
    </format>
  </formats>
  <pivotTableStyleInfo name="STLPivotStyle0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57286B-2C92-44ED-9D21-6A3B0FA96FDB}" name="EServicesPriceListPivot" cacheId="1507"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location ref="B5:K6" firstHeaderRow="1" firstDataRow="1" firstDataCol="10" rowPageCount="1" colPageCount="1"/>
  <pivotFields count="25">
    <pivotField axis="axisRow" compact="0" outline="0" showAll="0" defaultSubtotal="0">
      <items count="8">
        <item x="0"/>
        <item x="1"/>
        <item x="2"/>
        <item x="3"/>
        <item x="4"/>
        <item x="5"/>
        <item x="6"/>
        <item x="7"/>
      </items>
    </pivotField>
    <pivotField axis="axisRow" compact="0" outline="0" showAll="0" sortType="ascending" defaultSubtota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m="1" x="208"/>
        <item x="138"/>
        <item x="139"/>
        <item x="140"/>
        <item x="141"/>
        <item x="142"/>
        <item x="143"/>
        <item m="1" x="200"/>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97"/>
        <item m="1" x="195"/>
        <item m="1" x="193"/>
        <item m="1" x="191"/>
        <item m="1" x="189"/>
        <item m="1" x="187"/>
        <item m="1" x="185"/>
        <item m="1" x="183"/>
        <item m="1" x="218"/>
        <item m="1" x="217"/>
        <item m="1" x="216"/>
        <item m="1" x="215"/>
        <item m="1" x="214"/>
        <item m="1" x="213"/>
        <item m="1" x="212"/>
        <item m="1" x="211"/>
        <item m="1" x="210"/>
        <item m="1" x="209"/>
        <item m="1" x="207"/>
        <item m="1" x="206"/>
        <item m="1" x="205"/>
        <item m="1" x="204"/>
        <item m="1" x="203"/>
        <item m="1" x="202"/>
        <item m="1" x="201"/>
        <item m="1" x="199"/>
        <item m="1" x="198"/>
        <item m="1" x="196"/>
        <item m="1" x="194"/>
        <item m="1" x="192"/>
        <item m="1" x="190"/>
        <item m="1" x="188"/>
        <item m="1" x="186"/>
        <item m="1" x="184"/>
        <item m="1" x="182"/>
        <item x="172"/>
        <item x="173"/>
        <item x="174"/>
        <item x="175"/>
        <item x="176"/>
        <item x="177"/>
        <item x="178"/>
        <item x="179"/>
        <item x="180"/>
        <item x="181"/>
      </items>
    </pivotField>
    <pivotField compact="0" outline="0" showAll="0"/>
    <pivotField compact="0" outline="0" showAll="0"/>
    <pivotField name="Description" compact="0" outline="0" showAll="0" defaultSubtotal="0">
      <items count="168">
        <item x="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s>
    </pivotField>
    <pivotField axis="axisRow" compact="0" outline="0" showAll="0" defaultSubtotal="0">
      <items count="3">
        <item x="2"/>
        <item x="1"/>
        <item x="0"/>
      </items>
    </pivotField>
    <pivotField axis="axisPage" compact="0" outline="0" showAll="0">
      <items count="6">
        <item x="1"/>
        <item x="2"/>
        <item x="3"/>
        <item x="0"/>
        <item m="1" x="4"/>
        <item t="default"/>
      </items>
    </pivotField>
    <pivotField compact="0" outline="0" showAll="0"/>
    <pivotField compact="0" outline="0" showAll="0"/>
    <pivotField compact="0" outline="0" showAll="0"/>
    <pivotField compact="0" outline="0" showAll="0"/>
    <pivotField compact="0" outline="0" showAll="0"/>
    <pivotField name="List Price" axis="axisRow" compact="0" outline="0" showAll="0" defaultSubtotal="0">
      <items count="64">
        <item x="0"/>
        <item x="10"/>
        <item x="9"/>
        <item x="14"/>
        <item x="1"/>
        <item x="2"/>
        <item x="3"/>
        <item x="4"/>
        <item x="5"/>
        <item x="6"/>
        <item x="7"/>
        <item x="8"/>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compact="0" outline="0" showAll="0"/>
    <pivotField compact="0" outline="0" showAll="0"/>
    <pivotField compact="0" outline="0" showAll="0"/>
    <pivotField compact="0" outline="0" showAll="0"/>
    <pivotField axis="axisRow" compact="0" outline="0" showAll="0">
      <items count="113">
        <item x="0"/>
        <item m="1" x="95"/>
        <item x="1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m="1" x="62"/>
        <item m="1" x="65"/>
        <item m="1" x="68"/>
        <item m="1" x="83"/>
        <item m="1" x="70"/>
        <item m="1" x="107"/>
        <item m="1" x="94"/>
        <item m="1" x="90"/>
        <item m="1" x="81"/>
        <item m="1" x="79"/>
        <item m="1" x="87"/>
        <item m="1" x="63"/>
        <item m="1" x="92"/>
        <item m="1" x="75"/>
        <item m="1" x="105"/>
        <item m="1" x="71"/>
        <item m="1" x="96"/>
        <item m="1" x="101"/>
        <item m="1" x="109"/>
        <item m="1" x="78"/>
        <item m="1" x="66"/>
        <item m="1" x="84"/>
        <item m="1" x="64"/>
        <item m="1" x="72"/>
        <item m="1" x="74"/>
        <item m="1" x="60"/>
        <item m="1" x="88"/>
        <item m="1" x="110"/>
        <item m="1" x="99"/>
        <item m="1" x="98"/>
        <item m="1" x="80"/>
        <item m="1" x="91"/>
        <item m="1" x="103"/>
        <item m="1" x="85"/>
        <item m="1" x="61"/>
        <item m="1" x="100"/>
        <item m="1" x="73"/>
        <item m="1" x="108"/>
        <item m="1" x="69"/>
        <item m="1" x="82"/>
        <item m="1" x="104"/>
        <item m="1" x="67"/>
        <item m="1" x="106"/>
        <item m="1" x="97"/>
        <item m="1" x="59"/>
        <item m="1" x="102"/>
        <item m="1" x="93"/>
        <item m="1" x="86"/>
        <item m="1" x="89"/>
        <item m="1" x="76"/>
        <item m="1" x="111"/>
        <item m="1" x="77"/>
        <item t="default"/>
      </items>
    </pivotField>
    <pivotField compact="0" outline="0" showAll="0"/>
    <pivotField compact="0" outline="0" showAll="0"/>
    <pivotField axis="axisRow" compact="0" outline="0" showAll="0" defaultSubtotal="0">
      <items count="10">
        <item x="1"/>
        <item x="0"/>
        <item x="2"/>
        <item x="3"/>
        <item x="4"/>
        <item x="5"/>
        <item x="6"/>
        <item x="7"/>
        <item x="8"/>
        <item x="9"/>
      </items>
    </pivotField>
    <pivotField axis="axisRow" compact="0" outline="0" showAll="0" defaultSubtotal="0">
      <items count="19">
        <item x="0"/>
        <item x="1"/>
        <item x="2"/>
        <item x="3"/>
        <item x="4"/>
        <item x="5"/>
        <item x="6"/>
        <item x="7"/>
        <item x="8"/>
        <item x="9"/>
        <item x="10"/>
        <item x="11"/>
        <item x="12"/>
        <item x="13"/>
        <item x="14"/>
        <item x="15"/>
        <item x="16"/>
        <item x="17"/>
        <item x="18"/>
      </items>
    </pivotField>
    <pivotField axis="axisRow" compact="0" outline="0"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m="1" x="29"/>
      </items>
    </pivotField>
    <pivotField name="Feature" axis="axisRow" compact="0" outline="0"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4"/>
        <item x="95"/>
        <item x="97"/>
        <item x="98"/>
        <item x="99"/>
        <item x="100"/>
        <item x="101"/>
        <item x="103"/>
        <item x="104"/>
        <item x="105"/>
        <item x="106"/>
        <item x="107"/>
        <item x="108"/>
        <item x="109"/>
        <item x="110"/>
        <item x="112"/>
        <item m="1" x="117"/>
        <item m="1" x="118"/>
        <item m="1" x="115"/>
        <item m="1" x="113"/>
        <item m="1" x="116"/>
        <item m="1" x="114"/>
        <item x="93"/>
        <item x="96"/>
        <item x="102"/>
        <item x="111"/>
      </items>
    </pivotField>
    <pivotField axis="axisRow" compact="0" outline="0" showAll="0" defaultSubtotal="0">
      <items count="86">
        <item m="1" x="68"/>
        <item x="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51"/>
        <item x="52"/>
        <item x="53"/>
        <item x="54"/>
        <item x="55"/>
        <item x="56"/>
        <item x="57"/>
        <item x="58"/>
        <item x="59"/>
        <item x="60"/>
        <item x="61"/>
        <item x="62"/>
        <item x="63"/>
        <item x="64"/>
        <item x="65"/>
        <item x="66"/>
        <item x="67"/>
        <item m="1" x="71"/>
        <item m="1" x="81"/>
        <item m="1" x="74"/>
        <item m="1" x="80"/>
        <item m="1" x="83"/>
        <item m="1" x="77"/>
        <item m="1" x="84"/>
        <item m="1" x="73"/>
        <item m="1" x="72"/>
        <item m="1" x="76"/>
        <item m="1" x="70"/>
        <item m="1" x="82"/>
        <item m="1" x="69"/>
        <item m="1" x="85"/>
        <item m="1" x="78"/>
        <item m="1" x="75"/>
        <item m="1" x="79"/>
        <item x="0"/>
      </items>
    </pivotField>
  </pivotFields>
  <rowFields count="10">
    <field x="1"/>
    <field x="0"/>
    <field x="20"/>
    <field x="21"/>
    <field x="22"/>
    <field x="23"/>
    <field x="5"/>
    <field x="24"/>
    <field x="12"/>
    <field x="17"/>
  </rowFields>
  <rowItems count="1">
    <i>
      <x v="217"/>
      <x v="3"/>
      <x/>
      <x/>
      <x/>
      <x v="108"/>
      <x v="2"/>
      <x v="67"/>
      <x v="62"/>
      <x/>
    </i>
  </rowItems>
  <colItems count="1">
    <i/>
  </colItems>
  <pageFields count="1">
    <pageField fld="6" item="2" hier="-1"/>
  </pageFields>
  <formats count="80">
    <format dxfId="692">
      <pivotArea type="all" dataOnly="0" outline="0" fieldPosition="0"/>
    </format>
    <format dxfId="691">
      <pivotArea outline="0" collapsedLevelsAreSubtotals="1" fieldPosition="0"/>
    </format>
    <format dxfId="690">
      <pivotArea type="origin" dataOnly="0" labelOnly="1" outline="0" fieldPosition="0"/>
    </format>
    <format dxfId="689">
      <pivotArea field="1" type="button" dataOnly="0" labelOnly="1" outline="0" axis="axisRow" fieldPosition="0"/>
    </format>
    <format dxfId="688">
      <pivotArea field="0" type="button" dataOnly="0" labelOnly="1" outline="0" axis="axisRow" fieldPosition="1"/>
    </format>
    <format dxfId="687">
      <pivotArea field="4" type="button" dataOnly="0" labelOnly="1" outline="0"/>
    </format>
    <format dxfId="686">
      <pivotArea field="24" type="button" dataOnly="0" labelOnly="1" outline="0" axis="axisRow" fieldPosition="7"/>
    </format>
    <format dxfId="685">
      <pivotArea field="12" type="button" dataOnly="0" labelOnly="1" outline="0" axis="axisRow" fieldPosition="8"/>
    </format>
    <format dxfId="684">
      <pivotArea field="17" type="button" dataOnly="0" labelOnly="1" outline="0" axis="axisRow" fieldPosition="9"/>
    </format>
    <format dxfId="683">
      <pivotArea type="topRight" dataOnly="0" labelOnly="1" outline="0" fieldPosition="0"/>
    </format>
    <format dxfId="682">
      <pivotArea type="all" dataOnly="0" outline="0" fieldPosition="0"/>
    </format>
    <format dxfId="681">
      <pivotArea outline="0" collapsedLevelsAreSubtotals="1" fieldPosition="0"/>
    </format>
    <format dxfId="680">
      <pivotArea type="origin" dataOnly="0" labelOnly="1" outline="0" fieldPosition="0"/>
    </format>
    <format dxfId="679">
      <pivotArea field="1" type="button" dataOnly="0" labelOnly="1" outline="0" axis="axisRow" fieldPosition="0"/>
    </format>
    <format dxfId="678">
      <pivotArea field="0" type="button" dataOnly="0" labelOnly="1" outline="0" axis="axisRow" fieldPosition="1"/>
    </format>
    <format dxfId="677">
      <pivotArea field="4" type="button" dataOnly="0" labelOnly="1" outline="0"/>
    </format>
    <format dxfId="676">
      <pivotArea field="24" type="button" dataOnly="0" labelOnly="1" outline="0" axis="axisRow" fieldPosition="7"/>
    </format>
    <format dxfId="675">
      <pivotArea field="12" type="button" dataOnly="0" labelOnly="1" outline="0" axis="axisRow" fieldPosition="8"/>
    </format>
    <format dxfId="674">
      <pivotArea field="17" type="button" dataOnly="0" labelOnly="1" outline="0" axis="axisRow" fieldPosition="9"/>
    </format>
    <format dxfId="673">
      <pivotArea type="topRight" dataOnly="0" labelOnly="1" outline="0" fieldPosition="0"/>
    </format>
    <format dxfId="672">
      <pivotArea field="4" type="button" dataOnly="0" labelOnly="1" outline="0"/>
    </format>
    <format dxfId="671">
      <pivotArea field="24" type="button" dataOnly="0" labelOnly="1" outline="0" axis="axisRow" fieldPosition="7"/>
    </format>
    <format dxfId="670">
      <pivotArea field="12" type="button" dataOnly="0" labelOnly="1" outline="0" axis="axisRow" fieldPosition="8"/>
    </format>
    <format dxfId="669">
      <pivotArea field="17" type="button" dataOnly="0" labelOnly="1" outline="0" axis="axisRow" fieldPosition="9"/>
    </format>
    <format dxfId="668">
      <pivotArea field="1" type="button" dataOnly="0" labelOnly="1" outline="0" axis="axisRow" fieldPosition="0"/>
    </format>
    <format dxfId="667">
      <pivotArea field="0" type="button" dataOnly="0" labelOnly="1" outline="0" axis="axisRow" fieldPosition="1"/>
    </format>
    <format dxfId="666">
      <pivotArea field="4" type="button" dataOnly="0" labelOnly="1" outline="0"/>
    </format>
    <format dxfId="665">
      <pivotArea field="24" type="button" dataOnly="0" labelOnly="1" outline="0" axis="axisRow" fieldPosition="7"/>
    </format>
    <format dxfId="664">
      <pivotArea field="12" type="button" dataOnly="0" labelOnly="1" outline="0" axis="axisRow" fieldPosition="8"/>
    </format>
    <format dxfId="663">
      <pivotArea field="17" type="button" dataOnly="0" labelOnly="1" outline="0" axis="axisRow" fieldPosition="9"/>
    </format>
    <format dxfId="662">
      <pivotArea field="4" type="button" dataOnly="0" labelOnly="1" outline="0"/>
    </format>
    <format dxfId="661">
      <pivotArea field="20" type="button" dataOnly="0" labelOnly="1" outline="0" axis="axisRow" fieldPosition="2"/>
    </format>
    <format dxfId="660">
      <pivotArea field="21" type="button" dataOnly="0" labelOnly="1" outline="0" axis="axisRow" fieldPosition="3"/>
    </format>
    <format dxfId="659">
      <pivotArea field="22" type="button" dataOnly="0" labelOnly="1" outline="0" axis="axisRow" fieldPosition="4"/>
    </format>
    <format dxfId="658">
      <pivotArea field="5" type="button" dataOnly="0" labelOnly="1" outline="0" axis="axisRow" fieldPosition="6"/>
    </format>
    <format dxfId="657">
      <pivotArea field="1" type="button" dataOnly="0" labelOnly="1" outline="0" axis="axisRow" fieldPosition="0"/>
    </format>
    <format dxfId="656">
      <pivotArea field="0" type="button" dataOnly="0" labelOnly="1" outline="0" axis="axisRow" fieldPosition="1"/>
    </format>
    <format dxfId="655">
      <pivotArea field="24" type="button" dataOnly="0" labelOnly="1" outline="0" axis="axisRow" fieldPosition="7"/>
    </format>
    <format dxfId="654">
      <pivotArea field="12" type="button" dataOnly="0" labelOnly="1" outline="0" axis="axisRow" fieldPosition="8"/>
    </format>
    <format dxfId="653">
      <pivotArea field="17" type="button" dataOnly="0" labelOnly="1" outline="0" axis="axisRow" fieldPosition="9"/>
    </format>
    <format dxfId="652">
      <pivotArea field="1" type="button" dataOnly="0" labelOnly="1" outline="0" axis="axisRow" fieldPosition="0"/>
    </format>
    <format dxfId="651">
      <pivotArea field="0" type="button" dataOnly="0" labelOnly="1" outline="0" axis="axisRow" fieldPosition="1"/>
    </format>
    <format dxfId="650">
      <pivotArea field="20" type="button" dataOnly="0" labelOnly="1" outline="0" axis="axisRow" fieldPosition="2"/>
    </format>
    <format dxfId="649">
      <pivotArea field="21" type="button" dataOnly="0" labelOnly="1" outline="0" axis="axisRow" fieldPosition="3"/>
    </format>
    <format dxfId="648">
      <pivotArea field="22" type="button" dataOnly="0" labelOnly="1" outline="0" axis="axisRow" fieldPosition="4"/>
    </format>
    <format dxfId="647">
      <pivotArea field="23" type="button" dataOnly="0" labelOnly="1" outline="0" axis="axisRow" fieldPosition="5"/>
    </format>
    <format dxfId="646">
      <pivotArea field="5" type="button" dataOnly="0" labelOnly="1" outline="0" axis="axisRow" fieldPosition="6"/>
    </format>
    <format dxfId="645">
      <pivotArea field="24" type="button" dataOnly="0" labelOnly="1" outline="0" axis="axisRow" fieldPosition="7"/>
    </format>
    <format dxfId="644">
      <pivotArea field="12" type="button" dataOnly="0" labelOnly="1" outline="0" axis="axisRow" fieldPosition="8"/>
    </format>
    <format dxfId="643">
      <pivotArea field="17" type="button" dataOnly="0" labelOnly="1" outline="0" axis="axisRow" fieldPosition="9"/>
    </format>
    <format dxfId="642">
      <pivotArea field="1" type="button" dataOnly="0" labelOnly="1" outline="0" axis="axisRow" fieldPosition="0"/>
    </format>
    <format dxfId="641">
      <pivotArea field="0" type="button" dataOnly="0" labelOnly="1" outline="0" axis="axisRow" fieldPosition="1"/>
    </format>
    <format dxfId="640">
      <pivotArea field="20" type="button" dataOnly="0" labelOnly="1" outline="0" axis="axisRow" fieldPosition="2"/>
    </format>
    <format dxfId="639">
      <pivotArea field="21" type="button" dataOnly="0" labelOnly="1" outline="0" axis="axisRow" fieldPosition="3"/>
    </format>
    <format dxfId="638">
      <pivotArea field="22" type="button" dataOnly="0" labelOnly="1" outline="0" axis="axisRow" fieldPosition="4"/>
    </format>
    <format dxfId="637">
      <pivotArea field="23" type="button" dataOnly="0" labelOnly="1" outline="0" axis="axisRow" fieldPosition="5"/>
    </format>
    <format dxfId="636">
      <pivotArea field="5" type="button" dataOnly="0" labelOnly="1" outline="0" axis="axisRow" fieldPosition="6"/>
    </format>
    <format dxfId="635">
      <pivotArea field="24" type="button" dataOnly="0" labelOnly="1" outline="0" axis="axisRow" fieldPosition="7"/>
    </format>
    <format dxfId="634">
      <pivotArea field="12" type="button" dataOnly="0" labelOnly="1" outline="0" axis="axisRow" fieldPosition="8"/>
    </format>
    <format dxfId="633">
      <pivotArea field="17" type="button" dataOnly="0" labelOnly="1" outline="0" axis="axisRow" fieldPosition="9"/>
    </format>
    <format dxfId="632">
      <pivotArea field="1" type="button" dataOnly="0" labelOnly="1" outline="0" axis="axisRow" fieldPosition="0"/>
    </format>
    <format dxfId="631">
      <pivotArea field="0" type="button" dataOnly="0" labelOnly="1" outline="0" axis="axisRow" fieldPosition="1"/>
    </format>
    <format dxfId="630">
      <pivotArea field="20" type="button" dataOnly="0" labelOnly="1" outline="0" axis="axisRow" fieldPosition="2"/>
    </format>
    <format dxfId="629">
      <pivotArea field="21" type="button" dataOnly="0" labelOnly="1" outline="0" axis="axisRow" fieldPosition="3"/>
    </format>
    <format dxfId="628">
      <pivotArea field="22" type="button" dataOnly="0" labelOnly="1" outline="0" axis="axisRow" fieldPosition="4"/>
    </format>
    <format dxfId="627">
      <pivotArea field="23" type="button" dataOnly="0" labelOnly="1" outline="0" axis="axisRow" fieldPosition="5"/>
    </format>
    <format dxfId="626">
      <pivotArea field="5" type="button" dataOnly="0" labelOnly="1" outline="0" axis="axisRow" fieldPosition="6"/>
    </format>
    <format dxfId="625">
      <pivotArea field="24" type="button" dataOnly="0" labelOnly="1" outline="0" axis="axisRow" fieldPosition="7"/>
    </format>
    <format dxfId="624">
      <pivotArea field="12" type="button" dataOnly="0" labelOnly="1" outline="0" axis="axisRow" fieldPosition="8"/>
    </format>
    <format dxfId="623">
      <pivotArea field="17" type="button" dataOnly="0" labelOnly="1" outline="0" axis="axisRow" fieldPosition="9"/>
    </format>
    <format dxfId="622">
      <pivotArea field="1" type="button" dataOnly="0" labelOnly="1" outline="0" axis="axisRow" fieldPosition="0"/>
    </format>
    <format dxfId="621">
      <pivotArea field="0" type="button" dataOnly="0" labelOnly="1" outline="0" axis="axisRow" fieldPosition="1"/>
    </format>
    <format dxfId="620">
      <pivotArea field="20" type="button" dataOnly="0" labelOnly="1" outline="0" axis="axisRow" fieldPosition="2"/>
    </format>
    <format dxfId="619">
      <pivotArea field="21" type="button" dataOnly="0" labelOnly="1" outline="0" axis="axisRow" fieldPosition="3"/>
    </format>
    <format dxfId="618">
      <pivotArea field="22" type="button" dataOnly="0" labelOnly="1" outline="0" axis="axisRow" fieldPosition="4"/>
    </format>
    <format dxfId="617">
      <pivotArea field="23" type="button" dataOnly="0" labelOnly="1" outline="0" axis="axisRow" fieldPosition="5"/>
    </format>
    <format dxfId="616">
      <pivotArea field="5" type="button" dataOnly="0" labelOnly="1" outline="0" axis="axisRow" fieldPosition="6"/>
    </format>
    <format dxfId="615">
      <pivotArea field="24" type="button" dataOnly="0" labelOnly="1" outline="0" axis="axisRow" fieldPosition="7"/>
    </format>
    <format dxfId="614">
      <pivotArea field="12" type="button" dataOnly="0" labelOnly="1" outline="0" axis="axisRow" fieldPosition="8"/>
    </format>
    <format dxfId="613">
      <pivotArea field="17" type="button" dataOnly="0" labelOnly="1" outline="0" axis="axisRow" fieldPosition="9"/>
    </format>
  </formats>
  <pivotTableStyleInfo name="STLPivotStyle0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202B3-689E-4714-9870-C526E6F009B2}" name="LDaaSPriceListPivot" cacheId="1507"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location ref="B4:K5" firstHeaderRow="1" firstDataRow="1" firstDataCol="10" rowPageCount="1" colPageCount="1"/>
  <pivotFields count="25">
    <pivotField axis="axisRow" compact="0" outline="0" showAll="0" defaultSubtotal="0">
      <items count="8">
        <item x="0"/>
        <item x="1"/>
        <item x="2"/>
        <item x="3"/>
        <item x="4"/>
        <item x="5"/>
        <item x="6"/>
        <item x="7"/>
      </items>
    </pivotField>
    <pivotField axis="axisRow" compact="0" outline="0" showAll="0" sortType="ascending" defaultSubtota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m="1" x="208"/>
        <item x="138"/>
        <item x="139"/>
        <item x="140"/>
        <item x="141"/>
        <item x="142"/>
        <item x="143"/>
        <item m="1" x="200"/>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97"/>
        <item m="1" x="195"/>
        <item m="1" x="193"/>
        <item m="1" x="191"/>
        <item m="1" x="189"/>
        <item m="1" x="187"/>
        <item m="1" x="185"/>
        <item m="1" x="183"/>
        <item m="1" x="218"/>
        <item m="1" x="217"/>
        <item m="1" x="216"/>
        <item m="1" x="215"/>
        <item m="1" x="214"/>
        <item m="1" x="213"/>
        <item m="1" x="212"/>
        <item m="1" x="211"/>
        <item m="1" x="210"/>
        <item m="1" x="209"/>
        <item m="1" x="207"/>
        <item m="1" x="206"/>
        <item m="1" x="205"/>
        <item m="1" x="204"/>
        <item m="1" x="203"/>
        <item m="1" x="202"/>
        <item m="1" x="201"/>
        <item m="1" x="199"/>
        <item m="1" x="198"/>
        <item m="1" x="196"/>
        <item m="1" x="194"/>
        <item m="1" x="192"/>
        <item m="1" x="190"/>
        <item m="1" x="188"/>
        <item m="1" x="186"/>
        <item m="1" x="184"/>
        <item m="1" x="182"/>
        <item x="172"/>
        <item x="173"/>
        <item x="174"/>
        <item x="175"/>
        <item x="176"/>
        <item x="177"/>
        <item x="178"/>
        <item x="179"/>
        <item x="180"/>
        <item x="181"/>
      </items>
    </pivotField>
    <pivotField compact="0" outline="0" showAll="0"/>
    <pivotField compact="0" outline="0" showAll="0"/>
    <pivotField name="Description" compact="0" outline="0" showAll="0" defaultSubtotal="0">
      <items count="168">
        <item x="29"/>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s>
    </pivotField>
    <pivotField axis="axisRow" compact="0" outline="0" showAll="0" defaultSubtotal="0">
      <items count="3">
        <item x="2"/>
        <item x="1"/>
        <item x="0"/>
      </items>
    </pivotField>
    <pivotField axis="axisPage" compact="0" outline="0" showAll="0">
      <items count="6">
        <item x="1"/>
        <item x="2"/>
        <item x="3"/>
        <item x="0"/>
        <item m="1" x="4"/>
        <item t="default"/>
      </items>
    </pivotField>
    <pivotField compact="0" outline="0" showAll="0"/>
    <pivotField compact="0" outline="0" showAll="0"/>
    <pivotField compact="0" outline="0" showAll="0"/>
    <pivotField compact="0" outline="0" showAll="0"/>
    <pivotField compact="0" outline="0" showAll="0"/>
    <pivotField name="List Price" axis="axisRow" compact="0" outline="0" showAll="0" defaultSubtota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compact="0" outline="0" showAll="0"/>
    <pivotField compact="0" outline="0" showAll="0"/>
    <pivotField compact="0" outline="0" showAll="0"/>
    <pivotField compact="0" outline="0" showAll="0"/>
    <pivotField axis="axisRow" compact="0" outline="0" showAll="0">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m="1" x="62"/>
        <item m="1" x="65"/>
        <item m="1" x="68"/>
        <item m="1" x="83"/>
        <item m="1" x="70"/>
        <item m="1" x="107"/>
        <item m="1" x="94"/>
        <item m="1" x="90"/>
        <item m="1" x="81"/>
        <item m="1" x="79"/>
        <item m="1" x="87"/>
        <item m="1" x="63"/>
        <item m="1" x="92"/>
        <item m="1" x="75"/>
        <item m="1" x="105"/>
        <item m="1" x="71"/>
        <item m="1" x="96"/>
        <item m="1" x="101"/>
        <item m="1" x="109"/>
        <item m="1" x="78"/>
        <item m="1" x="66"/>
        <item m="1" x="84"/>
        <item m="1" x="64"/>
        <item m="1" x="72"/>
        <item m="1" x="74"/>
        <item m="1" x="60"/>
        <item m="1" x="88"/>
        <item m="1" x="110"/>
        <item m="1" x="99"/>
        <item m="1" x="98"/>
        <item m="1" x="80"/>
        <item m="1" x="91"/>
        <item m="1" x="103"/>
        <item m="1" x="85"/>
        <item m="1" x="61"/>
        <item m="1" x="95"/>
        <item m="1" x="100"/>
        <item m="1" x="73"/>
        <item m="1" x="108"/>
        <item m="1" x="69"/>
        <item m="1" x="82"/>
        <item m="1" x="104"/>
        <item m="1" x="67"/>
        <item m="1" x="106"/>
        <item m="1" x="97"/>
        <item m="1" x="59"/>
        <item m="1" x="102"/>
        <item m="1" x="93"/>
        <item m="1" x="86"/>
        <item m="1" x="89"/>
        <item m="1" x="76"/>
        <item m="1" x="111"/>
        <item m="1" x="77"/>
        <item t="default"/>
      </items>
    </pivotField>
    <pivotField compact="0" outline="0" showAll="0"/>
    <pivotField compact="0" outline="0" showAll="0"/>
    <pivotField axis="axisRow" compact="0" outline="0" showAll="0" defaultSubtotal="0">
      <items count="10">
        <item x="1"/>
        <item x="0"/>
        <item x="2"/>
        <item x="3"/>
        <item x="4"/>
        <item x="5"/>
        <item x="6"/>
        <item x="7"/>
        <item x="8"/>
        <item x="9"/>
      </items>
    </pivotField>
    <pivotField axis="axisRow" compact="0" outline="0" showAll="0" defaultSubtotal="0">
      <items count="19">
        <item x="0"/>
        <item x="7"/>
        <item x="1"/>
        <item x="2"/>
        <item x="3"/>
        <item x="4"/>
        <item x="5"/>
        <item x="6"/>
        <item x="8"/>
        <item x="9"/>
        <item x="10"/>
        <item x="11"/>
        <item x="12"/>
        <item x="13"/>
        <item x="14"/>
        <item x="15"/>
        <item x="16"/>
        <item x="17"/>
        <item x="18"/>
      </items>
    </pivotField>
    <pivotField axis="axisRow" compact="0" outline="0"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m="1" x="29"/>
      </items>
    </pivotField>
    <pivotField name="Feature" axis="axisRow" compact="0" outline="0"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4"/>
        <item x="95"/>
        <item x="97"/>
        <item x="98"/>
        <item x="99"/>
        <item x="100"/>
        <item x="101"/>
        <item x="103"/>
        <item x="104"/>
        <item x="105"/>
        <item x="106"/>
        <item x="107"/>
        <item x="108"/>
        <item x="109"/>
        <item x="110"/>
        <item x="112"/>
        <item m="1" x="117"/>
        <item m="1" x="118"/>
        <item m="1" x="115"/>
        <item m="1" x="113"/>
        <item m="1" x="116"/>
        <item m="1" x="114"/>
        <item x="93"/>
        <item x="96"/>
        <item x="102"/>
        <item x="111"/>
      </items>
    </pivotField>
    <pivotField axis="axisRow" compact="0" outline="0" showAll="0" defaultSubtotal="0">
      <items count="86">
        <item m="1" x="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m="1" x="71"/>
        <item m="1" x="81"/>
        <item m="1" x="74"/>
        <item m="1" x="80"/>
        <item m="1" x="83"/>
        <item m="1" x="77"/>
        <item m="1" x="84"/>
        <item m="1" x="73"/>
        <item m="1" x="72"/>
        <item m="1" x="76"/>
        <item m="1" x="70"/>
        <item m="1" x="82"/>
        <item m="1" x="69"/>
        <item m="1" x="85"/>
        <item m="1" x="78"/>
        <item m="1" x="75"/>
        <item m="1" x="79"/>
        <item x="0"/>
      </items>
    </pivotField>
  </pivotFields>
  <rowFields count="10">
    <field x="1"/>
    <field x="0"/>
    <field x="20"/>
    <field x="21"/>
    <field x="22"/>
    <field x="23"/>
    <field x="5"/>
    <field x="24"/>
    <field x="12"/>
    <field x="17"/>
  </rowFields>
  <rowItems count="1">
    <i>
      <x v="216"/>
      <x v="7"/>
      <x/>
      <x/>
      <x/>
      <x v="118"/>
      <x v="2"/>
      <x v="85"/>
      <x v="61"/>
      <x/>
    </i>
  </rowItems>
  <colItems count="1">
    <i/>
  </colItems>
  <pageFields count="1">
    <pageField fld="6" item="1" hier="-1"/>
  </pageFields>
  <formats count="86">
    <format dxfId="612">
      <pivotArea type="all" dataOnly="0" outline="0" fieldPosition="0"/>
    </format>
    <format dxfId="611">
      <pivotArea outline="0" collapsedLevelsAreSubtotals="1" fieldPosition="0"/>
    </format>
    <format dxfId="610">
      <pivotArea type="origin" dataOnly="0" labelOnly="1" outline="0" fieldPosition="0"/>
    </format>
    <format dxfId="609">
      <pivotArea field="1" type="button" dataOnly="0" labelOnly="1" outline="0" axis="axisRow" fieldPosition="0"/>
    </format>
    <format dxfId="608">
      <pivotArea field="0" type="button" dataOnly="0" labelOnly="1" outline="0" axis="axisRow" fieldPosition="1"/>
    </format>
    <format dxfId="607">
      <pivotArea field="4" type="button" dataOnly="0" labelOnly="1" outline="0"/>
    </format>
    <format dxfId="606">
      <pivotArea field="24" type="button" dataOnly="0" labelOnly="1" outline="0" axis="axisRow" fieldPosition="7"/>
    </format>
    <format dxfId="605">
      <pivotArea field="12" type="button" dataOnly="0" labelOnly="1" outline="0" axis="axisRow" fieldPosition="8"/>
    </format>
    <format dxfId="604">
      <pivotArea field="17" type="button" dataOnly="0" labelOnly="1" outline="0" axis="axisRow" fieldPosition="9"/>
    </format>
    <format dxfId="603">
      <pivotArea type="topRight" dataOnly="0" labelOnly="1" outline="0" fieldPosition="0"/>
    </format>
    <format dxfId="602">
      <pivotArea type="all" dataOnly="0" outline="0" fieldPosition="0"/>
    </format>
    <format dxfId="601">
      <pivotArea outline="0" collapsedLevelsAreSubtotals="1" fieldPosition="0"/>
    </format>
    <format dxfId="600">
      <pivotArea type="origin" dataOnly="0" labelOnly="1" outline="0" fieldPosition="0"/>
    </format>
    <format dxfId="599">
      <pivotArea field="1" type="button" dataOnly="0" labelOnly="1" outline="0" axis="axisRow" fieldPosition="0"/>
    </format>
    <format dxfId="598">
      <pivotArea field="0" type="button" dataOnly="0" labelOnly="1" outline="0" axis="axisRow" fieldPosition="1"/>
    </format>
    <format dxfId="597">
      <pivotArea field="4" type="button" dataOnly="0" labelOnly="1" outline="0"/>
    </format>
    <format dxfId="596">
      <pivotArea field="24" type="button" dataOnly="0" labelOnly="1" outline="0" axis="axisRow" fieldPosition="7"/>
    </format>
    <format dxfId="595">
      <pivotArea field="12" type="button" dataOnly="0" labelOnly="1" outline="0" axis="axisRow" fieldPosition="8"/>
    </format>
    <format dxfId="594">
      <pivotArea field="17" type="button" dataOnly="0" labelOnly="1" outline="0" axis="axisRow" fieldPosition="9"/>
    </format>
    <format dxfId="593">
      <pivotArea type="topRight" dataOnly="0" labelOnly="1" outline="0" fieldPosition="0"/>
    </format>
    <format dxfId="592">
      <pivotArea field="4" type="button" dataOnly="0" labelOnly="1" outline="0"/>
    </format>
    <format dxfId="591">
      <pivotArea field="24" type="button" dataOnly="0" labelOnly="1" outline="0" axis="axisRow" fieldPosition="7"/>
    </format>
    <format dxfId="590">
      <pivotArea field="12" type="button" dataOnly="0" labelOnly="1" outline="0" axis="axisRow" fieldPosition="8"/>
    </format>
    <format dxfId="589">
      <pivotArea field="17" type="button" dataOnly="0" labelOnly="1" outline="0" axis="axisRow" fieldPosition="9"/>
    </format>
    <format dxfId="588">
      <pivotArea field="1" type="button" dataOnly="0" labelOnly="1" outline="0" axis="axisRow" fieldPosition="0"/>
    </format>
    <format dxfId="587">
      <pivotArea field="0" type="button" dataOnly="0" labelOnly="1" outline="0" axis="axisRow" fieldPosition="1"/>
    </format>
    <format dxfId="586">
      <pivotArea field="4" type="button" dataOnly="0" labelOnly="1" outline="0"/>
    </format>
    <format dxfId="585">
      <pivotArea field="24" type="button" dataOnly="0" labelOnly="1" outline="0" axis="axisRow" fieldPosition="7"/>
    </format>
    <format dxfId="584">
      <pivotArea field="12" type="button" dataOnly="0" labelOnly="1" outline="0" axis="axisRow" fieldPosition="8"/>
    </format>
    <format dxfId="583">
      <pivotArea field="17" type="button" dataOnly="0" labelOnly="1" outline="0" axis="axisRow" fieldPosition="9"/>
    </format>
    <format dxfId="582">
      <pivotArea field="4" type="button" dataOnly="0" labelOnly="1" outline="0"/>
    </format>
    <format dxfId="581">
      <pivotArea field="20" type="button" dataOnly="0" labelOnly="1" outline="0" axis="axisRow" fieldPosition="2"/>
    </format>
    <format dxfId="580">
      <pivotArea field="21" type="button" dataOnly="0" labelOnly="1" outline="0" axis="axisRow" fieldPosition="3"/>
    </format>
    <format dxfId="579">
      <pivotArea field="22" type="button" dataOnly="0" labelOnly="1" outline="0" axis="axisRow" fieldPosition="4"/>
    </format>
    <format dxfId="578">
      <pivotArea field="23" type="button" dataOnly="0" labelOnly="1" outline="0" axis="axisRow" fieldPosition="5"/>
    </format>
    <format dxfId="577">
      <pivotArea field="5" type="button" dataOnly="0" labelOnly="1" outline="0" axis="axisRow" fieldPosition="6"/>
    </format>
    <format dxfId="576">
      <pivotArea field="1" type="button" dataOnly="0" labelOnly="1" outline="0" axis="axisRow" fieldPosition="0"/>
    </format>
    <format dxfId="575">
      <pivotArea field="0" type="button" dataOnly="0" labelOnly="1" outline="0" axis="axisRow" fieldPosition="1"/>
    </format>
    <format dxfId="574">
      <pivotArea field="20" type="button" dataOnly="0" labelOnly="1" outline="0" axis="axisRow" fieldPosition="2"/>
    </format>
    <format dxfId="573">
      <pivotArea field="21" type="button" dataOnly="0" labelOnly="1" outline="0" axis="axisRow" fieldPosition="3"/>
    </format>
    <format dxfId="572">
      <pivotArea field="22" type="button" dataOnly="0" labelOnly="1" outline="0" axis="axisRow" fieldPosition="4"/>
    </format>
    <format dxfId="571">
      <pivotArea field="23" type="button" dataOnly="0" labelOnly="1" outline="0" axis="axisRow" fieldPosition="5"/>
    </format>
    <format dxfId="570">
      <pivotArea field="5" type="button" dataOnly="0" labelOnly="1" outline="0" axis="axisRow" fieldPosition="6"/>
    </format>
    <format dxfId="569">
      <pivotArea field="24" type="button" dataOnly="0" labelOnly="1" outline="0" axis="axisRow" fieldPosition="7"/>
    </format>
    <format dxfId="568">
      <pivotArea field="12" type="button" dataOnly="0" labelOnly="1" outline="0" axis="axisRow" fieldPosition="8"/>
    </format>
    <format dxfId="567">
      <pivotArea field="17" type="button" dataOnly="0" labelOnly="1" outline="0" axis="axisRow" fieldPosition="9"/>
    </format>
    <format dxfId="566">
      <pivotArea field="1" type="button" dataOnly="0" labelOnly="1" outline="0" axis="axisRow" fieldPosition="0"/>
    </format>
    <format dxfId="565">
      <pivotArea field="0" type="button" dataOnly="0" labelOnly="1" outline="0" axis="axisRow" fieldPosition="1"/>
    </format>
    <format dxfId="564">
      <pivotArea field="20" type="button" dataOnly="0" labelOnly="1" outline="0" axis="axisRow" fieldPosition="2"/>
    </format>
    <format dxfId="563">
      <pivotArea field="21" type="button" dataOnly="0" labelOnly="1" outline="0" axis="axisRow" fieldPosition="3"/>
    </format>
    <format dxfId="562">
      <pivotArea field="22" type="button" dataOnly="0" labelOnly="1" outline="0" axis="axisRow" fieldPosition="4"/>
    </format>
    <format dxfId="561">
      <pivotArea field="23" type="button" dataOnly="0" labelOnly="1" outline="0" axis="axisRow" fieldPosition="5"/>
    </format>
    <format dxfId="560">
      <pivotArea field="5" type="button" dataOnly="0" labelOnly="1" outline="0" axis="axisRow" fieldPosition="6"/>
    </format>
    <format dxfId="559">
      <pivotArea field="24" type="button" dataOnly="0" labelOnly="1" outline="0" axis="axisRow" fieldPosition="7"/>
    </format>
    <format dxfId="558">
      <pivotArea field="12" type="button" dataOnly="0" labelOnly="1" outline="0" axis="axisRow" fieldPosition="8"/>
    </format>
    <format dxfId="557">
      <pivotArea field="17" type="button" dataOnly="0" labelOnly="1" outline="0" axis="axisRow" fieldPosition="9"/>
    </format>
    <format dxfId="556">
      <pivotArea field="1" type="button" dataOnly="0" labelOnly="1" outline="0" axis="axisRow" fieldPosition="0"/>
    </format>
    <format dxfId="555">
      <pivotArea field="0" type="button" dataOnly="0" labelOnly="1" outline="0" axis="axisRow" fieldPosition="1"/>
    </format>
    <format dxfId="554">
      <pivotArea field="20" type="button" dataOnly="0" labelOnly="1" outline="0" axis="axisRow" fieldPosition="2"/>
    </format>
    <format dxfId="553">
      <pivotArea field="21" type="button" dataOnly="0" labelOnly="1" outline="0" axis="axisRow" fieldPosition="3"/>
    </format>
    <format dxfId="552">
      <pivotArea field="22" type="button" dataOnly="0" labelOnly="1" outline="0" axis="axisRow" fieldPosition="4"/>
    </format>
    <format dxfId="551">
      <pivotArea field="23" type="button" dataOnly="0" labelOnly="1" outline="0" axis="axisRow" fieldPosition="5"/>
    </format>
    <format dxfId="550">
      <pivotArea field="5" type="button" dataOnly="0" labelOnly="1" outline="0" axis="axisRow" fieldPosition="6"/>
    </format>
    <format dxfId="549">
      <pivotArea field="24" type="button" dataOnly="0" labelOnly="1" outline="0" axis="axisRow" fieldPosition="7"/>
    </format>
    <format dxfId="548">
      <pivotArea field="12" type="button" dataOnly="0" labelOnly="1" outline="0" axis="axisRow" fieldPosition="8"/>
    </format>
    <format dxfId="547">
      <pivotArea field="17" type="button" dataOnly="0" labelOnly="1" outline="0" axis="axisRow" fieldPosition="9"/>
    </format>
    <format dxfId="546">
      <pivotArea field="1" type="button" dataOnly="0" labelOnly="1" outline="0" axis="axisRow" fieldPosition="0"/>
    </format>
    <format dxfId="545">
      <pivotArea field="0" type="button" dataOnly="0" labelOnly="1" outline="0" axis="axisRow" fieldPosition="1"/>
    </format>
    <format dxfId="544">
      <pivotArea field="20" type="button" dataOnly="0" labelOnly="1" outline="0" axis="axisRow" fieldPosition="2"/>
    </format>
    <format dxfId="543">
      <pivotArea field="21" type="button" dataOnly="0" labelOnly="1" outline="0" axis="axisRow" fieldPosition="3"/>
    </format>
    <format dxfId="542">
      <pivotArea field="22" type="button" dataOnly="0" labelOnly="1" outline="0" axis="axisRow" fieldPosition="4"/>
    </format>
    <format dxfId="541">
      <pivotArea field="23" type="button" dataOnly="0" labelOnly="1" outline="0" axis="axisRow" fieldPosition="5"/>
    </format>
    <format dxfId="540">
      <pivotArea field="5" type="button" dataOnly="0" labelOnly="1" outline="0" axis="axisRow" fieldPosition="6"/>
    </format>
    <format dxfId="539">
      <pivotArea field="24" type="button" dataOnly="0" labelOnly="1" outline="0" axis="axisRow" fieldPosition="7"/>
    </format>
    <format dxfId="538">
      <pivotArea field="12" type="button" dataOnly="0" labelOnly="1" outline="0" axis="axisRow" fieldPosition="8"/>
    </format>
    <format dxfId="537">
      <pivotArea field="17" type="button" dataOnly="0" labelOnly="1" outline="0" axis="axisRow" fieldPosition="9"/>
    </format>
    <format dxfId="536">
      <pivotArea field="1" type="button" dataOnly="0" labelOnly="1" outline="0" axis="axisRow" fieldPosition="0"/>
    </format>
    <format dxfId="535">
      <pivotArea field="0" type="button" dataOnly="0" labelOnly="1" outline="0" axis="axisRow" fieldPosition="1"/>
    </format>
    <format dxfId="534">
      <pivotArea field="20" type="button" dataOnly="0" labelOnly="1" outline="0" axis="axisRow" fieldPosition="2"/>
    </format>
    <format dxfId="533">
      <pivotArea field="21" type="button" dataOnly="0" labelOnly="1" outline="0" axis="axisRow" fieldPosition="3"/>
    </format>
    <format dxfId="532">
      <pivotArea field="22" type="button" dataOnly="0" labelOnly="1" outline="0" axis="axisRow" fieldPosition="4"/>
    </format>
    <format dxfId="531">
      <pivotArea field="23" type="button" dataOnly="0" labelOnly="1" outline="0" axis="axisRow" fieldPosition="5"/>
    </format>
    <format dxfId="530">
      <pivotArea field="5" type="button" dataOnly="0" labelOnly="1" outline="0" axis="axisRow" fieldPosition="6"/>
    </format>
    <format dxfId="529">
      <pivotArea field="24" type="button" dataOnly="0" labelOnly="1" outline="0" axis="axisRow" fieldPosition="7"/>
    </format>
    <format dxfId="528">
      <pivotArea field="12" type="button" dataOnly="0" labelOnly="1" outline="0" axis="axisRow" fieldPosition="8"/>
    </format>
    <format dxfId="527">
      <pivotArea field="17" type="button" dataOnly="0" labelOnly="1" outline="0" axis="axisRow" fieldPosition="9"/>
    </format>
  </formats>
  <pivotTableStyleInfo name="STLPivotStyle0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57D927-6685-49B4-BA93-3615E3CE74FB}" name="BorderWisePriceListPivot" cacheId="1506" applyNumberFormats="0" applyBorderFormats="0" applyFontFormats="0" applyPatternFormats="0" applyAlignmentFormats="0" applyWidthHeightFormats="1" dataCaption="Values" updatedVersion="7" minRefreshableVersion="3" showDrill="0" useAutoFormatting="1" rowGrandTotals="0" itemPrintTitles="1" createdVersion="6" indent="0" compact="0" compactData="0" multipleFieldFilters="0">
  <location ref="B5:L36" firstHeaderRow="1" firstDataRow="1" firstDataCol="11"/>
  <pivotFields count="17">
    <pivotField axis="axisRow" compact="0" outline="0" showAll="0" defaultSubtotal="0">
      <items count="3">
        <item x="1"/>
        <item x="0"/>
        <item x="2"/>
      </items>
    </pivotField>
    <pivotField axis="axisRow" compact="0" outline="0" showAll="0" sortType="ascending"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outline="0" showAll="0"/>
    <pivotField compact="0" outline="0" showAll="0"/>
    <pivotField compact="0" outline="0" showAll="0"/>
    <pivotField compact="0" outline="0" showAll="0"/>
    <pivotField axis="axisRow" compact="0" outline="0" showAll="0" defaultSubtotal="0">
      <items count="2">
        <item x="1"/>
        <item x="0"/>
      </items>
    </pivotField>
    <pivotField axis="axisRow" compact="0" outline="0" showAll="0" defaultSubtotal="0">
      <items count="5">
        <item x="1"/>
        <item x="2"/>
        <item x="3"/>
        <item x="4"/>
        <item x="0"/>
      </items>
    </pivotField>
    <pivotField compact="0" outline="0" showAll="0"/>
    <pivotField axis="axisRow" compact="0" outline="0" showAll="0" defaultSubtotal="0">
      <items count="9">
        <item x="1"/>
        <item x="2"/>
        <item x="4"/>
        <item x="8"/>
        <item x="5"/>
        <item x="6"/>
        <item x="7"/>
        <item x="0"/>
        <item x="3"/>
      </items>
    </pivotField>
    <pivotField axis="axisRow" compact="0" outline="0" showAll="0">
      <items count="10">
        <item x="1"/>
        <item x="2"/>
        <item x="4"/>
        <item x="8"/>
        <item x="5"/>
        <item x="6"/>
        <item x="7"/>
        <item x="0"/>
        <item x="3"/>
        <item t="default"/>
      </items>
    </pivotField>
    <pivotField axis="axisRow" compact="0" outline="0" showAll="0" defaultSubtotal="0">
      <items count="9">
        <item x="0"/>
        <item m="1" x="7"/>
        <item x="1"/>
        <item x="2"/>
        <item x="3"/>
        <item x="4"/>
        <item x="5"/>
        <item m="1" x="8"/>
        <item x="6"/>
      </items>
    </pivotField>
    <pivotField compact="0" outline="0" showAll="0"/>
    <pivotField axis="axisRow" compact="0" outline="0" showAll="0" defaultSubtotal="0">
      <items count="2">
        <item x="1"/>
        <item x="0"/>
      </items>
    </pivotField>
    <pivotField axis="axisRow" compact="0" outline="0" showAll="0" defaultSubtotal="0">
      <items count="1">
        <item x="0"/>
      </items>
    </pivotField>
    <pivotField axis="axisRow" compact="0" outline="0" showAll="0" defaultSubtotal="0">
      <items count="7">
        <item x="0"/>
        <item x="6"/>
        <item x="1"/>
        <item x="5"/>
        <item x="2"/>
        <item x="3"/>
        <item x="4"/>
      </items>
    </pivotField>
    <pivotField axis="axisRow" compact="0" outline="0" showAll="0" defaultSubtotal="0">
      <items count="25">
        <item x="0"/>
        <item x="24"/>
        <item x="21"/>
        <item x="22"/>
        <item x="5"/>
        <item x="23"/>
        <item x="10"/>
        <item x="15"/>
        <item x="20"/>
        <item x="2"/>
        <item x="3"/>
        <item x="1"/>
        <item x="4"/>
        <item x="7"/>
        <item x="8"/>
        <item x="6"/>
        <item x="9"/>
        <item x="12"/>
        <item x="13"/>
        <item x="11"/>
        <item x="14"/>
        <item x="17"/>
        <item x="18"/>
        <item x="16"/>
        <item x="19"/>
      </items>
    </pivotField>
  </pivotFields>
  <rowFields count="11">
    <field x="1"/>
    <field x="0"/>
    <field x="13"/>
    <field x="14"/>
    <field x="15"/>
    <field x="16"/>
    <field x="11"/>
    <field x="6"/>
    <field x="7"/>
    <field x="9"/>
    <field x="10"/>
  </rowFields>
  <rowItems count="31">
    <i>
      <x/>
      <x v="1"/>
      <x v="1"/>
      <x/>
      <x/>
      <x/>
      <x/>
      <x v="1"/>
      <x v="4"/>
      <x v="7"/>
      <x v="7"/>
    </i>
    <i>
      <x v="1"/>
      <x/>
      <x/>
      <x/>
      <x v="2"/>
      <x/>
      <x/>
      <x v="1"/>
      <x v="4"/>
      <x v="7"/>
      <x v="7"/>
    </i>
    <i>
      <x v="2"/>
      <x v="2"/>
      <x/>
      <x/>
      <x/>
      <x v="11"/>
      <x v="2"/>
      <x/>
      <x/>
      <x/>
      <x/>
    </i>
    <i>
      <x v="3"/>
      <x v="2"/>
      <x/>
      <x/>
      <x/>
      <x v="9"/>
      <x v="2"/>
      <x/>
      <x/>
      <x v="1"/>
      <x v="1"/>
    </i>
    <i>
      <x v="4"/>
      <x v="2"/>
      <x/>
      <x/>
      <x/>
      <x v="10"/>
      <x v="2"/>
      <x/>
      <x/>
      <x v="8"/>
      <x v="8"/>
    </i>
    <i>
      <x v="5"/>
      <x v="2"/>
      <x/>
      <x/>
      <x/>
      <x v="12"/>
      <x v="2"/>
      <x/>
      <x/>
      <x v="2"/>
      <x v="2"/>
    </i>
    <i>
      <x v="6"/>
      <x v="2"/>
      <x/>
      <x/>
      <x/>
      <x v="4"/>
      <x v="3"/>
      <x/>
      <x/>
      <x v="1"/>
      <x v="1"/>
    </i>
    <i>
      <x v="7"/>
      <x/>
      <x/>
      <x/>
      <x v="4"/>
      <x/>
      <x/>
      <x v="1"/>
      <x v="4"/>
      <x v="7"/>
      <x v="7"/>
    </i>
    <i>
      <x v="8"/>
      <x v="2"/>
      <x/>
      <x/>
      <x/>
      <x v="15"/>
      <x v="2"/>
      <x/>
      <x v="1"/>
      <x/>
      <x/>
    </i>
    <i>
      <x v="9"/>
      <x v="2"/>
      <x/>
      <x/>
      <x/>
      <x v="13"/>
      <x v="2"/>
      <x/>
      <x v="1"/>
      <x v="1"/>
      <x v="1"/>
    </i>
    <i>
      <x v="10"/>
      <x v="2"/>
      <x/>
      <x/>
      <x/>
      <x v="14"/>
      <x v="2"/>
      <x/>
      <x v="1"/>
      <x v="8"/>
      <x v="8"/>
    </i>
    <i>
      <x v="11"/>
      <x v="2"/>
      <x/>
      <x/>
      <x/>
      <x v="16"/>
      <x v="2"/>
      <x/>
      <x v="1"/>
      <x v="2"/>
      <x v="2"/>
    </i>
    <i>
      <x v="12"/>
      <x v="2"/>
      <x/>
      <x/>
      <x/>
      <x v="6"/>
      <x v="4"/>
      <x/>
      <x v="1"/>
      <x v="1"/>
      <x v="1"/>
    </i>
    <i>
      <x v="13"/>
      <x/>
      <x/>
      <x/>
      <x v="5"/>
      <x/>
      <x/>
      <x v="1"/>
      <x v="4"/>
      <x v="7"/>
      <x v="7"/>
    </i>
    <i>
      <x v="14"/>
      <x v="2"/>
      <x/>
      <x/>
      <x/>
      <x v="19"/>
      <x v="2"/>
      <x/>
      <x v="2"/>
      <x/>
      <x/>
    </i>
    <i>
      <x v="15"/>
      <x v="2"/>
      <x/>
      <x/>
      <x/>
      <x v="17"/>
      <x v="2"/>
      <x/>
      <x v="2"/>
      <x v="1"/>
      <x v="1"/>
    </i>
    <i>
      <x v="16"/>
      <x v="2"/>
      <x/>
      <x/>
      <x/>
      <x v="18"/>
      <x v="2"/>
      <x/>
      <x v="2"/>
      <x v="8"/>
      <x v="8"/>
    </i>
    <i>
      <x v="17"/>
      <x v="2"/>
      <x/>
      <x/>
      <x/>
      <x v="20"/>
      <x v="2"/>
      <x/>
      <x v="2"/>
      <x v="2"/>
      <x v="2"/>
    </i>
    <i>
      <x v="18"/>
      <x v="2"/>
      <x/>
      <x/>
      <x/>
      <x v="7"/>
      <x v="5"/>
      <x/>
      <x v="2"/>
      <x v="1"/>
      <x v="1"/>
    </i>
    <i>
      <x v="19"/>
      <x/>
      <x/>
      <x/>
      <x v="6"/>
      <x/>
      <x/>
      <x v="1"/>
      <x v="4"/>
      <x v="7"/>
      <x v="7"/>
    </i>
    <i>
      <x v="20"/>
      <x v="2"/>
      <x/>
      <x/>
      <x/>
      <x v="23"/>
      <x v="2"/>
      <x/>
      <x v="3"/>
      <x v="4"/>
      <x v="4"/>
    </i>
    <i>
      <x v="21"/>
      <x v="2"/>
      <x/>
      <x/>
      <x/>
      <x v="21"/>
      <x v="2"/>
      <x/>
      <x v="3"/>
      <x v="5"/>
      <x v="5"/>
    </i>
    <i>
      <x v="22"/>
      <x v="2"/>
      <x/>
      <x/>
      <x/>
      <x v="22"/>
      <x v="2"/>
      <x/>
      <x v="3"/>
      <x v="8"/>
      <x v="8"/>
    </i>
    <i>
      <x v="23"/>
      <x v="2"/>
      <x/>
      <x/>
      <x/>
      <x v="24"/>
      <x v="2"/>
      <x/>
      <x v="3"/>
      <x v="6"/>
      <x v="6"/>
    </i>
    <i>
      <x v="24"/>
      <x v="2"/>
      <x/>
      <x/>
      <x/>
      <x v="8"/>
      <x v="6"/>
      <x/>
      <x v="3"/>
      <x v="5"/>
      <x v="5"/>
    </i>
    <i>
      <x v="25"/>
      <x/>
      <x/>
      <x/>
      <x v="3"/>
      <x/>
      <x/>
      <x v="1"/>
      <x v="4"/>
      <x v="7"/>
      <x v="7"/>
    </i>
    <i>
      <x v="26"/>
      <x v="2"/>
      <x/>
      <x/>
      <x/>
      <x v="2"/>
      <x v="2"/>
      <x/>
      <x v="2"/>
      <x v="2"/>
      <x v="2"/>
    </i>
    <i>
      <x v="27"/>
      <x v="2"/>
      <x/>
      <x/>
      <x/>
      <x v="3"/>
      <x v="2"/>
      <x/>
      <x v="2"/>
      <x v="3"/>
      <x v="3"/>
    </i>
    <i>
      <x v="28"/>
      <x v="2"/>
      <x/>
      <x/>
      <x/>
      <x v="5"/>
      <x v="8"/>
      <x/>
      <x v="2"/>
      <x v="1"/>
      <x v="1"/>
    </i>
    <i>
      <x v="29"/>
      <x/>
      <x/>
      <x/>
      <x v="1"/>
      <x/>
      <x/>
      <x/>
      <x v="4"/>
      <x v="7"/>
      <x v="7"/>
    </i>
    <i>
      <x v="30"/>
      <x v="2"/>
      <x/>
      <x/>
      <x/>
      <x v="1"/>
      <x v="2"/>
      <x/>
      <x v="4"/>
      <x v="8"/>
      <x v="8"/>
    </i>
  </rowItems>
  <colItems count="1">
    <i/>
  </colItems>
  <formats count="339">
    <format dxfId="505">
      <pivotArea field="1" type="button" dataOnly="0" labelOnly="1" outline="0" axis="axisRow" fieldPosition="0"/>
    </format>
    <format dxfId="504">
      <pivotArea field="0" type="button" dataOnly="0" labelOnly="1" outline="0" axis="axisRow" fieldPosition="1"/>
    </format>
    <format dxfId="503">
      <pivotArea field="13" type="button" dataOnly="0" labelOnly="1" outline="0" axis="axisRow" fieldPosition="2"/>
    </format>
    <format dxfId="502">
      <pivotArea field="14" type="button" dataOnly="0" labelOnly="1" outline="0" axis="axisRow" fieldPosition="3"/>
    </format>
    <format dxfId="501">
      <pivotArea field="15" type="button" dataOnly="0" labelOnly="1" outline="0" axis="axisRow" fieldPosition="4"/>
    </format>
    <format dxfId="500">
      <pivotArea field="16" type="button" dataOnly="0" labelOnly="1" outline="0" axis="axisRow" fieldPosition="5"/>
    </format>
    <format dxfId="499">
      <pivotArea field="11" type="button" dataOnly="0" labelOnly="1" outline="0" axis="axisRow" fieldPosition="6"/>
    </format>
    <format dxfId="498">
      <pivotArea field="6" type="button" dataOnly="0" labelOnly="1" outline="0" axis="axisRow" fieldPosition="7"/>
    </format>
    <format dxfId="497">
      <pivotArea field="7" type="button" dataOnly="0" labelOnly="1" outline="0" axis="axisRow" fieldPosition="8"/>
    </format>
    <format dxfId="496">
      <pivotArea field="9" type="button" dataOnly="0" labelOnly="1" outline="0" axis="axisRow" fieldPosition="9"/>
    </format>
    <format dxfId="495">
      <pivotArea field="10" type="button" dataOnly="0" labelOnly="1" outline="0" axis="axisRow" fieldPosition="10"/>
    </format>
    <format dxfId="494">
      <pivotArea field="1" type="button" dataOnly="0" labelOnly="1" outline="0" axis="axisRow" fieldPosition="0"/>
    </format>
    <format dxfId="493">
      <pivotArea field="0" type="button" dataOnly="0" labelOnly="1" outline="0" axis="axisRow" fieldPosition="1"/>
    </format>
    <format dxfId="492">
      <pivotArea field="13" type="button" dataOnly="0" labelOnly="1" outline="0" axis="axisRow" fieldPosition="2"/>
    </format>
    <format dxfId="491">
      <pivotArea field="14" type="button" dataOnly="0" labelOnly="1" outline="0" axis="axisRow" fieldPosition="3"/>
    </format>
    <format dxfId="490">
      <pivotArea field="15" type="button" dataOnly="0" labelOnly="1" outline="0" axis="axisRow" fieldPosition="4"/>
    </format>
    <format dxfId="489">
      <pivotArea field="16" type="button" dataOnly="0" labelOnly="1" outline="0" axis="axisRow" fieldPosition="5"/>
    </format>
    <format dxfId="488">
      <pivotArea field="11" type="button" dataOnly="0" labelOnly="1" outline="0" axis="axisRow" fieldPosition="6"/>
    </format>
    <format dxfId="487">
      <pivotArea field="6" type="button" dataOnly="0" labelOnly="1" outline="0" axis="axisRow" fieldPosition="7"/>
    </format>
    <format dxfId="486">
      <pivotArea field="7" type="button" dataOnly="0" labelOnly="1" outline="0" axis="axisRow" fieldPosition="8"/>
    </format>
    <format dxfId="485">
      <pivotArea field="9" type="button" dataOnly="0" labelOnly="1" outline="0" axis="axisRow" fieldPosition="9"/>
    </format>
    <format dxfId="484">
      <pivotArea field="10" type="button" dataOnly="0" labelOnly="1" outline="0" axis="axisRow" fieldPosition="10"/>
    </format>
    <format dxfId="483">
      <pivotArea field="1" type="button" dataOnly="0" labelOnly="1" outline="0" axis="axisRow" fieldPosition="0"/>
    </format>
    <format dxfId="482">
      <pivotArea field="0" type="button" dataOnly="0" labelOnly="1" outline="0" axis="axisRow" fieldPosition="1"/>
    </format>
    <format dxfId="481">
      <pivotArea field="13" type="button" dataOnly="0" labelOnly="1" outline="0" axis="axisRow" fieldPosition="2"/>
    </format>
    <format dxfId="480">
      <pivotArea field="14" type="button" dataOnly="0" labelOnly="1" outline="0" axis="axisRow" fieldPosition="3"/>
    </format>
    <format dxfId="479">
      <pivotArea field="15" type="button" dataOnly="0" labelOnly="1" outline="0" axis="axisRow" fieldPosition="4"/>
    </format>
    <format dxfId="478">
      <pivotArea field="16" type="button" dataOnly="0" labelOnly="1" outline="0" axis="axisRow" fieldPosition="5"/>
    </format>
    <format dxfId="477">
      <pivotArea field="11" type="button" dataOnly="0" labelOnly="1" outline="0" axis="axisRow" fieldPosition="6"/>
    </format>
    <format dxfId="476">
      <pivotArea field="6" type="button" dataOnly="0" labelOnly="1" outline="0" axis="axisRow" fieldPosition="7"/>
    </format>
    <format dxfId="475">
      <pivotArea field="7" type="button" dataOnly="0" labelOnly="1" outline="0" axis="axisRow" fieldPosition="8"/>
    </format>
    <format dxfId="474">
      <pivotArea field="9" type="button" dataOnly="0" labelOnly="1" outline="0" axis="axisRow" fieldPosition="9"/>
    </format>
    <format dxfId="473">
      <pivotArea field="10" type="button" dataOnly="0" labelOnly="1" outline="0" axis="axisRow" fieldPosition="10"/>
    </format>
    <format dxfId="472">
      <pivotArea dataOnly="0" labelOnly="1" outline="0" fieldPosition="0">
        <references count="1">
          <reference field="1" count="0"/>
        </references>
      </pivotArea>
    </format>
    <format dxfId="471">
      <pivotArea dataOnly="0" labelOnly="1" outline="0" fieldPosition="0">
        <references count="2">
          <reference field="0" count="1">
            <x v="1"/>
          </reference>
          <reference field="1" count="1" selected="0">
            <x v="0"/>
          </reference>
        </references>
      </pivotArea>
    </format>
    <format dxfId="470">
      <pivotArea dataOnly="0" labelOnly="1" outline="0" fieldPosition="0">
        <references count="2">
          <reference field="0" count="1">
            <x v="0"/>
          </reference>
          <reference field="1" count="1" selected="0">
            <x v="1"/>
          </reference>
        </references>
      </pivotArea>
    </format>
    <format dxfId="469">
      <pivotArea dataOnly="0" labelOnly="1" outline="0" fieldPosition="0">
        <references count="2">
          <reference field="0" count="1">
            <x v="2"/>
          </reference>
          <reference field="1" count="1" selected="0">
            <x v="2"/>
          </reference>
        </references>
      </pivotArea>
    </format>
    <format dxfId="468">
      <pivotArea dataOnly="0" labelOnly="1" outline="0" fieldPosition="0">
        <references count="2">
          <reference field="0" count="1">
            <x v="0"/>
          </reference>
          <reference field="1" count="1" selected="0">
            <x v="7"/>
          </reference>
        </references>
      </pivotArea>
    </format>
    <format dxfId="467">
      <pivotArea dataOnly="0" labelOnly="1" outline="0" fieldPosition="0">
        <references count="2">
          <reference field="0" count="1">
            <x v="2"/>
          </reference>
          <reference field="1" count="1" selected="0">
            <x v="8"/>
          </reference>
        </references>
      </pivotArea>
    </format>
    <format dxfId="466">
      <pivotArea dataOnly="0" labelOnly="1" outline="0" fieldPosition="0">
        <references count="2">
          <reference field="0" count="1">
            <x v="0"/>
          </reference>
          <reference field="1" count="1" selected="0">
            <x v="13"/>
          </reference>
        </references>
      </pivotArea>
    </format>
    <format dxfId="465">
      <pivotArea dataOnly="0" labelOnly="1" outline="0" fieldPosition="0">
        <references count="2">
          <reference field="0" count="1">
            <x v="2"/>
          </reference>
          <reference field="1" count="1" selected="0">
            <x v="14"/>
          </reference>
        </references>
      </pivotArea>
    </format>
    <format dxfId="464">
      <pivotArea dataOnly="0" labelOnly="1" outline="0" fieldPosition="0">
        <references count="2">
          <reference field="0" count="1">
            <x v="0"/>
          </reference>
          <reference field="1" count="1" selected="0">
            <x v="19"/>
          </reference>
        </references>
      </pivotArea>
    </format>
    <format dxfId="463">
      <pivotArea dataOnly="0" labelOnly="1" outline="0" fieldPosition="0">
        <references count="2">
          <reference field="0" count="1">
            <x v="2"/>
          </reference>
          <reference field="1" count="1" selected="0">
            <x v="20"/>
          </reference>
        </references>
      </pivotArea>
    </format>
    <format dxfId="462">
      <pivotArea dataOnly="0" labelOnly="1" outline="0" fieldPosition="0">
        <references count="2">
          <reference field="0" count="1">
            <x v="0"/>
          </reference>
          <reference field="1" count="1" selected="0">
            <x v="25"/>
          </reference>
        </references>
      </pivotArea>
    </format>
    <format dxfId="461">
      <pivotArea dataOnly="0" labelOnly="1" outline="0" fieldPosition="0">
        <references count="2">
          <reference field="0" count="1">
            <x v="2"/>
          </reference>
          <reference field="1" count="1" selected="0">
            <x v="26"/>
          </reference>
        </references>
      </pivotArea>
    </format>
    <format dxfId="460">
      <pivotArea dataOnly="0" labelOnly="1" outline="0" fieldPosition="0">
        <references count="2">
          <reference field="0" count="1">
            <x v="0"/>
          </reference>
          <reference field="1" count="1" selected="0">
            <x v="29"/>
          </reference>
        </references>
      </pivotArea>
    </format>
    <format dxfId="459">
      <pivotArea dataOnly="0" labelOnly="1" outline="0" fieldPosition="0">
        <references count="2">
          <reference field="0" count="1">
            <x v="2"/>
          </reference>
          <reference field="1" count="1" selected="0">
            <x v="30"/>
          </reference>
        </references>
      </pivotArea>
    </format>
    <format dxfId="458">
      <pivotArea dataOnly="0" labelOnly="1" outline="0" fieldPosition="0">
        <references count="3">
          <reference field="0" count="1" selected="0">
            <x v="1"/>
          </reference>
          <reference field="1" count="1" selected="0">
            <x v="0"/>
          </reference>
          <reference field="13" count="1">
            <x v="1"/>
          </reference>
        </references>
      </pivotArea>
    </format>
    <format dxfId="457">
      <pivotArea dataOnly="0" labelOnly="1" outline="0" fieldPosition="0">
        <references count="3">
          <reference field="0" count="1" selected="0">
            <x v="0"/>
          </reference>
          <reference field="1" count="1" selected="0">
            <x v="1"/>
          </reference>
          <reference field="13" count="1">
            <x v="0"/>
          </reference>
        </references>
      </pivotArea>
    </format>
    <format dxfId="456">
      <pivotArea dataOnly="0" labelOnly="1" outline="0" fieldPosition="0">
        <references count="4">
          <reference field="0" count="1" selected="0">
            <x v="1"/>
          </reference>
          <reference field="1" count="1" selected="0">
            <x v="0"/>
          </reference>
          <reference field="13" count="1" selected="0">
            <x v="1"/>
          </reference>
          <reference field="14" count="0"/>
        </references>
      </pivotArea>
    </format>
    <format dxfId="455">
      <pivotArea dataOnly="0" labelOnly="1" outline="0" fieldPosition="0">
        <references count="5">
          <reference field="0" count="1" selected="0">
            <x v="1"/>
          </reference>
          <reference field="1" count="1" selected="0">
            <x v="0"/>
          </reference>
          <reference field="13" count="1" selected="0">
            <x v="1"/>
          </reference>
          <reference field="14" count="0" selected="0"/>
          <reference field="15" count="1">
            <x v="0"/>
          </reference>
        </references>
      </pivotArea>
    </format>
    <format dxfId="454">
      <pivotArea dataOnly="0" labelOnly="1" outline="0" fieldPosition="0">
        <references count="5">
          <reference field="0" count="1" selected="0">
            <x v="0"/>
          </reference>
          <reference field="1" count="1" selected="0">
            <x v="1"/>
          </reference>
          <reference field="13" count="1" selected="0">
            <x v="0"/>
          </reference>
          <reference field="14" count="0" selected="0"/>
          <reference field="15" count="1">
            <x v="2"/>
          </reference>
        </references>
      </pivotArea>
    </format>
    <format dxfId="453">
      <pivotArea dataOnly="0" labelOnly="1" outline="0" fieldPosition="0">
        <references count="5">
          <reference field="0" count="1" selected="0">
            <x v="2"/>
          </reference>
          <reference field="1" count="1" selected="0">
            <x v="2"/>
          </reference>
          <reference field="13" count="1" selected="0">
            <x v="0"/>
          </reference>
          <reference field="14" count="0" selected="0"/>
          <reference field="15" count="1">
            <x v="0"/>
          </reference>
        </references>
      </pivotArea>
    </format>
    <format dxfId="452">
      <pivotArea dataOnly="0" labelOnly="1" outline="0" fieldPosition="0">
        <references count="5">
          <reference field="0" count="1" selected="0">
            <x v="0"/>
          </reference>
          <reference field="1" count="1" selected="0">
            <x v="7"/>
          </reference>
          <reference field="13" count="1" selected="0">
            <x v="0"/>
          </reference>
          <reference field="14" count="0" selected="0"/>
          <reference field="15" count="1">
            <x v="4"/>
          </reference>
        </references>
      </pivotArea>
    </format>
    <format dxfId="451">
      <pivotArea dataOnly="0" labelOnly="1" outline="0" fieldPosition="0">
        <references count="5">
          <reference field="0" count="1" selected="0">
            <x v="2"/>
          </reference>
          <reference field="1" count="1" selected="0">
            <x v="8"/>
          </reference>
          <reference field="13" count="1" selected="0">
            <x v="0"/>
          </reference>
          <reference field="14" count="0" selected="0"/>
          <reference field="15" count="1">
            <x v="0"/>
          </reference>
        </references>
      </pivotArea>
    </format>
    <format dxfId="450">
      <pivotArea dataOnly="0" labelOnly="1" outline="0" fieldPosition="0">
        <references count="5">
          <reference field="0" count="1" selected="0">
            <x v="0"/>
          </reference>
          <reference field="1" count="1" selected="0">
            <x v="13"/>
          </reference>
          <reference field="13" count="1" selected="0">
            <x v="0"/>
          </reference>
          <reference field="14" count="0" selected="0"/>
          <reference field="15" count="1">
            <x v="5"/>
          </reference>
        </references>
      </pivotArea>
    </format>
    <format dxfId="449">
      <pivotArea dataOnly="0" labelOnly="1" outline="0" fieldPosition="0">
        <references count="5">
          <reference field="0" count="1" selected="0">
            <x v="2"/>
          </reference>
          <reference field="1" count="1" selected="0">
            <x v="14"/>
          </reference>
          <reference field="13" count="1" selected="0">
            <x v="0"/>
          </reference>
          <reference field="14" count="0" selected="0"/>
          <reference field="15" count="1">
            <x v="0"/>
          </reference>
        </references>
      </pivotArea>
    </format>
    <format dxfId="448">
      <pivotArea dataOnly="0" labelOnly="1" outline="0" fieldPosition="0">
        <references count="5">
          <reference field="0" count="1" selected="0">
            <x v="0"/>
          </reference>
          <reference field="1" count="1" selected="0">
            <x v="19"/>
          </reference>
          <reference field="13" count="1" selected="0">
            <x v="0"/>
          </reference>
          <reference field="14" count="0" selected="0"/>
          <reference field="15" count="1">
            <x v="6"/>
          </reference>
        </references>
      </pivotArea>
    </format>
    <format dxfId="447">
      <pivotArea dataOnly="0" labelOnly="1" outline="0" fieldPosition="0">
        <references count="5">
          <reference field="0" count="1" selected="0">
            <x v="2"/>
          </reference>
          <reference field="1" count="1" selected="0">
            <x v="20"/>
          </reference>
          <reference field="13" count="1" selected="0">
            <x v="0"/>
          </reference>
          <reference field="14" count="0" selected="0"/>
          <reference field="15" count="1">
            <x v="0"/>
          </reference>
        </references>
      </pivotArea>
    </format>
    <format dxfId="446">
      <pivotArea dataOnly="0" labelOnly="1" outline="0" fieldPosition="0">
        <references count="5">
          <reference field="0" count="1" selected="0">
            <x v="0"/>
          </reference>
          <reference field="1" count="1" selected="0">
            <x v="25"/>
          </reference>
          <reference field="13" count="1" selected="0">
            <x v="0"/>
          </reference>
          <reference field="14" count="0" selected="0"/>
          <reference field="15" count="1">
            <x v="3"/>
          </reference>
        </references>
      </pivotArea>
    </format>
    <format dxfId="445">
      <pivotArea dataOnly="0" labelOnly="1" outline="0" fieldPosition="0">
        <references count="5">
          <reference field="0" count="1" selected="0">
            <x v="2"/>
          </reference>
          <reference field="1" count="1" selected="0">
            <x v="26"/>
          </reference>
          <reference field="13" count="1" selected="0">
            <x v="0"/>
          </reference>
          <reference field="14" count="0" selected="0"/>
          <reference field="15" count="1">
            <x v="0"/>
          </reference>
        </references>
      </pivotArea>
    </format>
    <format dxfId="444">
      <pivotArea dataOnly="0" labelOnly="1" outline="0" fieldPosition="0">
        <references count="5">
          <reference field="0" count="1" selected="0">
            <x v="0"/>
          </reference>
          <reference field="1" count="1" selected="0">
            <x v="29"/>
          </reference>
          <reference field="13" count="1" selected="0">
            <x v="0"/>
          </reference>
          <reference field="14" count="0" selected="0"/>
          <reference field="15" count="1">
            <x v="1"/>
          </reference>
        </references>
      </pivotArea>
    </format>
    <format dxfId="443">
      <pivotArea dataOnly="0" labelOnly="1" outline="0" fieldPosition="0">
        <references count="5">
          <reference field="0" count="1" selected="0">
            <x v="2"/>
          </reference>
          <reference field="1" count="1" selected="0">
            <x v="30"/>
          </reference>
          <reference field="13" count="1" selected="0">
            <x v="0"/>
          </reference>
          <reference field="14" count="0" selected="0"/>
          <reference field="15" count="1">
            <x v="0"/>
          </reference>
        </references>
      </pivotArea>
    </format>
    <format dxfId="442">
      <pivotArea dataOnly="0" labelOnly="1" outline="0" fieldPosition="0">
        <references count="6">
          <reference field="0" count="1" selected="0">
            <x v="1"/>
          </reference>
          <reference field="1" count="1" selected="0">
            <x v="0"/>
          </reference>
          <reference field="13" count="1" selected="0">
            <x v="1"/>
          </reference>
          <reference field="14" count="0" selected="0"/>
          <reference field="15" count="1" selected="0">
            <x v="0"/>
          </reference>
          <reference field="16" count="1">
            <x v="0"/>
          </reference>
        </references>
      </pivotArea>
    </format>
    <format dxfId="441">
      <pivotArea dataOnly="0" labelOnly="1" outline="0" fieldPosition="0">
        <references count="6">
          <reference field="0" count="1" selected="0">
            <x v="2"/>
          </reference>
          <reference field="1" count="1" selected="0">
            <x v="2"/>
          </reference>
          <reference field="13" count="1" selected="0">
            <x v="0"/>
          </reference>
          <reference field="14" count="0" selected="0"/>
          <reference field="15" count="1" selected="0">
            <x v="0"/>
          </reference>
          <reference field="16" count="1">
            <x v="11"/>
          </reference>
        </references>
      </pivotArea>
    </format>
    <format dxfId="440">
      <pivotArea dataOnly="0" labelOnly="1" outline="0" fieldPosition="0">
        <references count="6">
          <reference field="0" count="1" selected="0">
            <x v="2"/>
          </reference>
          <reference field="1" count="1" selected="0">
            <x v="3"/>
          </reference>
          <reference field="13" count="1" selected="0">
            <x v="0"/>
          </reference>
          <reference field="14" count="0" selected="0"/>
          <reference field="15" count="1" selected="0">
            <x v="0"/>
          </reference>
          <reference field="16" count="1">
            <x v="9"/>
          </reference>
        </references>
      </pivotArea>
    </format>
    <format dxfId="439">
      <pivotArea dataOnly="0" labelOnly="1" outline="0" fieldPosition="0">
        <references count="6">
          <reference field="0" count="1" selected="0">
            <x v="2"/>
          </reference>
          <reference field="1" count="1" selected="0">
            <x v="4"/>
          </reference>
          <reference field="13" count="1" selected="0">
            <x v="0"/>
          </reference>
          <reference field="14" count="0" selected="0"/>
          <reference field="15" count="1" selected="0">
            <x v="0"/>
          </reference>
          <reference field="16" count="1">
            <x v="10"/>
          </reference>
        </references>
      </pivotArea>
    </format>
    <format dxfId="438">
      <pivotArea dataOnly="0" labelOnly="1" outline="0" fieldPosition="0">
        <references count="6">
          <reference field="0" count="1" selected="0">
            <x v="2"/>
          </reference>
          <reference field="1" count="1" selected="0">
            <x v="5"/>
          </reference>
          <reference field="13" count="1" selected="0">
            <x v="0"/>
          </reference>
          <reference field="14" count="0" selected="0"/>
          <reference field="15" count="1" selected="0">
            <x v="0"/>
          </reference>
          <reference field="16" count="1">
            <x v="12"/>
          </reference>
        </references>
      </pivotArea>
    </format>
    <format dxfId="437">
      <pivotArea dataOnly="0" labelOnly="1" outline="0" fieldPosition="0">
        <references count="6">
          <reference field="0" count="1" selected="0">
            <x v="2"/>
          </reference>
          <reference field="1" count="1" selected="0">
            <x v="6"/>
          </reference>
          <reference field="13" count="1" selected="0">
            <x v="0"/>
          </reference>
          <reference field="14" count="0" selected="0"/>
          <reference field="15" count="1" selected="0">
            <x v="0"/>
          </reference>
          <reference field="16" count="1">
            <x v="4"/>
          </reference>
        </references>
      </pivotArea>
    </format>
    <format dxfId="436">
      <pivotArea dataOnly="0" labelOnly="1" outline="0" fieldPosition="0">
        <references count="6">
          <reference field="0" count="1" selected="0">
            <x v="0"/>
          </reference>
          <reference field="1" count="1" selected="0">
            <x v="7"/>
          </reference>
          <reference field="13" count="1" selected="0">
            <x v="0"/>
          </reference>
          <reference field="14" count="0" selected="0"/>
          <reference field="15" count="1" selected="0">
            <x v="4"/>
          </reference>
          <reference field="16" count="1">
            <x v="0"/>
          </reference>
        </references>
      </pivotArea>
    </format>
    <format dxfId="435">
      <pivotArea dataOnly="0" labelOnly="1" outline="0" fieldPosition="0">
        <references count="6">
          <reference field="0" count="1" selected="0">
            <x v="2"/>
          </reference>
          <reference field="1" count="1" selected="0">
            <x v="8"/>
          </reference>
          <reference field="13" count="1" selected="0">
            <x v="0"/>
          </reference>
          <reference field="14" count="0" selected="0"/>
          <reference field="15" count="1" selected="0">
            <x v="0"/>
          </reference>
          <reference field="16" count="1">
            <x v="15"/>
          </reference>
        </references>
      </pivotArea>
    </format>
    <format dxfId="434">
      <pivotArea dataOnly="0" labelOnly="1" outline="0" fieldPosition="0">
        <references count="6">
          <reference field="0" count="1" selected="0">
            <x v="2"/>
          </reference>
          <reference field="1" count="1" selected="0">
            <x v="9"/>
          </reference>
          <reference field="13" count="1" selected="0">
            <x v="0"/>
          </reference>
          <reference field="14" count="0" selected="0"/>
          <reference field="15" count="1" selected="0">
            <x v="0"/>
          </reference>
          <reference field="16" count="1">
            <x v="13"/>
          </reference>
        </references>
      </pivotArea>
    </format>
    <format dxfId="433">
      <pivotArea dataOnly="0" labelOnly="1" outline="0" fieldPosition="0">
        <references count="6">
          <reference field="0" count="1" selected="0">
            <x v="2"/>
          </reference>
          <reference field="1" count="1" selected="0">
            <x v="10"/>
          </reference>
          <reference field="13" count="1" selected="0">
            <x v="0"/>
          </reference>
          <reference field="14" count="0" selected="0"/>
          <reference field="15" count="1" selected="0">
            <x v="0"/>
          </reference>
          <reference field="16" count="1">
            <x v="14"/>
          </reference>
        </references>
      </pivotArea>
    </format>
    <format dxfId="432">
      <pivotArea dataOnly="0" labelOnly="1" outline="0" fieldPosition="0">
        <references count="6">
          <reference field="0" count="1" selected="0">
            <x v="2"/>
          </reference>
          <reference field="1" count="1" selected="0">
            <x v="11"/>
          </reference>
          <reference field="13" count="1" selected="0">
            <x v="0"/>
          </reference>
          <reference field="14" count="0" selected="0"/>
          <reference field="15" count="1" selected="0">
            <x v="0"/>
          </reference>
          <reference field="16" count="1">
            <x v="16"/>
          </reference>
        </references>
      </pivotArea>
    </format>
    <format dxfId="431">
      <pivotArea dataOnly="0" labelOnly="1" outline="0" fieldPosition="0">
        <references count="6">
          <reference field="0" count="1" selected="0">
            <x v="2"/>
          </reference>
          <reference field="1" count="1" selected="0">
            <x v="12"/>
          </reference>
          <reference field="13" count="1" selected="0">
            <x v="0"/>
          </reference>
          <reference field="14" count="0" selected="0"/>
          <reference field="15" count="1" selected="0">
            <x v="0"/>
          </reference>
          <reference field="16" count="1">
            <x v="6"/>
          </reference>
        </references>
      </pivotArea>
    </format>
    <format dxfId="430">
      <pivotArea dataOnly="0" labelOnly="1" outline="0" fieldPosition="0">
        <references count="6">
          <reference field="0" count="1" selected="0">
            <x v="0"/>
          </reference>
          <reference field="1" count="1" selected="0">
            <x v="13"/>
          </reference>
          <reference field="13" count="1" selected="0">
            <x v="0"/>
          </reference>
          <reference field="14" count="0" selected="0"/>
          <reference field="15" count="1" selected="0">
            <x v="5"/>
          </reference>
          <reference field="16" count="1">
            <x v="0"/>
          </reference>
        </references>
      </pivotArea>
    </format>
    <format dxfId="429">
      <pivotArea dataOnly="0" labelOnly="1" outline="0" fieldPosition="0">
        <references count="6">
          <reference field="0" count="1" selected="0">
            <x v="2"/>
          </reference>
          <reference field="1" count="1" selected="0">
            <x v="14"/>
          </reference>
          <reference field="13" count="1" selected="0">
            <x v="0"/>
          </reference>
          <reference field="14" count="0" selected="0"/>
          <reference field="15" count="1" selected="0">
            <x v="0"/>
          </reference>
          <reference field="16" count="1">
            <x v="19"/>
          </reference>
        </references>
      </pivotArea>
    </format>
    <format dxfId="428">
      <pivotArea dataOnly="0" labelOnly="1" outline="0" fieldPosition="0">
        <references count="6">
          <reference field="0" count="1" selected="0">
            <x v="2"/>
          </reference>
          <reference field="1" count="1" selected="0">
            <x v="15"/>
          </reference>
          <reference field="13" count="1" selected="0">
            <x v="0"/>
          </reference>
          <reference field="14" count="0" selected="0"/>
          <reference field="15" count="1" selected="0">
            <x v="0"/>
          </reference>
          <reference field="16" count="1">
            <x v="17"/>
          </reference>
        </references>
      </pivotArea>
    </format>
    <format dxfId="427">
      <pivotArea dataOnly="0" labelOnly="1" outline="0" fieldPosition="0">
        <references count="6">
          <reference field="0" count="1" selected="0">
            <x v="2"/>
          </reference>
          <reference field="1" count="1" selected="0">
            <x v="16"/>
          </reference>
          <reference field="13" count="1" selected="0">
            <x v="0"/>
          </reference>
          <reference field="14" count="0" selected="0"/>
          <reference field="15" count="1" selected="0">
            <x v="0"/>
          </reference>
          <reference field="16" count="1">
            <x v="18"/>
          </reference>
        </references>
      </pivotArea>
    </format>
    <format dxfId="426">
      <pivotArea dataOnly="0" labelOnly="1" outline="0" fieldPosition="0">
        <references count="6">
          <reference field="0" count="1" selected="0">
            <x v="2"/>
          </reference>
          <reference field="1" count="1" selected="0">
            <x v="17"/>
          </reference>
          <reference field="13" count="1" selected="0">
            <x v="0"/>
          </reference>
          <reference field="14" count="0" selected="0"/>
          <reference field="15" count="1" selected="0">
            <x v="0"/>
          </reference>
          <reference field="16" count="1">
            <x v="20"/>
          </reference>
        </references>
      </pivotArea>
    </format>
    <format dxfId="425">
      <pivotArea dataOnly="0" labelOnly="1" outline="0" fieldPosition="0">
        <references count="6">
          <reference field="0" count="1" selected="0">
            <x v="2"/>
          </reference>
          <reference field="1" count="1" selected="0">
            <x v="18"/>
          </reference>
          <reference field="13" count="1" selected="0">
            <x v="0"/>
          </reference>
          <reference field="14" count="0" selected="0"/>
          <reference field="15" count="1" selected="0">
            <x v="0"/>
          </reference>
          <reference field="16" count="1">
            <x v="7"/>
          </reference>
        </references>
      </pivotArea>
    </format>
    <format dxfId="424">
      <pivotArea dataOnly="0" labelOnly="1" outline="0" fieldPosition="0">
        <references count="6">
          <reference field="0" count="1" selected="0">
            <x v="0"/>
          </reference>
          <reference field="1" count="1" selected="0">
            <x v="19"/>
          </reference>
          <reference field="13" count="1" selected="0">
            <x v="0"/>
          </reference>
          <reference field="14" count="0" selected="0"/>
          <reference field="15" count="1" selected="0">
            <x v="6"/>
          </reference>
          <reference field="16" count="1">
            <x v="0"/>
          </reference>
        </references>
      </pivotArea>
    </format>
    <format dxfId="423">
      <pivotArea dataOnly="0" labelOnly="1" outline="0" fieldPosition="0">
        <references count="6">
          <reference field="0" count="1" selected="0">
            <x v="2"/>
          </reference>
          <reference field="1" count="1" selected="0">
            <x v="20"/>
          </reference>
          <reference field="13" count="1" selected="0">
            <x v="0"/>
          </reference>
          <reference field="14" count="0" selected="0"/>
          <reference field="15" count="1" selected="0">
            <x v="0"/>
          </reference>
          <reference field="16" count="1">
            <x v="23"/>
          </reference>
        </references>
      </pivotArea>
    </format>
    <format dxfId="422">
      <pivotArea dataOnly="0" labelOnly="1" outline="0" fieldPosition="0">
        <references count="6">
          <reference field="0" count="1" selected="0">
            <x v="2"/>
          </reference>
          <reference field="1" count="1" selected="0">
            <x v="21"/>
          </reference>
          <reference field="13" count="1" selected="0">
            <x v="0"/>
          </reference>
          <reference field="14" count="0" selected="0"/>
          <reference field="15" count="1" selected="0">
            <x v="0"/>
          </reference>
          <reference field="16" count="1">
            <x v="21"/>
          </reference>
        </references>
      </pivotArea>
    </format>
    <format dxfId="421">
      <pivotArea dataOnly="0" labelOnly="1" outline="0" fieldPosition="0">
        <references count="6">
          <reference field="0" count="1" selected="0">
            <x v="2"/>
          </reference>
          <reference field="1" count="1" selected="0">
            <x v="22"/>
          </reference>
          <reference field="13" count="1" selected="0">
            <x v="0"/>
          </reference>
          <reference field="14" count="0" selected="0"/>
          <reference field="15" count="1" selected="0">
            <x v="0"/>
          </reference>
          <reference field="16" count="1">
            <x v="22"/>
          </reference>
        </references>
      </pivotArea>
    </format>
    <format dxfId="420">
      <pivotArea dataOnly="0" labelOnly="1" outline="0" fieldPosition="0">
        <references count="6">
          <reference field="0" count="1" selected="0">
            <x v="2"/>
          </reference>
          <reference field="1" count="1" selected="0">
            <x v="23"/>
          </reference>
          <reference field="13" count="1" selected="0">
            <x v="0"/>
          </reference>
          <reference field="14" count="0" selected="0"/>
          <reference field="15" count="1" selected="0">
            <x v="0"/>
          </reference>
          <reference field="16" count="1">
            <x v="24"/>
          </reference>
        </references>
      </pivotArea>
    </format>
    <format dxfId="419">
      <pivotArea dataOnly="0" labelOnly="1" outline="0" fieldPosition="0">
        <references count="6">
          <reference field="0" count="1" selected="0">
            <x v="2"/>
          </reference>
          <reference field="1" count="1" selected="0">
            <x v="24"/>
          </reference>
          <reference field="13" count="1" selected="0">
            <x v="0"/>
          </reference>
          <reference field="14" count="0" selected="0"/>
          <reference field="15" count="1" selected="0">
            <x v="0"/>
          </reference>
          <reference field="16" count="1">
            <x v="8"/>
          </reference>
        </references>
      </pivotArea>
    </format>
    <format dxfId="418">
      <pivotArea dataOnly="0" labelOnly="1" outline="0" fieldPosition="0">
        <references count="6">
          <reference field="0" count="1" selected="0">
            <x v="0"/>
          </reference>
          <reference field="1" count="1" selected="0">
            <x v="25"/>
          </reference>
          <reference field="13" count="1" selected="0">
            <x v="0"/>
          </reference>
          <reference field="14" count="0" selected="0"/>
          <reference field="15" count="1" selected="0">
            <x v="3"/>
          </reference>
          <reference field="16" count="1">
            <x v="0"/>
          </reference>
        </references>
      </pivotArea>
    </format>
    <format dxfId="417">
      <pivotArea dataOnly="0" labelOnly="1" outline="0" fieldPosition="0">
        <references count="6">
          <reference field="0" count="1" selected="0">
            <x v="2"/>
          </reference>
          <reference field="1" count="1" selected="0">
            <x v="26"/>
          </reference>
          <reference field="13" count="1" selected="0">
            <x v="0"/>
          </reference>
          <reference field="14" count="0" selected="0"/>
          <reference field="15" count="1" selected="0">
            <x v="0"/>
          </reference>
          <reference field="16" count="1">
            <x v="2"/>
          </reference>
        </references>
      </pivotArea>
    </format>
    <format dxfId="416">
      <pivotArea dataOnly="0" labelOnly="1" outline="0" fieldPosition="0">
        <references count="6">
          <reference field="0" count="1" selected="0">
            <x v="2"/>
          </reference>
          <reference field="1" count="1" selected="0">
            <x v="27"/>
          </reference>
          <reference field="13" count="1" selected="0">
            <x v="0"/>
          </reference>
          <reference field="14" count="0" selected="0"/>
          <reference field="15" count="1" selected="0">
            <x v="0"/>
          </reference>
          <reference field="16" count="1">
            <x v="3"/>
          </reference>
        </references>
      </pivotArea>
    </format>
    <format dxfId="415">
      <pivotArea dataOnly="0" labelOnly="1" outline="0" fieldPosition="0">
        <references count="6">
          <reference field="0" count="1" selected="0">
            <x v="2"/>
          </reference>
          <reference field="1" count="1" selected="0">
            <x v="28"/>
          </reference>
          <reference field="13" count="1" selected="0">
            <x v="0"/>
          </reference>
          <reference field="14" count="0" selected="0"/>
          <reference field="15" count="1" selected="0">
            <x v="0"/>
          </reference>
          <reference field="16" count="1">
            <x v="5"/>
          </reference>
        </references>
      </pivotArea>
    </format>
    <format dxfId="414">
      <pivotArea dataOnly="0" labelOnly="1" outline="0" fieldPosition="0">
        <references count="6">
          <reference field="0" count="1" selected="0">
            <x v="0"/>
          </reference>
          <reference field="1" count="1" selected="0">
            <x v="29"/>
          </reference>
          <reference field="13" count="1" selected="0">
            <x v="0"/>
          </reference>
          <reference field="14" count="0" selected="0"/>
          <reference field="15" count="1" selected="0">
            <x v="1"/>
          </reference>
          <reference field="16" count="1">
            <x v="0"/>
          </reference>
        </references>
      </pivotArea>
    </format>
    <format dxfId="413">
      <pivotArea dataOnly="0" labelOnly="1" outline="0" fieldPosition="0">
        <references count="6">
          <reference field="0" count="1" selected="0">
            <x v="2"/>
          </reference>
          <reference field="1" count="1" selected="0">
            <x v="30"/>
          </reference>
          <reference field="13" count="1" selected="0">
            <x v="0"/>
          </reference>
          <reference field="14" count="0" selected="0"/>
          <reference field="15" count="1" selected="0">
            <x v="0"/>
          </reference>
          <reference field="16" count="1">
            <x v="1"/>
          </reference>
        </references>
      </pivotArea>
    </format>
    <format dxfId="412">
      <pivotArea dataOnly="0" labelOnly="1" outline="0" fieldPosition="0">
        <references count="7">
          <reference field="0" count="1" selected="0">
            <x v="1"/>
          </reference>
          <reference field="1" count="1" selected="0">
            <x v="0"/>
          </reference>
          <reference field="11" count="1">
            <x v="0"/>
          </reference>
          <reference field="13" count="1" selected="0">
            <x v="1"/>
          </reference>
          <reference field="14" count="0" selected="0"/>
          <reference field="15" count="1" selected="0">
            <x v="0"/>
          </reference>
          <reference field="16" count="1" selected="0">
            <x v="0"/>
          </reference>
        </references>
      </pivotArea>
    </format>
    <format dxfId="411">
      <pivotArea dataOnly="0" labelOnly="1" outline="0" fieldPosition="0">
        <references count="7">
          <reference field="0" count="1" selected="0">
            <x v="2"/>
          </reference>
          <reference field="1" count="1" selected="0">
            <x v="6"/>
          </reference>
          <reference field="11" count="1">
            <x v="1"/>
          </reference>
          <reference field="13" count="1" selected="0">
            <x v="0"/>
          </reference>
          <reference field="14" count="0" selected="0"/>
          <reference field="15" count="1" selected="0">
            <x v="0"/>
          </reference>
          <reference field="16" count="1" selected="0">
            <x v="4"/>
          </reference>
        </references>
      </pivotArea>
    </format>
    <format dxfId="410">
      <pivotArea dataOnly="0" labelOnly="1" outline="0" fieldPosition="0">
        <references count="7">
          <reference field="0" count="1" selected="0">
            <x v="0"/>
          </reference>
          <reference field="1" count="1" selected="0">
            <x v="7"/>
          </reference>
          <reference field="11" count="1">
            <x v="0"/>
          </reference>
          <reference field="13" count="1" selected="0">
            <x v="0"/>
          </reference>
          <reference field="14" count="0" selected="0"/>
          <reference field="15" count="1" selected="0">
            <x v="4"/>
          </reference>
          <reference field="16" count="1" selected="0">
            <x v="0"/>
          </reference>
        </references>
      </pivotArea>
    </format>
    <format dxfId="409">
      <pivotArea dataOnly="0" labelOnly="1" outline="0" fieldPosition="0">
        <references count="7">
          <reference field="0" count="1" selected="0">
            <x v="2"/>
          </reference>
          <reference field="1" count="1" selected="0">
            <x v="12"/>
          </reference>
          <reference field="11" count="1">
            <x v="1"/>
          </reference>
          <reference field="13" count="1" selected="0">
            <x v="0"/>
          </reference>
          <reference field="14" count="0" selected="0"/>
          <reference field="15" count="1" selected="0">
            <x v="0"/>
          </reference>
          <reference field="16" count="1" selected="0">
            <x v="6"/>
          </reference>
        </references>
      </pivotArea>
    </format>
    <format dxfId="408">
      <pivotArea dataOnly="0" labelOnly="1" outline="0" fieldPosition="0">
        <references count="7">
          <reference field="0" count="1" selected="0">
            <x v="0"/>
          </reference>
          <reference field="1" count="1" selected="0">
            <x v="13"/>
          </reference>
          <reference field="11" count="1">
            <x v="0"/>
          </reference>
          <reference field="13" count="1" selected="0">
            <x v="0"/>
          </reference>
          <reference field="14" count="0" selected="0"/>
          <reference field="15" count="1" selected="0">
            <x v="5"/>
          </reference>
          <reference field="16" count="1" selected="0">
            <x v="0"/>
          </reference>
        </references>
      </pivotArea>
    </format>
    <format dxfId="407">
      <pivotArea dataOnly="0" labelOnly="1" outline="0" fieldPosition="0">
        <references count="7">
          <reference field="0" count="1" selected="0">
            <x v="2"/>
          </reference>
          <reference field="1" count="1" selected="0">
            <x v="18"/>
          </reference>
          <reference field="11" count="1">
            <x v="1"/>
          </reference>
          <reference field="13" count="1" selected="0">
            <x v="0"/>
          </reference>
          <reference field="14" count="0" selected="0"/>
          <reference field="15" count="1" selected="0">
            <x v="0"/>
          </reference>
          <reference field="16" count="1" selected="0">
            <x v="7"/>
          </reference>
        </references>
      </pivotArea>
    </format>
    <format dxfId="406">
      <pivotArea dataOnly="0" labelOnly="1" outline="0" fieldPosition="0">
        <references count="7">
          <reference field="0" count="1" selected="0">
            <x v="0"/>
          </reference>
          <reference field="1" count="1" selected="0">
            <x v="19"/>
          </reference>
          <reference field="11" count="1">
            <x v="0"/>
          </reference>
          <reference field="13" count="1" selected="0">
            <x v="0"/>
          </reference>
          <reference field="14" count="0" selected="0"/>
          <reference field="15" count="1" selected="0">
            <x v="6"/>
          </reference>
          <reference field="16" count="1" selected="0">
            <x v="0"/>
          </reference>
        </references>
      </pivotArea>
    </format>
    <format dxfId="405">
      <pivotArea dataOnly="0" labelOnly="1" outline="0" fieldPosition="0">
        <references count="7">
          <reference field="0" count="1" selected="0">
            <x v="2"/>
          </reference>
          <reference field="1" count="1" selected="0">
            <x v="24"/>
          </reference>
          <reference field="11" count="1">
            <x v="1"/>
          </reference>
          <reference field="13" count="1" selected="0">
            <x v="0"/>
          </reference>
          <reference field="14" count="0" selected="0"/>
          <reference field="15" count="1" selected="0">
            <x v="0"/>
          </reference>
          <reference field="16" count="1" selected="0">
            <x v="8"/>
          </reference>
        </references>
      </pivotArea>
    </format>
    <format dxfId="404">
      <pivotArea dataOnly="0" labelOnly="1" outline="0" fieldPosition="0">
        <references count="7">
          <reference field="0" count="1" selected="0">
            <x v="0"/>
          </reference>
          <reference field="1" count="1" selected="0">
            <x v="25"/>
          </reference>
          <reference field="11" count="1">
            <x v="0"/>
          </reference>
          <reference field="13" count="1" selected="0">
            <x v="0"/>
          </reference>
          <reference field="14" count="0" selected="0"/>
          <reference field="15" count="1" selected="0">
            <x v="3"/>
          </reference>
          <reference field="16" count="1" selected="0">
            <x v="0"/>
          </reference>
        </references>
      </pivotArea>
    </format>
    <format dxfId="403">
      <pivotArea dataOnly="0" labelOnly="1" outline="0" fieldPosition="0">
        <references count="7">
          <reference field="0" count="1" selected="0">
            <x v="2"/>
          </reference>
          <reference field="1" count="1" selected="0">
            <x v="28"/>
          </reference>
          <reference field="11" count="1">
            <x v="1"/>
          </reference>
          <reference field="13" count="1" selected="0">
            <x v="0"/>
          </reference>
          <reference field="14" count="0" selected="0"/>
          <reference field="15" count="1" selected="0">
            <x v="0"/>
          </reference>
          <reference field="16" count="1" selected="0">
            <x v="5"/>
          </reference>
        </references>
      </pivotArea>
    </format>
    <format dxfId="402">
      <pivotArea dataOnly="0" labelOnly="1" outline="0" fieldPosition="0">
        <references count="7">
          <reference field="0" count="1" selected="0">
            <x v="0"/>
          </reference>
          <reference field="1" count="1" selected="0">
            <x v="29"/>
          </reference>
          <reference field="11" count="1">
            <x v="0"/>
          </reference>
          <reference field="13" count="1" selected="0">
            <x v="0"/>
          </reference>
          <reference field="14" count="0" selected="0"/>
          <reference field="15" count="1" selected="0">
            <x v="1"/>
          </reference>
          <reference field="16" count="1" selected="0">
            <x v="0"/>
          </reference>
        </references>
      </pivotArea>
    </format>
    <format dxfId="401">
      <pivotArea dataOnly="0" labelOnly="1" outline="0" fieldPosition="0">
        <references count="8">
          <reference field="0" count="1" selected="0">
            <x v="1"/>
          </reference>
          <reference field="1" count="1" selected="0">
            <x v="0"/>
          </reference>
          <reference field="6" count="1">
            <x v="1"/>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400">
      <pivotArea dataOnly="0" labelOnly="1" outline="0" fieldPosition="0">
        <references count="8">
          <reference field="0" count="1" selected="0">
            <x v="2"/>
          </reference>
          <reference field="1" count="1" selected="0">
            <x v="2"/>
          </reference>
          <reference field="6"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399">
      <pivotArea dataOnly="0" labelOnly="1" outline="0" fieldPosition="0">
        <references count="8">
          <reference field="0" count="1" selected="0">
            <x v="0"/>
          </reference>
          <reference field="1" count="1" selected="0">
            <x v="7"/>
          </reference>
          <reference field="6" count="1">
            <x v="1"/>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398">
      <pivotArea dataOnly="0" labelOnly="1" outline="0" fieldPosition="0">
        <references count="8">
          <reference field="0" count="1" selected="0">
            <x v="2"/>
          </reference>
          <reference field="1" count="1" selected="0">
            <x v="8"/>
          </reference>
          <reference field="6"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397">
      <pivotArea dataOnly="0" labelOnly="1" outline="0" fieldPosition="0">
        <references count="8">
          <reference field="0" count="1" selected="0">
            <x v="0"/>
          </reference>
          <reference field="1" count="1" selected="0">
            <x v="13"/>
          </reference>
          <reference field="6" count="1">
            <x v="1"/>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396">
      <pivotArea dataOnly="0" labelOnly="1" outline="0" fieldPosition="0">
        <references count="8">
          <reference field="0" count="1" selected="0">
            <x v="2"/>
          </reference>
          <reference field="1" count="1" selected="0">
            <x v="14"/>
          </reference>
          <reference field="6"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395">
      <pivotArea dataOnly="0" labelOnly="1" outline="0" fieldPosition="0">
        <references count="8">
          <reference field="0" count="1" selected="0">
            <x v="0"/>
          </reference>
          <reference field="1" count="1" selected="0">
            <x v="19"/>
          </reference>
          <reference field="6" count="1">
            <x v="1"/>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394">
      <pivotArea dataOnly="0" labelOnly="1" outline="0" fieldPosition="0">
        <references count="8">
          <reference field="0" count="1" selected="0">
            <x v="2"/>
          </reference>
          <reference field="1" count="1" selected="0">
            <x v="20"/>
          </reference>
          <reference field="6" count="1">
            <x v="0"/>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393">
      <pivotArea dataOnly="0" labelOnly="1" outline="0" fieldPosition="0">
        <references count="8">
          <reference field="0" count="1" selected="0">
            <x v="0"/>
          </reference>
          <reference field="1" count="1" selected="0">
            <x v="25"/>
          </reference>
          <reference field="6" count="1">
            <x v="1"/>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392">
      <pivotArea dataOnly="0" labelOnly="1" outline="0" fieldPosition="0">
        <references count="8">
          <reference field="0" count="1" selected="0">
            <x v="2"/>
          </reference>
          <reference field="1" count="1" selected="0">
            <x v="26"/>
          </reference>
          <reference field="6" count="1">
            <x v="0"/>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391">
      <pivotArea dataOnly="0" labelOnly="1" outline="0" fieldPosition="0">
        <references count="9">
          <reference field="0" count="1" selected="0">
            <x v="1"/>
          </reference>
          <reference field="1" count="1" selected="0">
            <x v="0"/>
          </reference>
          <reference field="6" count="1" selected="0">
            <x v="1"/>
          </reference>
          <reference field="7" count="1">
            <x v="4"/>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390">
      <pivotArea dataOnly="0" labelOnly="1" outline="0" fieldPosition="0">
        <references count="9">
          <reference field="0" count="1" selected="0">
            <x v="2"/>
          </reference>
          <reference field="1" count="1" selected="0">
            <x v="2"/>
          </reference>
          <reference field="6" count="1" selected="0">
            <x v="0"/>
          </reference>
          <reference field="7"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389">
      <pivotArea dataOnly="0" labelOnly="1" outline="0" fieldPosition="0">
        <references count="9">
          <reference field="0" count="1" selected="0">
            <x v="0"/>
          </reference>
          <reference field="1" count="1" selected="0">
            <x v="7"/>
          </reference>
          <reference field="6" count="1" selected="0">
            <x v="1"/>
          </reference>
          <reference field="7" count="1">
            <x v="4"/>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388">
      <pivotArea dataOnly="0" labelOnly="1" outline="0" fieldPosition="0">
        <references count="9">
          <reference field="0" count="1" selected="0">
            <x v="2"/>
          </reference>
          <reference field="1" count="1" selected="0">
            <x v="8"/>
          </reference>
          <reference field="6" count="1" selected="0">
            <x v="0"/>
          </reference>
          <reference field="7" count="1">
            <x v="1"/>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387">
      <pivotArea dataOnly="0" labelOnly="1" outline="0" fieldPosition="0">
        <references count="9">
          <reference field="0" count="1" selected="0">
            <x v="0"/>
          </reference>
          <reference field="1" count="1" selected="0">
            <x v="13"/>
          </reference>
          <reference field="6" count="1" selected="0">
            <x v="1"/>
          </reference>
          <reference field="7" count="1">
            <x v="4"/>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386">
      <pivotArea dataOnly="0" labelOnly="1" outline="0" fieldPosition="0">
        <references count="9">
          <reference field="0" count="1" selected="0">
            <x v="2"/>
          </reference>
          <reference field="1" count="1" selected="0">
            <x v="14"/>
          </reference>
          <reference field="6" count="1" selected="0">
            <x v="0"/>
          </reference>
          <reference field="7" count="1">
            <x v="2"/>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385">
      <pivotArea dataOnly="0" labelOnly="1" outline="0" fieldPosition="0">
        <references count="9">
          <reference field="0" count="1" selected="0">
            <x v="0"/>
          </reference>
          <reference field="1" count="1" selected="0">
            <x v="19"/>
          </reference>
          <reference field="6" count="1" selected="0">
            <x v="1"/>
          </reference>
          <reference field="7" count="1">
            <x v="4"/>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384">
      <pivotArea dataOnly="0" labelOnly="1" outline="0" fieldPosition="0">
        <references count="9">
          <reference field="0" count="1" selected="0">
            <x v="2"/>
          </reference>
          <reference field="1" count="1" selected="0">
            <x v="20"/>
          </reference>
          <reference field="6" count="1" selected="0">
            <x v="0"/>
          </reference>
          <reference field="7" count="1">
            <x v="3"/>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383">
      <pivotArea dataOnly="0" labelOnly="1" outline="0" fieldPosition="0">
        <references count="9">
          <reference field="0" count="1" selected="0">
            <x v="0"/>
          </reference>
          <reference field="1" count="1" selected="0">
            <x v="25"/>
          </reference>
          <reference field="6" count="1" selected="0">
            <x v="1"/>
          </reference>
          <reference field="7" count="1">
            <x v="4"/>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382">
      <pivotArea dataOnly="0" labelOnly="1" outline="0" fieldPosition="0">
        <references count="9">
          <reference field="0" count="1" selected="0">
            <x v="2"/>
          </reference>
          <reference field="1" count="1" selected="0">
            <x v="26"/>
          </reference>
          <reference field="6" count="1" selected="0">
            <x v="0"/>
          </reference>
          <reference field="7"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381">
      <pivotArea dataOnly="0" labelOnly="1" outline="0" fieldPosition="0">
        <references count="9">
          <reference field="0" count="1" selected="0">
            <x v="0"/>
          </reference>
          <reference field="1" count="1" selected="0">
            <x v="29"/>
          </reference>
          <reference field="6" count="1" selected="0">
            <x v="0"/>
          </reference>
          <reference field="7" count="1">
            <x v="4"/>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380">
      <pivotArea dataOnly="0" labelOnly="1" outline="0" fieldPosition="0">
        <references count="10">
          <reference field="0" count="1" selected="0">
            <x v="1"/>
          </reference>
          <reference field="1" count="1" selected="0">
            <x v="0"/>
          </reference>
          <reference field="6" count="1" selected="0">
            <x v="1"/>
          </reference>
          <reference field="7" count="1" selected="0">
            <x v="4"/>
          </reference>
          <reference field="9" count="1">
            <x v="7"/>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379">
      <pivotArea dataOnly="0" labelOnly="1" outline="0" fieldPosition="0">
        <references count="10">
          <reference field="0" count="1" selected="0">
            <x v="2"/>
          </reference>
          <reference field="1" count="1" selected="0">
            <x v="2"/>
          </reference>
          <reference field="6" count="1" selected="0">
            <x v="0"/>
          </reference>
          <reference field="7" count="1" selected="0">
            <x v="0"/>
          </reference>
          <reference field="9"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378">
      <pivotArea dataOnly="0" labelOnly="1" outline="0" fieldPosition="0">
        <references count="10">
          <reference field="0" count="1" selected="0">
            <x v="2"/>
          </reference>
          <reference field="1" count="1" selected="0">
            <x v="3"/>
          </reference>
          <reference field="6" count="1" selected="0">
            <x v="0"/>
          </reference>
          <reference field="7" count="1" selected="0">
            <x v="0"/>
          </reference>
          <reference field="9" count="1">
            <x v="1"/>
          </reference>
          <reference field="11" count="1" selected="0">
            <x v="0"/>
          </reference>
          <reference field="13" count="1" selected="0">
            <x v="0"/>
          </reference>
          <reference field="14" count="0" selected="0"/>
          <reference field="15" count="1" selected="0">
            <x v="0"/>
          </reference>
          <reference field="16" count="1" selected="0">
            <x v="9"/>
          </reference>
        </references>
      </pivotArea>
    </format>
    <format dxfId="377">
      <pivotArea dataOnly="0" labelOnly="1" outline="0" fieldPosition="0">
        <references count="10">
          <reference field="0" count="1" selected="0">
            <x v="2"/>
          </reference>
          <reference field="1" count="1" selected="0">
            <x v="4"/>
          </reference>
          <reference field="6" count="1" selected="0">
            <x v="0"/>
          </reference>
          <reference field="7" count="1" selected="0">
            <x v="0"/>
          </reference>
          <reference field="9" count="1">
            <x v="8"/>
          </reference>
          <reference field="11" count="1" selected="0">
            <x v="0"/>
          </reference>
          <reference field="13" count="1" selected="0">
            <x v="0"/>
          </reference>
          <reference field="14" count="0" selected="0"/>
          <reference field="15" count="1" selected="0">
            <x v="0"/>
          </reference>
          <reference field="16" count="1" selected="0">
            <x v="10"/>
          </reference>
        </references>
      </pivotArea>
    </format>
    <format dxfId="376">
      <pivotArea dataOnly="0" labelOnly="1" outline="0" fieldPosition="0">
        <references count="10">
          <reference field="0" count="1" selected="0">
            <x v="2"/>
          </reference>
          <reference field="1" count="1" selected="0">
            <x v="5"/>
          </reference>
          <reference field="6" count="1" selected="0">
            <x v="0"/>
          </reference>
          <reference field="7" count="1" selected="0">
            <x v="0"/>
          </reference>
          <reference field="9" count="1">
            <x v="2"/>
          </reference>
          <reference field="11" count="1" selected="0">
            <x v="0"/>
          </reference>
          <reference field="13" count="1" selected="0">
            <x v="0"/>
          </reference>
          <reference field="14" count="0" selected="0"/>
          <reference field="15" count="1" selected="0">
            <x v="0"/>
          </reference>
          <reference field="16" count="1" selected="0">
            <x v="12"/>
          </reference>
        </references>
      </pivotArea>
    </format>
    <format dxfId="375">
      <pivotArea dataOnly="0" labelOnly="1" outline="0" fieldPosition="0">
        <references count="10">
          <reference field="0" count="1" selected="0">
            <x v="2"/>
          </reference>
          <reference field="1" count="1" selected="0">
            <x v="6"/>
          </reference>
          <reference field="6" count="1" selected="0">
            <x v="0"/>
          </reference>
          <reference field="7" count="1" selected="0">
            <x v="0"/>
          </reference>
          <reference field="9" count="1">
            <x v="1"/>
          </reference>
          <reference field="11" count="1" selected="0">
            <x v="1"/>
          </reference>
          <reference field="13" count="1" selected="0">
            <x v="0"/>
          </reference>
          <reference field="14" count="0" selected="0"/>
          <reference field="15" count="1" selected="0">
            <x v="0"/>
          </reference>
          <reference field="16" count="1" selected="0">
            <x v="4"/>
          </reference>
        </references>
      </pivotArea>
    </format>
    <format dxfId="374">
      <pivotArea dataOnly="0" labelOnly="1" outline="0" fieldPosition="0">
        <references count="10">
          <reference field="0" count="1" selected="0">
            <x v="0"/>
          </reference>
          <reference field="1" count="1" selected="0">
            <x v="7"/>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373">
      <pivotArea dataOnly="0" labelOnly="1" outline="0" fieldPosition="0">
        <references count="10">
          <reference field="0" count="1" selected="0">
            <x v="2"/>
          </reference>
          <reference field="1" count="1" selected="0">
            <x v="8"/>
          </reference>
          <reference field="6" count="1" selected="0">
            <x v="0"/>
          </reference>
          <reference field="7" count="1" selected="0">
            <x v="1"/>
          </reference>
          <reference field="9"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372">
      <pivotArea dataOnly="0" labelOnly="1" outline="0" fieldPosition="0">
        <references count="10">
          <reference field="0" count="1" selected="0">
            <x v="2"/>
          </reference>
          <reference field="1" count="1" selected="0">
            <x v="9"/>
          </reference>
          <reference field="6" count="1" selected="0">
            <x v="0"/>
          </reference>
          <reference field="7" count="1" selected="0">
            <x v="1"/>
          </reference>
          <reference field="9" count="1">
            <x v="1"/>
          </reference>
          <reference field="11" count="1" selected="0">
            <x v="0"/>
          </reference>
          <reference field="13" count="1" selected="0">
            <x v="0"/>
          </reference>
          <reference field="14" count="0" selected="0"/>
          <reference field="15" count="1" selected="0">
            <x v="0"/>
          </reference>
          <reference field="16" count="1" selected="0">
            <x v="13"/>
          </reference>
        </references>
      </pivotArea>
    </format>
    <format dxfId="371">
      <pivotArea dataOnly="0" labelOnly="1" outline="0" fieldPosition="0">
        <references count="10">
          <reference field="0" count="1" selected="0">
            <x v="2"/>
          </reference>
          <reference field="1" count="1" selected="0">
            <x v="10"/>
          </reference>
          <reference field="6" count="1" selected="0">
            <x v="0"/>
          </reference>
          <reference field="7" count="1" selected="0">
            <x v="1"/>
          </reference>
          <reference field="9" count="1">
            <x v="8"/>
          </reference>
          <reference field="11" count="1" selected="0">
            <x v="0"/>
          </reference>
          <reference field="13" count="1" selected="0">
            <x v="0"/>
          </reference>
          <reference field="14" count="0" selected="0"/>
          <reference field="15" count="1" selected="0">
            <x v="0"/>
          </reference>
          <reference field="16" count="1" selected="0">
            <x v="14"/>
          </reference>
        </references>
      </pivotArea>
    </format>
    <format dxfId="370">
      <pivotArea dataOnly="0" labelOnly="1" outline="0" fieldPosition="0">
        <references count="10">
          <reference field="0" count="1" selected="0">
            <x v="2"/>
          </reference>
          <reference field="1" count="1" selected="0">
            <x v="11"/>
          </reference>
          <reference field="6" count="1" selected="0">
            <x v="0"/>
          </reference>
          <reference field="7" count="1" selected="0">
            <x v="1"/>
          </reference>
          <reference field="9" count="1">
            <x v="2"/>
          </reference>
          <reference field="11" count="1" selected="0">
            <x v="0"/>
          </reference>
          <reference field="13" count="1" selected="0">
            <x v="0"/>
          </reference>
          <reference field="14" count="0" selected="0"/>
          <reference field="15" count="1" selected="0">
            <x v="0"/>
          </reference>
          <reference field="16" count="1" selected="0">
            <x v="16"/>
          </reference>
        </references>
      </pivotArea>
    </format>
    <format dxfId="369">
      <pivotArea dataOnly="0" labelOnly="1" outline="0" fieldPosition="0">
        <references count="10">
          <reference field="0" count="1" selected="0">
            <x v="2"/>
          </reference>
          <reference field="1" count="1" selected="0">
            <x v="12"/>
          </reference>
          <reference field="6" count="1" selected="0">
            <x v="0"/>
          </reference>
          <reference field="7" count="1" selected="0">
            <x v="1"/>
          </reference>
          <reference field="9" count="1">
            <x v="1"/>
          </reference>
          <reference field="11" count="1" selected="0">
            <x v="1"/>
          </reference>
          <reference field="13" count="1" selected="0">
            <x v="0"/>
          </reference>
          <reference field="14" count="0" selected="0"/>
          <reference field="15" count="1" selected="0">
            <x v="0"/>
          </reference>
          <reference field="16" count="1" selected="0">
            <x v="6"/>
          </reference>
        </references>
      </pivotArea>
    </format>
    <format dxfId="368">
      <pivotArea dataOnly="0" labelOnly="1" outline="0" fieldPosition="0">
        <references count="10">
          <reference field="0" count="1" selected="0">
            <x v="0"/>
          </reference>
          <reference field="1" count="1" selected="0">
            <x v="13"/>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367">
      <pivotArea dataOnly="0" labelOnly="1" outline="0" fieldPosition="0">
        <references count="10">
          <reference field="0" count="1" selected="0">
            <x v="2"/>
          </reference>
          <reference field="1" count="1" selected="0">
            <x v="14"/>
          </reference>
          <reference field="6" count="1" selected="0">
            <x v="0"/>
          </reference>
          <reference field="7" count="1" selected="0">
            <x v="2"/>
          </reference>
          <reference field="9"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366">
      <pivotArea dataOnly="0" labelOnly="1" outline="0" fieldPosition="0">
        <references count="10">
          <reference field="0" count="1" selected="0">
            <x v="2"/>
          </reference>
          <reference field="1" count="1" selected="0">
            <x v="15"/>
          </reference>
          <reference field="6" count="1" selected="0">
            <x v="0"/>
          </reference>
          <reference field="7" count="1" selected="0">
            <x v="2"/>
          </reference>
          <reference field="9" count="1">
            <x v="1"/>
          </reference>
          <reference field="11" count="1" selected="0">
            <x v="0"/>
          </reference>
          <reference field="13" count="1" selected="0">
            <x v="0"/>
          </reference>
          <reference field="14" count="0" selected="0"/>
          <reference field="15" count="1" selected="0">
            <x v="0"/>
          </reference>
          <reference field="16" count="1" selected="0">
            <x v="17"/>
          </reference>
        </references>
      </pivotArea>
    </format>
    <format dxfId="365">
      <pivotArea dataOnly="0" labelOnly="1" outline="0" fieldPosition="0">
        <references count="10">
          <reference field="0" count="1" selected="0">
            <x v="2"/>
          </reference>
          <reference field="1" count="1" selected="0">
            <x v="16"/>
          </reference>
          <reference field="6" count="1" selected="0">
            <x v="0"/>
          </reference>
          <reference field="7" count="1" selected="0">
            <x v="2"/>
          </reference>
          <reference field="9" count="1">
            <x v="8"/>
          </reference>
          <reference field="11" count="1" selected="0">
            <x v="0"/>
          </reference>
          <reference field="13" count="1" selected="0">
            <x v="0"/>
          </reference>
          <reference field="14" count="0" selected="0"/>
          <reference field="15" count="1" selected="0">
            <x v="0"/>
          </reference>
          <reference field="16" count="1" selected="0">
            <x v="18"/>
          </reference>
        </references>
      </pivotArea>
    </format>
    <format dxfId="364">
      <pivotArea dataOnly="0" labelOnly="1" outline="0" fieldPosition="0">
        <references count="10">
          <reference field="0" count="1" selected="0">
            <x v="2"/>
          </reference>
          <reference field="1" count="1" selected="0">
            <x v="17"/>
          </reference>
          <reference field="6" count="1" selected="0">
            <x v="0"/>
          </reference>
          <reference field="7" count="1" selected="0">
            <x v="2"/>
          </reference>
          <reference field="9" count="1">
            <x v="2"/>
          </reference>
          <reference field="11" count="1" selected="0">
            <x v="0"/>
          </reference>
          <reference field="13" count="1" selected="0">
            <x v="0"/>
          </reference>
          <reference field="14" count="0" selected="0"/>
          <reference field="15" count="1" selected="0">
            <x v="0"/>
          </reference>
          <reference field="16" count="1" selected="0">
            <x v="20"/>
          </reference>
        </references>
      </pivotArea>
    </format>
    <format dxfId="363">
      <pivotArea dataOnly="0" labelOnly="1" outline="0" fieldPosition="0">
        <references count="10">
          <reference field="0" count="1" selected="0">
            <x v="2"/>
          </reference>
          <reference field="1" count="1" selected="0">
            <x v="18"/>
          </reference>
          <reference field="6" count="1" selected="0">
            <x v="0"/>
          </reference>
          <reference field="7" count="1" selected="0">
            <x v="2"/>
          </reference>
          <reference field="9" count="1">
            <x v="1"/>
          </reference>
          <reference field="11" count="1" selected="0">
            <x v="1"/>
          </reference>
          <reference field="13" count="1" selected="0">
            <x v="0"/>
          </reference>
          <reference field="14" count="0" selected="0"/>
          <reference field="15" count="1" selected="0">
            <x v="0"/>
          </reference>
          <reference field="16" count="1" selected="0">
            <x v="7"/>
          </reference>
        </references>
      </pivotArea>
    </format>
    <format dxfId="362">
      <pivotArea dataOnly="0" labelOnly="1" outline="0" fieldPosition="0">
        <references count="10">
          <reference field="0" count="1" selected="0">
            <x v="0"/>
          </reference>
          <reference field="1" count="1" selected="0">
            <x v="19"/>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361">
      <pivotArea dataOnly="0" labelOnly="1" outline="0" fieldPosition="0">
        <references count="10">
          <reference field="0" count="1" selected="0">
            <x v="2"/>
          </reference>
          <reference field="1" count="1" selected="0">
            <x v="20"/>
          </reference>
          <reference field="6" count="1" selected="0">
            <x v="0"/>
          </reference>
          <reference field="7" count="1" selected="0">
            <x v="3"/>
          </reference>
          <reference field="9" count="1">
            <x v="4"/>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360">
      <pivotArea dataOnly="0" labelOnly="1" outline="0" fieldPosition="0">
        <references count="10">
          <reference field="0" count="1" selected="0">
            <x v="2"/>
          </reference>
          <reference field="1" count="1" selected="0">
            <x v="21"/>
          </reference>
          <reference field="6" count="1" selected="0">
            <x v="0"/>
          </reference>
          <reference field="7" count="1" selected="0">
            <x v="3"/>
          </reference>
          <reference field="9" count="1">
            <x v="5"/>
          </reference>
          <reference field="11" count="1" selected="0">
            <x v="0"/>
          </reference>
          <reference field="13" count="1" selected="0">
            <x v="0"/>
          </reference>
          <reference field="14" count="0" selected="0"/>
          <reference field="15" count="1" selected="0">
            <x v="0"/>
          </reference>
          <reference field="16" count="1" selected="0">
            <x v="21"/>
          </reference>
        </references>
      </pivotArea>
    </format>
    <format dxfId="359">
      <pivotArea dataOnly="0" labelOnly="1" outline="0" fieldPosition="0">
        <references count="10">
          <reference field="0" count="1" selected="0">
            <x v="2"/>
          </reference>
          <reference field="1" count="1" selected="0">
            <x v="22"/>
          </reference>
          <reference field="6" count="1" selected="0">
            <x v="0"/>
          </reference>
          <reference field="7" count="1" selected="0">
            <x v="3"/>
          </reference>
          <reference field="9" count="1">
            <x v="8"/>
          </reference>
          <reference field="11" count="1" selected="0">
            <x v="0"/>
          </reference>
          <reference field="13" count="1" selected="0">
            <x v="0"/>
          </reference>
          <reference field="14" count="0" selected="0"/>
          <reference field="15" count="1" selected="0">
            <x v="0"/>
          </reference>
          <reference field="16" count="1" selected="0">
            <x v="22"/>
          </reference>
        </references>
      </pivotArea>
    </format>
    <format dxfId="358">
      <pivotArea dataOnly="0" labelOnly="1" outline="0" fieldPosition="0">
        <references count="10">
          <reference field="0" count="1" selected="0">
            <x v="2"/>
          </reference>
          <reference field="1" count="1" selected="0">
            <x v="23"/>
          </reference>
          <reference field="6" count="1" selected="0">
            <x v="0"/>
          </reference>
          <reference field="7" count="1" selected="0">
            <x v="3"/>
          </reference>
          <reference field="9" count="1">
            <x v="6"/>
          </reference>
          <reference field="11" count="1" selected="0">
            <x v="0"/>
          </reference>
          <reference field="13" count="1" selected="0">
            <x v="0"/>
          </reference>
          <reference field="14" count="0" selected="0"/>
          <reference field="15" count="1" selected="0">
            <x v="0"/>
          </reference>
          <reference field="16" count="1" selected="0">
            <x v="24"/>
          </reference>
        </references>
      </pivotArea>
    </format>
    <format dxfId="357">
      <pivotArea dataOnly="0" labelOnly="1" outline="0" fieldPosition="0">
        <references count="10">
          <reference field="0" count="1" selected="0">
            <x v="2"/>
          </reference>
          <reference field="1" count="1" selected="0">
            <x v="24"/>
          </reference>
          <reference field="6" count="1" selected="0">
            <x v="0"/>
          </reference>
          <reference field="7" count="1" selected="0">
            <x v="3"/>
          </reference>
          <reference field="9" count="1">
            <x v="5"/>
          </reference>
          <reference field="11" count="1" selected="0">
            <x v="1"/>
          </reference>
          <reference field="13" count="1" selected="0">
            <x v="0"/>
          </reference>
          <reference field="14" count="0" selected="0"/>
          <reference field="15" count="1" selected="0">
            <x v="0"/>
          </reference>
          <reference field="16" count="1" selected="0">
            <x v="8"/>
          </reference>
        </references>
      </pivotArea>
    </format>
    <format dxfId="356">
      <pivotArea dataOnly="0" labelOnly="1" outline="0" fieldPosition="0">
        <references count="10">
          <reference field="0" count="1" selected="0">
            <x v="0"/>
          </reference>
          <reference field="1" count="1" selected="0">
            <x v="25"/>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355">
      <pivotArea dataOnly="0" labelOnly="1" outline="0" fieldPosition="0">
        <references count="10">
          <reference field="0" count="1" selected="0">
            <x v="2"/>
          </reference>
          <reference field="1" count="1" selected="0">
            <x v="26"/>
          </reference>
          <reference field="6" count="1" selected="0">
            <x v="0"/>
          </reference>
          <reference field="7" count="1" selected="0">
            <x v="2"/>
          </reference>
          <reference field="9"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354">
      <pivotArea dataOnly="0" labelOnly="1" outline="0" fieldPosition="0">
        <references count="10">
          <reference field="0" count="1" selected="0">
            <x v="2"/>
          </reference>
          <reference field="1" count="1" selected="0">
            <x v="27"/>
          </reference>
          <reference field="6" count="1" selected="0">
            <x v="0"/>
          </reference>
          <reference field="7" count="1" selected="0">
            <x v="2"/>
          </reference>
          <reference field="9" count="1">
            <x v="3"/>
          </reference>
          <reference field="11" count="1" selected="0">
            <x v="0"/>
          </reference>
          <reference field="13" count="1" selected="0">
            <x v="0"/>
          </reference>
          <reference field="14" count="0" selected="0"/>
          <reference field="15" count="1" selected="0">
            <x v="0"/>
          </reference>
          <reference field="16" count="1" selected="0">
            <x v="3"/>
          </reference>
        </references>
      </pivotArea>
    </format>
    <format dxfId="353">
      <pivotArea dataOnly="0" labelOnly="1" outline="0" fieldPosition="0">
        <references count="10">
          <reference field="0" count="1" selected="0">
            <x v="2"/>
          </reference>
          <reference field="1" count="1" selected="0">
            <x v="28"/>
          </reference>
          <reference field="6" count="1" selected="0">
            <x v="0"/>
          </reference>
          <reference field="7" count="1" selected="0">
            <x v="2"/>
          </reference>
          <reference field="9" count="1">
            <x v="1"/>
          </reference>
          <reference field="11" count="1" selected="0">
            <x v="1"/>
          </reference>
          <reference field="13" count="1" selected="0">
            <x v="0"/>
          </reference>
          <reference field="14" count="0" selected="0"/>
          <reference field="15" count="1" selected="0">
            <x v="0"/>
          </reference>
          <reference field="16" count="1" selected="0">
            <x v="5"/>
          </reference>
        </references>
      </pivotArea>
    </format>
    <format dxfId="352">
      <pivotArea dataOnly="0" labelOnly="1" outline="0" fieldPosition="0">
        <references count="10">
          <reference field="0" count="1" selected="0">
            <x v="0"/>
          </reference>
          <reference field="1" count="1" selected="0">
            <x v="29"/>
          </reference>
          <reference field="6" count="1" selected="0">
            <x v="0"/>
          </reference>
          <reference field="7" count="1" selected="0">
            <x v="4"/>
          </reference>
          <reference field="9" count="1">
            <x v="7"/>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351">
      <pivotArea dataOnly="0" labelOnly="1" outline="0" fieldPosition="0">
        <references count="10">
          <reference field="0" count="1" selected="0">
            <x v="2"/>
          </reference>
          <reference field="1" count="1" selected="0">
            <x v="30"/>
          </reference>
          <reference field="6" count="1" selected="0">
            <x v="0"/>
          </reference>
          <reference field="7" count="1" selected="0">
            <x v="4"/>
          </reference>
          <reference field="9" count="1">
            <x v="8"/>
          </reference>
          <reference field="11" count="1" selected="0">
            <x v="0"/>
          </reference>
          <reference field="13" count="1" selected="0">
            <x v="0"/>
          </reference>
          <reference field="14" count="0" selected="0"/>
          <reference field="15" count="1" selected="0">
            <x v="0"/>
          </reference>
          <reference field="16" count="1" selected="0">
            <x v="1"/>
          </reference>
        </references>
      </pivotArea>
    </format>
    <format dxfId="350">
      <pivotArea dataOnly="0" labelOnly="1" outline="0" fieldPosition="0">
        <references count="11">
          <reference field="0" count="1" selected="0">
            <x v="1"/>
          </reference>
          <reference field="1" count="1" selected="0">
            <x v="0"/>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349">
      <pivotArea dataOnly="0" labelOnly="1" outline="0" fieldPosition="0">
        <references count="11">
          <reference field="0" count="1" selected="0">
            <x v="0"/>
          </reference>
          <reference field="1" count="1" selected="0">
            <x v="1"/>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2"/>
          </reference>
          <reference field="16" count="1" selected="0">
            <x v="0"/>
          </reference>
        </references>
      </pivotArea>
    </format>
    <format dxfId="348">
      <pivotArea dataOnly="0" labelOnly="1" outline="0" fieldPosition="0">
        <references count="11">
          <reference field="0" count="1" selected="0">
            <x v="2"/>
          </reference>
          <reference field="1" count="1" selected="0">
            <x v="2"/>
          </reference>
          <reference field="6" count="1" selected="0">
            <x v="0"/>
          </reference>
          <reference field="7" count="1" selected="0">
            <x v="0"/>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347">
      <pivotArea dataOnly="0" labelOnly="1" outline="0" fieldPosition="0">
        <references count="11">
          <reference field="0" count="1" selected="0">
            <x v="2"/>
          </reference>
          <reference field="1" count="1" selected="0">
            <x v="3"/>
          </reference>
          <reference field="6" count="1" selected="0">
            <x v="0"/>
          </reference>
          <reference field="7" count="1" selected="0">
            <x v="0"/>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9"/>
          </reference>
        </references>
      </pivotArea>
    </format>
    <format dxfId="346">
      <pivotArea dataOnly="0" labelOnly="1" outline="0" fieldPosition="0">
        <references count="11">
          <reference field="0" count="1" selected="0">
            <x v="2"/>
          </reference>
          <reference field="1" count="1" selected="0">
            <x v="4"/>
          </reference>
          <reference field="6" count="1" selected="0">
            <x v="0"/>
          </reference>
          <reference field="7" count="1" selected="0">
            <x v="0"/>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0"/>
          </reference>
        </references>
      </pivotArea>
    </format>
    <format dxfId="345">
      <pivotArea dataOnly="0" labelOnly="1" outline="0" fieldPosition="0">
        <references count="11">
          <reference field="0" count="1" selected="0">
            <x v="2"/>
          </reference>
          <reference field="1" count="1" selected="0">
            <x v="5"/>
          </reference>
          <reference field="6" count="1" selected="0">
            <x v="0"/>
          </reference>
          <reference field="7" count="1" selected="0">
            <x v="0"/>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12"/>
          </reference>
        </references>
      </pivotArea>
    </format>
    <format dxfId="344">
      <pivotArea dataOnly="0" labelOnly="1" outline="0" fieldPosition="0">
        <references count="11">
          <reference field="0" count="1" selected="0">
            <x v="2"/>
          </reference>
          <reference field="1" count="1" selected="0">
            <x v="6"/>
          </reference>
          <reference field="6" count="1" selected="0">
            <x v="0"/>
          </reference>
          <reference field="7" count="1" selected="0">
            <x v="0"/>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4"/>
          </reference>
        </references>
      </pivotArea>
    </format>
    <format dxfId="343">
      <pivotArea dataOnly="0" labelOnly="1" outline="0" fieldPosition="0">
        <references count="11">
          <reference field="0" count="1" selected="0">
            <x v="0"/>
          </reference>
          <reference field="1" count="1" selected="0">
            <x v="7"/>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342">
      <pivotArea dataOnly="0" labelOnly="1" outline="0" fieldPosition="0">
        <references count="11">
          <reference field="0" count="1" selected="0">
            <x v="2"/>
          </reference>
          <reference field="1" count="1" selected="0">
            <x v="8"/>
          </reference>
          <reference field="6" count="1" selected="0">
            <x v="0"/>
          </reference>
          <reference field="7" count="1" selected="0">
            <x v="1"/>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341">
      <pivotArea dataOnly="0" labelOnly="1" outline="0" fieldPosition="0">
        <references count="11">
          <reference field="0" count="1" selected="0">
            <x v="2"/>
          </reference>
          <reference field="1" count="1" selected="0">
            <x v="9"/>
          </reference>
          <reference field="6" count="1" selected="0">
            <x v="0"/>
          </reference>
          <reference field="7" count="1" selected="0">
            <x v="1"/>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13"/>
          </reference>
        </references>
      </pivotArea>
    </format>
    <format dxfId="340">
      <pivotArea dataOnly="0" labelOnly="1" outline="0" fieldPosition="0">
        <references count="11">
          <reference field="0" count="1" selected="0">
            <x v="2"/>
          </reference>
          <reference field="1" count="1" selected="0">
            <x v="10"/>
          </reference>
          <reference field="6" count="1" selected="0">
            <x v="0"/>
          </reference>
          <reference field="7" count="1" selected="0">
            <x v="1"/>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4"/>
          </reference>
        </references>
      </pivotArea>
    </format>
    <format dxfId="339">
      <pivotArea dataOnly="0" labelOnly="1" outline="0" fieldPosition="0">
        <references count="11">
          <reference field="0" count="1" selected="0">
            <x v="2"/>
          </reference>
          <reference field="1" count="1" selected="0">
            <x v="11"/>
          </reference>
          <reference field="6" count="1" selected="0">
            <x v="0"/>
          </reference>
          <reference field="7" count="1" selected="0">
            <x v="1"/>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16"/>
          </reference>
        </references>
      </pivotArea>
    </format>
    <format dxfId="338">
      <pivotArea dataOnly="0" labelOnly="1" outline="0" fieldPosition="0">
        <references count="11">
          <reference field="0" count="1" selected="0">
            <x v="2"/>
          </reference>
          <reference field="1" count="1" selected="0">
            <x v="12"/>
          </reference>
          <reference field="6" count="1" selected="0">
            <x v="0"/>
          </reference>
          <reference field="7" count="1" selected="0">
            <x v="1"/>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6"/>
          </reference>
        </references>
      </pivotArea>
    </format>
    <format dxfId="337">
      <pivotArea dataOnly="0" labelOnly="1" outline="0" fieldPosition="0">
        <references count="11">
          <reference field="0" count="1" selected="0">
            <x v="0"/>
          </reference>
          <reference field="1" count="1" selected="0">
            <x v="13"/>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336">
      <pivotArea dataOnly="0" labelOnly="1" outline="0" fieldPosition="0">
        <references count="11">
          <reference field="0" count="1" selected="0">
            <x v="2"/>
          </reference>
          <reference field="1" count="1" selected="0">
            <x v="14"/>
          </reference>
          <reference field="6" count="1" selected="0">
            <x v="0"/>
          </reference>
          <reference field="7" count="1" selected="0">
            <x v="2"/>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335">
      <pivotArea dataOnly="0" labelOnly="1" outline="0" fieldPosition="0">
        <references count="11">
          <reference field="0" count="1" selected="0">
            <x v="2"/>
          </reference>
          <reference field="1" count="1" selected="0">
            <x v="15"/>
          </reference>
          <reference field="6" count="1" selected="0">
            <x v="0"/>
          </reference>
          <reference field="7" count="1" selected="0">
            <x v="2"/>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17"/>
          </reference>
        </references>
      </pivotArea>
    </format>
    <format dxfId="334">
      <pivotArea dataOnly="0" labelOnly="1" outline="0" fieldPosition="0">
        <references count="11">
          <reference field="0" count="1" selected="0">
            <x v="2"/>
          </reference>
          <reference field="1" count="1" selected="0">
            <x v="16"/>
          </reference>
          <reference field="6" count="1" selected="0">
            <x v="0"/>
          </reference>
          <reference field="7" count="1" selected="0">
            <x v="2"/>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8"/>
          </reference>
        </references>
      </pivotArea>
    </format>
    <format dxfId="333">
      <pivotArea dataOnly="0" labelOnly="1" outline="0" fieldPosition="0">
        <references count="11">
          <reference field="0" count="1" selected="0">
            <x v="2"/>
          </reference>
          <reference field="1" count="1" selected="0">
            <x v="17"/>
          </reference>
          <reference field="6" count="1" selected="0">
            <x v="0"/>
          </reference>
          <reference field="7" count="1" selected="0">
            <x v="2"/>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20"/>
          </reference>
        </references>
      </pivotArea>
    </format>
    <format dxfId="332">
      <pivotArea dataOnly="0" labelOnly="1" outline="0" fieldPosition="0">
        <references count="11">
          <reference field="0" count="1" selected="0">
            <x v="2"/>
          </reference>
          <reference field="1" count="1" selected="0">
            <x v="18"/>
          </reference>
          <reference field="6" count="1" selected="0">
            <x v="0"/>
          </reference>
          <reference field="7" count="1" selected="0">
            <x v="2"/>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7"/>
          </reference>
        </references>
      </pivotArea>
    </format>
    <format dxfId="331">
      <pivotArea dataOnly="0" labelOnly="1" outline="0" fieldPosition="0">
        <references count="11">
          <reference field="0" count="1" selected="0">
            <x v="0"/>
          </reference>
          <reference field="1" count="1" selected="0">
            <x v="19"/>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330">
      <pivotArea dataOnly="0" labelOnly="1" outline="0" fieldPosition="0">
        <references count="11">
          <reference field="0" count="1" selected="0">
            <x v="2"/>
          </reference>
          <reference field="1" count="1" selected="0">
            <x v="20"/>
          </reference>
          <reference field="6" count="1" selected="0">
            <x v="0"/>
          </reference>
          <reference field="7" count="1" selected="0">
            <x v="3"/>
          </reference>
          <reference field="9" count="1" selected="0">
            <x v="4"/>
          </reference>
          <reference field="10" count="1">
            <x v="4"/>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329">
      <pivotArea dataOnly="0" labelOnly="1" outline="0" fieldPosition="0">
        <references count="11">
          <reference field="0" count="1" selected="0">
            <x v="2"/>
          </reference>
          <reference field="1" count="1" selected="0">
            <x v="21"/>
          </reference>
          <reference field="6" count="1" selected="0">
            <x v="0"/>
          </reference>
          <reference field="7" count="1" selected="0">
            <x v="3"/>
          </reference>
          <reference field="9" count="1" selected="0">
            <x v="5"/>
          </reference>
          <reference field="10" count="1">
            <x v="5"/>
          </reference>
          <reference field="11" count="1" selected="0">
            <x v="0"/>
          </reference>
          <reference field="13" count="1" selected="0">
            <x v="0"/>
          </reference>
          <reference field="14" count="0" selected="0"/>
          <reference field="15" count="1" selected="0">
            <x v="0"/>
          </reference>
          <reference field="16" count="1" selected="0">
            <x v="21"/>
          </reference>
        </references>
      </pivotArea>
    </format>
    <format dxfId="328">
      <pivotArea dataOnly="0" labelOnly="1" outline="0" fieldPosition="0">
        <references count="11">
          <reference field="0" count="1" selected="0">
            <x v="2"/>
          </reference>
          <reference field="1" count="1" selected="0">
            <x v="22"/>
          </reference>
          <reference field="6" count="1" selected="0">
            <x v="0"/>
          </reference>
          <reference field="7" count="1" selected="0">
            <x v="3"/>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22"/>
          </reference>
        </references>
      </pivotArea>
    </format>
    <format dxfId="327">
      <pivotArea dataOnly="0" labelOnly="1" outline="0" fieldPosition="0">
        <references count="11">
          <reference field="0" count="1" selected="0">
            <x v="2"/>
          </reference>
          <reference field="1" count="1" selected="0">
            <x v="23"/>
          </reference>
          <reference field="6" count="1" selected="0">
            <x v="0"/>
          </reference>
          <reference field="7" count="1" selected="0">
            <x v="3"/>
          </reference>
          <reference field="9" count="1" selected="0">
            <x v="6"/>
          </reference>
          <reference field="10" count="1">
            <x v="6"/>
          </reference>
          <reference field="11" count="1" selected="0">
            <x v="0"/>
          </reference>
          <reference field="13" count="1" selected="0">
            <x v="0"/>
          </reference>
          <reference field="14" count="0" selected="0"/>
          <reference field="15" count="1" selected="0">
            <x v="0"/>
          </reference>
          <reference field="16" count="1" selected="0">
            <x v="24"/>
          </reference>
        </references>
      </pivotArea>
    </format>
    <format dxfId="326">
      <pivotArea dataOnly="0" labelOnly="1" outline="0" fieldPosition="0">
        <references count="11">
          <reference field="0" count="1" selected="0">
            <x v="2"/>
          </reference>
          <reference field="1" count="1" selected="0">
            <x v="24"/>
          </reference>
          <reference field="6" count="1" selected="0">
            <x v="0"/>
          </reference>
          <reference field="7" count="1" selected="0">
            <x v="3"/>
          </reference>
          <reference field="9" count="1" selected="0">
            <x v="5"/>
          </reference>
          <reference field="10" count="1">
            <x v="5"/>
          </reference>
          <reference field="11" count="1" selected="0">
            <x v="1"/>
          </reference>
          <reference field="13" count="1" selected="0">
            <x v="0"/>
          </reference>
          <reference field="14" count="0" selected="0"/>
          <reference field="15" count="1" selected="0">
            <x v="0"/>
          </reference>
          <reference field="16" count="1" selected="0">
            <x v="8"/>
          </reference>
        </references>
      </pivotArea>
    </format>
    <format dxfId="325">
      <pivotArea dataOnly="0" labelOnly="1" outline="0" fieldPosition="0">
        <references count="11">
          <reference field="0" count="1" selected="0">
            <x v="0"/>
          </reference>
          <reference field="1" count="1" selected="0">
            <x v="25"/>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324">
      <pivotArea dataOnly="0" labelOnly="1" outline="0" fieldPosition="0">
        <references count="11">
          <reference field="0" count="1" selected="0">
            <x v="2"/>
          </reference>
          <reference field="1" count="1" selected="0">
            <x v="26"/>
          </reference>
          <reference field="6" count="1" selected="0">
            <x v="0"/>
          </reference>
          <reference field="7" count="1" selected="0">
            <x v="2"/>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323">
      <pivotArea dataOnly="0" labelOnly="1" outline="0" fieldPosition="0">
        <references count="11">
          <reference field="0" count="1" selected="0">
            <x v="2"/>
          </reference>
          <reference field="1" count="1" selected="0">
            <x v="27"/>
          </reference>
          <reference field="6" count="1" selected="0">
            <x v="0"/>
          </reference>
          <reference field="7" count="1" selected="0">
            <x v="2"/>
          </reference>
          <reference field="9" count="1" selected="0">
            <x v="3"/>
          </reference>
          <reference field="10" count="1">
            <x v="3"/>
          </reference>
          <reference field="11" count="1" selected="0">
            <x v="0"/>
          </reference>
          <reference field="13" count="1" selected="0">
            <x v="0"/>
          </reference>
          <reference field="14" count="0" selected="0"/>
          <reference field="15" count="1" selected="0">
            <x v="0"/>
          </reference>
          <reference field="16" count="1" selected="0">
            <x v="3"/>
          </reference>
        </references>
      </pivotArea>
    </format>
    <format dxfId="322">
      <pivotArea dataOnly="0" labelOnly="1" outline="0" fieldPosition="0">
        <references count="11">
          <reference field="0" count="1" selected="0">
            <x v="2"/>
          </reference>
          <reference field="1" count="1" selected="0">
            <x v="28"/>
          </reference>
          <reference field="6" count="1" selected="0">
            <x v="0"/>
          </reference>
          <reference field="7" count="1" selected="0">
            <x v="2"/>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5"/>
          </reference>
        </references>
      </pivotArea>
    </format>
    <format dxfId="321">
      <pivotArea dataOnly="0" labelOnly="1" outline="0" fieldPosition="0">
        <references count="11">
          <reference field="0" count="1" selected="0">
            <x v="0"/>
          </reference>
          <reference field="1" count="1" selected="0">
            <x v="29"/>
          </reference>
          <reference field="6" count="1" selected="0">
            <x v="0"/>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320">
      <pivotArea dataOnly="0" labelOnly="1" outline="0" fieldPosition="0">
        <references count="11">
          <reference field="0" count="1" selected="0">
            <x v="2"/>
          </reference>
          <reference field="1" count="1" selected="0">
            <x v="30"/>
          </reference>
          <reference field="6" count="1" selected="0">
            <x v="0"/>
          </reference>
          <reference field="7" count="1" selected="0">
            <x v="4"/>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
          </reference>
        </references>
      </pivotArea>
    </format>
    <format dxfId="319">
      <pivotArea dataOnly="0" labelOnly="1" outline="0" fieldPosition="0">
        <references count="1">
          <reference field="1" count="0"/>
        </references>
      </pivotArea>
    </format>
    <format dxfId="318">
      <pivotArea dataOnly="0" labelOnly="1" outline="0" fieldPosition="0">
        <references count="2">
          <reference field="0" count="1">
            <x v="1"/>
          </reference>
          <reference field="1" count="1" selected="0">
            <x v="0"/>
          </reference>
        </references>
      </pivotArea>
    </format>
    <format dxfId="317">
      <pivotArea dataOnly="0" labelOnly="1" outline="0" fieldPosition="0">
        <references count="2">
          <reference field="0" count="1">
            <x v="0"/>
          </reference>
          <reference field="1" count="1" selected="0">
            <x v="1"/>
          </reference>
        </references>
      </pivotArea>
    </format>
    <format dxfId="316">
      <pivotArea dataOnly="0" labelOnly="1" outline="0" fieldPosition="0">
        <references count="2">
          <reference field="0" count="1">
            <x v="2"/>
          </reference>
          <reference field="1" count="1" selected="0">
            <x v="2"/>
          </reference>
        </references>
      </pivotArea>
    </format>
    <format dxfId="315">
      <pivotArea dataOnly="0" labelOnly="1" outline="0" fieldPosition="0">
        <references count="2">
          <reference field="0" count="1">
            <x v="0"/>
          </reference>
          <reference field="1" count="1" selected="0">
            <x v="7"/>
          </reference>
        </references>
      </pivotArea>
    </format>
    <format dxfId="314">
      <pivotArea dataOnly="0" labelOnly="1" outline="0" fieldPosition="0">
        <references count="2">
          <reference field="0" count="1">
            <x v="2"/>
          </reference>
          <reference field="1" count="1" selected="0">
            <x v="8"/>
          </reference>
        </references>
      </pivotArea>
    </format>
    <format dxfId="313">
      <pivotArea dataOnly="0" labelOnly="1" outline="0" fieldPosition="0">
        <references count="2">
          <reference field="0" count="1">
            <x v="0"/>
          </reference>
          <reference field="1" count="1" selected="0">
            <x v="13"/>
          </reference>
        </references>
      </pivotArea>
    </format>
    <format dxfId="312">
      <pivotArea dataOnly="0" labelOnly="1" outline="0" fieldPosition="0">
        <references count="2">
          <reference field="0" count="1">
            <x v="2"/>
          </reference>
          <reference field="1" count="1" selected="0">
            <x v="14"/>
          </reference>
        </references>
      </pivotArea>
    </format>
    <format dxfId="311">
      <pivotArea dataOnly="0" labelOnly="1" outline="0" fieldPosition="0">
        <references count="2">
          <reference field="0" count="1">
            <x v="0"/>
          </reference>
          <reference field="1" count="1" selected="0">
            <x v="19"/>
          </reference>
        </references>
      </pivotArea>
    </format>
    <format dxfId="310">
      <pivotArea dataOnly="0" labelOnly="1" outline="0" fieldPosition="0">
        <references count="2">
          <reference field="0" count="1">
            <x v="2"/>
          </reference>
          <reference field="1" count="1" selected="0">
            <x v="20"/>
          </reference>
        </references>
      </pivotArea>
    </format>
    <format dxfId="309">
      <pivotArea dataOnly="0" labelOnly="1" outline="0" fieldPosition="0">
        <references count="2">
          <reference field="0" count="1">
            <x v="0"/>
          </reference>
          <reference field="1" count="1" selected="0">
            <x v="25"/>
          </reference>
        </references>
      </pivotArea>
    </format>
    <format dxfId="308">
      <pivotArea dataOnly="0" labelOnly="1" outline="0" fieldPosition="0">
        <references count="2">
          <reference field="0" count="1">
            <x v="2"/>
          </reference>
          <reference field="1" count="1" selected="0">
            <x v="26"/>
          </reference>
        </references>
      </pivotArea>
    </format>
    <format dxfId="307">
      <pivotArea dataOnly="0" labelOnly="1" outline="0" fieldPosition="0">
        <references count="2">
          <reference field="0" count="1">
            <x v="0"/>
          </reference>
          <reference field="1" count="1" selected="0">
            <x v="29"/>
          </reference>
        </references>
      </pivotArea>
    </format>
    <format dxfId="306">
      <pivotArea dataOnly="0" labelOnly="1" outline="0" fieldPosition="0">
        <references count="2">
          <reference field="0" count="1">
            <x v="2"/>
          </reference>
          <reference field="1" count="1" selected="0">
            <x v="30"/>
          </reference>
        </references>
      </pivotArea>
    </format>
    <format dxfId="305">
      <pivotArea dataOnly="0" labelOnly="1" outline="0" fieldPosition="0">
        <references count="3">
          <reference field="0" count="1" selected="0">
            <x v="1"/>
          </reference>
          <reference field="1" count="1" selected="0">
            <x v="0"/>
          </reference>
          <reference field="13" count="1">
            <x v="1"/>
          </reference>
        </references>
      </pivotArea>
    </format>
    <format dxfId="304">
      <pivotArea dataOnly="0" labelOnly="1" outline="0" fieldPosition="0">
        <references count="3">
          <reference field="0" count="1" selected="0">
            <x v="0"/>
          </reference>
          <reference field="1" count="1" selected="0">
            <x v="1"/>
          </reference>
          <reference field="13" count="1">
            <x v="0"/>
          </reference>
        </references>
      </pivotArea>
    </format>
    <format dxfId="303">
      <pivotArea dataOnly="0" labelOnly="1" outline="0" fieldPosition="0">
        <references count="4">
          <reference field="0" count="1" selected="0">
            <x v="1"/>
          </reference>
          <reference field="1" count="1" selected="0">
            <x v="0"/>
          </reference>
          <reference field="13" count="1" selected="0">
            <x v="1"/>
          </reference>
          <reference field="14" count="0"/>
        </references>
      </pivotArea>
    </format>
    <format dxfId="302">
      <pivotArea dataOnly="0" labelOnly="1" outline="0" fieldPosition="0">
        <references count="5">
          <reference field="0" count="1" selected="0">
            <x v="1"/>
          </reference>
          <reference field="1" count="1" selected="0">
            <x v="0"/>
          </reference>
          <reference field="13" count="1" selected="0">
            <x v="1"/>
          </reference>
          <reference field="14" count="0" selected="0"/>
          <reference field="15" count="1">
            <x v="0"/>
          </reference>
        </references>
      </pivotArea>
    </format>
    <format dxfId="301">
      <pivotArea dataOnly="0" labelOnly="1" outline="0" fieldPosition="0">
        <references count="5">
          <reference field="0" count="1" selected="0">
            <x v="0"/>
          </reference>
          <reference field="1" count="1" selected="0">
            <x v="1"/>
          </reference>
          <reference field="13" count="1" selected="0">
            <x v="0"/>
          </reference>
          <reference field="14" count="0" selected="0"/>
          <reference field="15" count="1">
            <x v="2"/>
          </reference>
        </references>
      </pivotArea>
    </format>
    <format dxfId="300">
      <pivotArea dataOnly="0" labelOnly="1" outline="0" fieldPosition="0">
        <references count="5">
          <reference field="0" count="1" selected="0">
            <x v="2"/>
          </reference>
          <reference field="1" count="1" selected="0">
            <x v="2"/>
          </reference>
          <reference field="13" count="1" selected="0">
            <x v="0"/>
          </reference>
          <reference field="14" count="0" selected="0"/>
          <reference field="15" count="1">
            <x v="0"/>
          </reference>
        </references>
      </pivotArea>
    </format>
    <format dxfId="299">
      <pivotArea dataOnly="0" labelOnly="1" outline="0" fieldPosition="0">
        <references count="5">
          <reference field="0" count="1" selected="0">
            <x v="0"/>
          </reference>
          <reference field="1" count="1" selected="0">
            <x v="7"/>
          </reference>
          <reference field="13" count="1" selected="0">
            <x v="0"/>
          </reference>
          <reference field="14" count="0" selected="0"/>
          <reference field="15" count="1">
            <x v="4"/>
          </reference>
        </references>
      </pivotArea>
    </format>
    <format dxfId="298">
      <pivotArea dataOnly="0" labelOnly="1" outline="0" fieldPosition="0">
        <references count="5">
          <reference field="0" count="1" selected="0">
            <x v="2"/>
          </reference>
          <reference field="1" count="1" selected="0">
            <x v="8"/>
          </reference>
          <reference field="13" count="1" selected="0">
            <x v="0"/>
          </reference>
          <reference field="14" count="0" selected="0"/>
          <reference field="15" count="1">
            <x v="0"/>
          </reference>
        </references>
      </pivotArea>
    </format>
    <format dxfId="297">
      <pivotArea dataOnly="0" labelOnly="1" outline="0" fieldPosition="0">
        <references count="5">
          <reference field="0" count="1" selected="0">
            <x v="0"/>
          </reference>
          <reference field="1" count="1" selected="0">
            <x v="13"/>
          </reference>
          <reference field="13" count="1" selected="0">
            <x v="0"/>
          </reference>
          <reference field="14" count="0" selected="0"/>
          <reference field="15" count="1">
            <x v="5"/>
          </reference>
        </references>
      </pivotArea>
    </format>
    <format dxfId="296">
      <pivotArea dataOnly="0" labelOnly="1" outline="0" fieldPosition="0">
        <references count="5">
          <reference field="0" count="1" selected="0">
            <x v="2"/>
          </reference>
          <reference field="1" count="1" selected="0">
            <x v="14"/>
          </reference>
          <reference field="13" count="1" selected="0">
            <x v="0"/>
          </reference>
          <reference field="14" count="0" selected="0"/>
          <reference field="15" count="1">
            <x v="0"/>
          </reference>
        </references>
      </pivotArea>
    </format>
    <format dxfId="295">
      <pivotArea dataOnly="0" labelOnly="1" outline="0" fieldPosition="0">
        <references count="5">
          <reference field="0" count="1" selected="0">
            <x v="0"/>
          </reference>
          <reference field="1" count="1" selected="0">
            <x v="19"/>
          </reference>
          <reference field="13" count="1" selected="0">
            <x v="0"/>
          </reference>
          <reference field="14" count="0" selected="0"/>
          <reference field="15" count="1">
            <x v="6"/>
          </reference>
        </references>
      </pivotArea>
    </format>
    <format dxfId="294">
      <pivotArea dataOnly="0" labelOnly="1" outline="0" fieldPosition="0">
        <references count="5">
          <reference field="0" count="1" selected="0">
            <x v="2"/>
          </reference>
          <reference field="1" count="1" selected="0">
            <x v="20"/>
          </reference>
          <reference field="13" count="1" selected="0">
            <x v="0"/>
          </reference>
          <reference field="14" count="0" selected="0"/>
          <reference field="15" count="1">
            <x v="0"/>
          </reference>
        </references>
      </pivotArea>
    </format>
    <format dxfId="293">
      <pivotArea dataOnly="0" labelOnly="1" outline="0" fieldPosition="0">
        <references count="5">
          <reference field="0" count="1" selected="0">
            <x v="0"/>
          </reference>
          <reference field="1" count="1" selected="0">
            <x v="25"/>
          </reference>
          <reference field="13" count="1" selected="0">
            <x v="0"/>
          </reference>
          <reference field="14" count="0" selected="0"/>
          <reference field="15" count="1">
            <x v="3"/>
          </reference>
        </references>
      </pivotArea>
    </format>
    <format dxfId="292">
      <pivotArea dataOnly="0" labelOnly="1" outline="0" fieldPosition="0">
        <references count="5">
          <reference field="0" count="1" selected="0">
            <x v="2"/>
          </reference>
          <reference field="1" count="1" selected="0">
            <x v="26"/>
          </reference>
          <reference field="13" count="1" selected="0">
            <x v="0"/>
          </reference>
          <reference field="14" count="0" selected="0"/>
          <reference field="15" count="1">
            <x v="0"/>
          </reference>
        </references>
      </pivotArea>
    </format>
    <format dxfId="291">
      <pivotArea dataOnly="0" labelOnly="1" outline="0" fieldPosition="0">
        <references count="5">
          <reference field="0" count="1" selected="0">
            <x v="0"/>
          </reference>
          <reference field="1" count="1" selected="0">
            <x v="29"/>
          </reference>
          <reference field="13" count="1" selected="0">
            <x v="0"/>
          </reference>
          <reference field="14" count="0" selected="0"/>
          <reference field="15" count="1">
            <x v="1"/>
          </reference>
        </references>
      </pivotArea>
    </format>
    <format dxfId="290">
      <pivotArea dataOnly="0" labelOnly="1" outline="0" fieldPosition="0">
        <references count="5">
          <reference field="0" count="1" selected="0">
            <x v="2"/>
          </reference>
          <reference field="1" count="1" selected="0">
            <x v="30"/>
          </reference>
          <reference field="13" count="1" selected="0">
            <x v="0"/>
          </reference>
          <reference field="14" count="0" selected="0"/>
          <reference field="15" count="1">
            <x v="0"/>
          </reference>
        </references>
      </pivotArea>
    </format>
    <format dxfId="289">
      <pivotArea dataOnly="0" labelOnly="1" outline="0" fieldPosition="0">
        <references count="6">
          <reference field="0" count="1" selected="0">
            <x v="1"/>
          </reference>
          <reference field="1" count="1" selected="0">
            <x v="0"/>
          </reference>
          <reference field="13" count="1" selected="0">
            <x v="1"/>
          </reference>
          <reference field="14" count="0" selected="0"/>
          <reference field="15" count="1" selected="0">
            <x v="0"/>
          </reference>
          <reference field="16" count="1">
            <x v="0"/>
          </reference>
        </references>
      </pivotArea>
    </format>
    <format dxfId="288">
      <pivotArea dataOnly="0" labelOnly="1" outline="0" fieldPosition="0">
        <references count="6">
          <reference field="0" count="1" selected="0">
            <x v="2"/>
          </reference>
          <reference field="1" count="1" selected="0">
            <x v="2"/>
          </reference>
          <reference field="13" count="1" selected="0">
            <x v="0"/>
          </reference>
          <reference field="14" count="0" selected="0"/>
          <reference field="15" count="1" selected="0">
            <x v="0"/>
          </reference>
          <reference field="16" count="1">
            <x v="11"/>
          </reference>
        </references>
      </pivotArea>
    </format>
    <format dxfId="287">
      <pivotArea dataOnly="0" labelOnly="1" outline="0" fieldPosition="0">
        <references count="6">
          <reference field="0" count="1" selected="0">
            <x v="2"/>
          </reference>
          <reference field="1" count="1" selected="0">
            <x v="3"/>
          </reference>
          <reference field="13" count="1" selected="0">
            <x v="0"/>
          </reference>
          <reference field="14" count="0" selected="0"/>
          <reference field="15" count="1" selected="0">
            <x v="0"/>
          </reference>
          <reference field="16" count="1">
            <x v="9"/>
          </reference>
        </references>
      </pivotArea>
    </format>
    <format dxfId="286">
      <pivotArea dataOnly="0" labelOnly="1" outline="0" fieldPosition="0">
        <references count="6">
          <reference field="0" count="1" selected="0">
            <x v="2"/>
          </reference>
          <reference field="1" count="1" selected="0">
            <x v="4"/>
          </reference>
          <reference field="13" count="1" selected="0">
            <x v="0"/>
          </reference>
          <reference field="14" count="0" selected="0"/>
          <reference field="15" count="1" selected="0">
            <x v="0"/>
          </reference>
          <reference field="16" count="1">
            <x v="10"/>
          </reference>
        </references>
      </pivotArea>
    </format>
    <format dxfId="285">
      <pivotArea dataOnly="0" labelOnly="1" outline="0" fieldPosition="0">
        <references count="6">
          <reference field="0" count="1" selected="0">
            <x v="2"/>
          </reference>
          <reference field="1" count="1" selected="0">
            <x v="5"/>
          </reference>
          <reference field="13" count="1" selected="0">
            <x v="0"/>
          </reference>
          <reference field="14" count="0" selected="0"/>
          <reference field="15" count="1" selected="0">
            <x v="0"/>
          </reference>
          <reference field="16" count="1">
            <x v="12"/>
          </reference>
        </references>
      </pivotArea>
    </format>
    <format dxfId="284">
      <pivotArea dataOnly="0" labelOnly="1" outline="0" fieldPosition="0">
        <references count="6">
          <reference field="0" count="1" selected="0">
            <x v="2"/>
          </reference>
          <reference field="1" count="1" selected="0">
            <x v="6"/>
          </reference>
          <reference field="13" count="1" selected="0">
            <x v="0"/>
          </reference>
          <reference field="14" count="0" selected="0"/>
          <reference field="15" count="1" selected="0">
            <x v="0"/>
          </reference>
          <reference field="16" count="1">
            <x v="4"/>
          </reference>
        </references>
      </pivotArea>
    </format>
    <format dxfId="283">
      <pivotArea dataOnly="0" labelOnly="1" outline="0" fieldPosition="0">
        <references count="6">
          <reference field="0" count="1" selected="0">
            <x v="0"/>
          </reference>
          <reference field="1" count="1" selected="0">
            <x v="7"/>
          </reference>
          <reference field="13" count="1" selected="0">
            <x v="0"/>
          </reference>
          <reference field="14" count="0" selected="0"/>
          <reference field="15" count="1" selected="0">
            <x v="4"/>
          </reference>
          <reference field="16" count="1">
            <x v="0"/>
          </reference>
        </references>
      </pivotArea>
    </format>
    <format dxfId="282">
      <pivotArea dataOnly="0" labelOnly="1" outline="0" fieldPosition="0">
        <references count="6">
          <reference field="0" count="1" selected="0">
            <x v="2"/>
          </reference>
          <reference field="1" count="1" selected="0">
            <x v="8"/>
          </reference>
          <reference field="13" count="1" selected="0">
            <x v="0"/>
          </reference>
          <reference field="14" count="0" selected="0"/>
          <reference field="15" count="1" selected="0">
            <x v="0"/>
          </reference>
          <reference field="16" count="1">
            <x v="15"/>
          </reference>
        </references>
      </pivotArea>
    </format>
    <format dxfId="281">
      <pivotArea dataOnly="0" labelOnly="1" outline="0" fieldPosition="0">
        <references count="6">
          <reference field="0" count="1" selected="0">
            <x v="2"/>
          </reference>
          <reference field="1" count="1" selected="0">
            <x v="9"/>
          </reference>
          <reference field="13" count="1" selected="0">
            <x v="0"/>
          </reference>
          <reference field="14" count="0" selected="0"/>
          <reference field="15" count="1" selected="0">
            <x v="0"/>
          </reference>
          <reference field="16" count="1">
            <x v="13"/>
          </reference>
        </references>
      </pivotArea>
    </format>
    <format dxfId="280">
      <pivotArea dataOnly="0" labelOnly="1" outline="0" fieldPosition="0">
        <references count="6">
          <reference field="0" count="1" selected="0">
            <x v="2"/>
          </reference>
          <reference field="1" count="1" selected="0">
            <x v="10"/>
          </reference>
          <reference field="13" count="1" selected="0">
            <x v="0"/>
          </reference>
          <reference field="14" count="0" selected="0"/>
          <reference field="15" count="1" selected="0">
            <x v="0"/>
          </reference>
          <reference field="16" count="1">
            <x v="14"/>
          </reference>
        </references>
      </pivotArea>
    </format>
    <format dxfId="279">
      <pivotArea dataOnly="0" labelOnly="1" outline="0" fieldPosition="0">
        <references count="6">
          <reference field="0" count="1" selected="0">
            <x v="2"/>
          </reference>
          <reference field="1" count="1" selected="0">
            <x v="11"/>
          </reference>
          <reference field="13" count="1" selected="0">
            <x v="0"/>
          </reference>
          <reference field="14" count="0" selected="0"/>
          <reference field="15" count="1" selected="0">
            <x v="0"/>
          </reference>
          <reference field="16" count="1">
            <x v="16"/>
          </reference>
        </references>
      </pivotArea>
    </format>
    <format dxfId="278">
      <pivotArea dataOnly="0" labelOnly="1" outline="0" fieldPosition="0">
        <references count="6">
          <reference field="0" count="1" selected="0">
            <x v="2"/>
          </reference>
          <reference field="1" count="1" selected="0">
            <x v="12"/>
          </reference>
          <reference field="13" count="1" selected="0">
            <x v="0"/>
          </reference>
          <reference field="14" count="0" selected="0"/>
          <reference field="15" count="1" selected="0">
            <x v="0"/>
          </reference>
          <reference field="16" count="1">
            <x v="6"/>
          </reference>
        </references>
      </pivotArea>
    </format>
    <format dxfId="277">
      <pivotArea dataOnly="0" labelOnly="1" outline="0" fieldPosition="0">
        <references count="6">
          <reference field="0" count="1" selected="0">
            <x v="0"/>
          </reference>
          <reference field="1" count="1" selected="0">
            <x v="13"/>
          </reference>
          <reference field="13" count="1" selected="0">
            <x v="0"/>
          </reference>
          <reference field="14" count="0" selected="0"/>
          <reference field="15" count="1" selected="0">
            <x v="5"/>
          </reference>
          <reference field="16" count="1">
            <x v="0"/>
          </reference>
        </references>
      </pivotArea>
    </format>
    <format dxfId="276">
      <pivotArea dataOnly="0" labelOnly="1" outline="0" fieldPosition="0">
        <references count="6">
          <reference field="0" count="1" selected="0">
            <x v="2"/>
          </reference>
          <reference field="1" count="1" selected="0">
            <x v="14"/>
          </reference>
          <reference field="13" count="1" selected="0">
            <x v="0"/>
          </reference>
          <reference field="14" count="0" selected="0"/>
          <reference field="15" count="1" selected="0">
            <x v="0"/>
          </reference>
          <reference field="16" count="1">
            <x v="19"/>
          </reference>
        </references>
      </pivotArea>
    </format>
    <format dxfId="275">
      <pivotArea dataOnly="0" labelOnly="1" outline="0" fieldPosition="0">
        <references count="6">
          <reference field="0" count="1" selected="0">
            <x v="2"/>
          </reference>
          <reference field="1" count="1" selected="0">
            <x v="15"/>
          </reference>
          <reference field="13" count="1" selected="0">
            <x v="0"/>
          </reference>
          <reference field="14" count="0" selected="0"/>
          <reference field="15" count="1" selected="0">
            <x v="0"/>
          </reference>
          <reference field="16" count="1">
            <x v="17"/>
          </reference>
        </references>
      </pivotArea>
    </format>
    <format dxfId="274">
      <pivotArea dataOnly="0" labelOnly="1" outline="0" fieldPosition="0">
        <references count="6">
          <reference field="0" count="1" selected="0">
            <x v="2"/>
          </reference>
          <reference field="1" count="1" selected="0">
            <x v="16"/>
          </reference>
          <reference field="13" count="1" selected="0">
            <x v="0"/>
          </reference>
          <reference field="14" count="0" selected="0"/>
          <reference field="15" count="1" selected="0">
            <x v="0"/>
          </reference>
          <reference field="16" count="1">
            <x v="18"/>
          </reference>
        </references>
      </pivotArea>
    </format>
    <format dxfId="273">
      <pivotArea dataOnly="0" labelOnly="1" outline="0" fieldPosition="0">
        <references count="6">
          <reference field="0" count="1" selected="0">
            <x v="2"/>
          </reference>
          <reference field="1" count="1" selected="0">
            <x v="17"/>
          </reference>
          <reference field="13" count="1" selected="0">
            <x v="0"/>
          </reference>
          <reference field="14" count="0" selected="0"/>
          <reference field="15" count="1" selected="0">
            <x v="0"/>
          </reference>
          <reference field="16" count="1">
            <x v="20"/>
          </reference>
        </references>
      </pivotArea>
    </format>
    <format dxfId="272">
      <pivotArea dataOnly="0" labelOnly="1" outline="0" fieldPosition="0">
        <references count="6">
          <reference field="0" count="1" selected="0">
            <x v="2"/>
          </reference>
          <reference field="1" count="1" selected="0">
            <x v="18"/>
          </reference>
          <reference field="13" count="1" selected="0">
            <x v="0"/>
          </reference>
          <reference field="14" count="0" selected="0"/>
          <reference field="15" count="1" selected="0">
            <x v="0"/>
          </reference>
          <reference field="16" count="1">
            <x v="7"/>
          </reference>
        </references>
      </pivotArea>
    </format>
    <format dxfId="271">
      <pivotArea dataOnly="0" labelOnly="1" outline="0" fieldPosition="0">
        <references count="6">
          <reference field="0" count="1" selected="0">
            <x v="0"/>
          </reference>
          <reference field="1" count="1" selected="0">
            <x v="19"/>
          </reference>
          <reference field="13" count="1" selected="0">
            <x v="0"/>
          </reference>
          <reference field="14" count="0" selected="0"/>
          <reference field="15" count="1" selected="0">
            <x v="6"/>
          </reference>
          <reference field="16" count="1">
            <x v="0"/>
          </reference>
        </references>
      </pivotArea>
    </format>
    <format dxfId="270">
      <pivotArea dataOnly="0" labelOnly="1" outline="0" fieldPosition="0">
        <references count="6">
          <reference field="0" count="1" selected="0">
            <x v="2"/>
          </reference>
          <reference field="1" count="1" selected="0">
            <x v="20"/>
          </reference>
          <reference field="13" count="1" selected="0">
            <x v="0"/>
          </reference>
          <reference field="14" count="0" selected="0"/>
          <reference field="15" count="1" selected="0">
            <x v="0"/>
          </reference>
          <reference field="16" count="1">
            <x v="23"/>
          </reference>
        </references>
      </pivotArea>
    </format>
    <format dxfId="269">
      <pivotArea dataOnly="0" labelOnly="1" outline="0" fieldPosition="0">
        <references count="6">
          <reference field="0" count="1" selected="0">
            <x v="2"/>
          </reference>
          <reference field="1" count="1" selected="0">
            <x v="21"/>
          </reference>
          <reference field="13" count="1" selected="0">
            <x v="0"/>
          </reference>
          <reference field="14" count="0" selected="0"/>
          <reference field="15" count="1" selected="0">
            <x v="0"/>
          </reference>
          <reference field="16" count="1">
            <x v="21"/>
          </reference>
        </references>
      </pivotArea>
    </format>
    <format dxfId="268">
      <pivotArea dataOnly="0" labelOnly="1" outline="0" fieldPosition="0">
        <references count="6">
          <reference field="0" count="1" selected="0">
            <x v="2"/>
          </reference>
          <reference field="1" count="1" selected="0">
            <x v="22"/>
          </reference>
          <reference field="13" count="1" selected="0">
            <x v="0"/>
          </reference>
          <reference field="14" count="0" selected="0"/>
          <reference field="15" count="1" selected="0">
            <x v="0"/>
          </reference>
          <reference field="16" count="1">
            <x v="22"/>
          </reference>
        </references>
      </pivotArea>
    </format>
    <format dxfId="267">
      <pivotArea dataOnly="0" labelOnly="1" outline="0" fieldPosition="0">
        <references count="6">
          <reference field="0" count="1" selected="0">
            <x v="2"/>
          </reference>
          <reference field="1" count="1" selected="0">
            <x v="23"/>
          </reference>
          <reference field="13" count="1" selected="0">
            <x v="0"/>
          </reference>
          <reference field="14" count="0" selected="0"/>
          <reference field="15" count="1" selected="0">
            <x v="0"/>
          </reference>
          <reference field="16" count="1">
            <x v="24"/>
          </reference>
        </references>
      </pivotArea>
    </format>
    <format dxfId="266">
      <pivotArea dataOnly="0" labelOnly="1" outline="0" fieldPosition="0">
        <references count="6">
          <reference field="0" count="1" selected="0">
            <x v="2"/>
          </reference>
          <reference field="1" count="1" selected="0">
            <x v="24"/>
          </reference>
          <reference field="13" count="1" selected="0">
            <x v="0"/>
          </reference>
          <reference field="14" count="0" selected="0"/>
          <reference field="15" count="1" selected="0">
            <x v="0"/>
          </reference>
          <reference field="16" count="1">
            <x v="8"/>
          </reference>
        </references>
      </pivotArea>
    </format>
    <format dxfId="265">
      <pivotArea dataOnly="0" labelOnly="1" outline="0" fieldPosition="0">
        <references count="6">
          <reference field="0" count="1" selected="0">
            <x v="0"/>
          </reference>
          <reference field="1" count="1" selected="0">
            <x v="25"/>
          </reference>
          <reference field="13" count="1" selected="0">
            <x v="0"/>
          </reference>
          <reference field="14" count="0" selected="0"/>
          <reference field="15" count="1" selected="0">
            <x v="3"/>
          </reference>
          <reference field="16" count="1">
            <x v="0"/>
          </reference>
        </references>
      </pivotArea>
    </format>
    <format dxfId="264">
      <pivotArea dataOnly="0" labelOnly="1" outline="0" fieldPosition="0">
        <references count="6">
          <reference field="0" count="1" selected="0">
            <x v="2"/>
          </reference>
          <reference field="1" count="1" selected="0">
            <x v="26"/>
          </reference>
          <reference field="13" count="1" selected="0">
            <x v="0"/>
          </reference>
          <reference field="14" count="0" selected="0"/>
          <reference field="15" count="1" selected="0">
            <x v="0"/>
          </reference>
          <reference field="16" count="1">
            <x v="2"/>
          </reference>
        </references>
      </pivotArea>
    </format>
    <format dxfId="263">
      <pivotArea dataOnly="0" labelOnly="1" outline="0" fieldPosition="0">
        <references count="6">
          <reference field="0" count="1" selected="0">
            <x v="2"/>
          </reference>
          <reference field="1" count="1" selected="0">
            <x v="27"/>
          </reference>
          <reference field="13" count="1" selected="0">
            <x v="0"/>
          </reference>
          <reference field="14" count="0" selected="0"/>
          <reference field="15" count="1" selected="0">
            <x v="0"/>
          </reference>
          <reference field="16" count="1">
            <x v="3"/>
          </reference>
        </references>
      </pivotArea>
    </format>
    <format dxfId="262">
      <pivotArea dataOnly="0" labelOnly="1" outline="0" fieldPosition="0">
        <references count="6">
          <reference field="0" count="1" selected="0">
            <x v="2"/>
          </reference>
          <reference field="1" count="1" selected="0">
            <x v="28"/>
          </reference>
          <reference field="13" count="1" selected="0">
            <x v="0"/>
          </reference>
          <reference field="14" count="0" selected="0"/>
          <reference field="15" count="1" selected="0">
            <x v="0"/>
          </reference>
          <reference field="16" count="1">
            <x v="5"/>
          </reference>
        </references>
      </pivotArea>
    </format>
    <format dxfId="261">
      <pivotArea dataOnly="0" labelOnly="1" outline="0" fieldPosition="0">
        <references count="6">
          <reference field="0" count="1" selected="0">
            <x v="0"/>
          </reference>
          <reference field="1" count="1" selected="0">
            <x v="29"/>
          </reference>
          <reference field="13" count="1" selected="0">
            <x v="0"/>
          </reference>
          <reference field="14" count="0" selected="0"/>
          <reference field="15" count="1" selected="0">
            <x v="1"/>
          </reference>
          <reference field="16" count="1">
            <x v="0"/>
          </reference>
        </references>
      </pivotArea>
    </format>
    <format dxfId="260">
      <pivotArea dataOnly="0" labelOnly="1" outline="0" fieldPosition="0">
        <references count="6">
          <reference field="0" count="1" selected="0">
            <x v="2"/>
          </reference>
          <reference field="1" count="1" selected="0">
            <x v="30"/>
          </reference>
          <reference field="13" count="1" selected="0">
            <x v="0"/>
          </reference>
          <reference field="14" count="0" selected="0"/>
          <reference field="15" count="1" selected="0">
            <x v="0"/>
          </reference>
          <reference field="16" count="1">
            <x v="1"/>
          </reference>
        </references>
      </pivotArea>
    </format>
    <format dxfId="259">
      <pivotArea dataOnly="0" labelOnly="1" outline="0" fieldPosition="0">
        <references count="7">
          <reference field="0" count="1" selected="0">
            <x v="1"/>
          </reference>
          <reference field="1" count="1" selected="0">
            <x v="0"/>
          </reference>
          <reference field="11" count="1">
            <x v="0"/>
          </reference>
          <reference field="13" count="1" selected="0">
            <x v="1"/>
          </reference>
          <reference field="14" count="0" selected="0"/>
          <reference field="15" count="1" selected="0">
            <x v="0"/>
          </reference>
          <reference field="16" count="1" selected="0">
            <x v="0"/>
          </reference>
        </references>
      </pivotArea>
    </format>
    <format dxfId="258">
      <pivotArea dataOnly="0" labelOnly="1" outline="0" fieldPosition="0">
        <references count="7">
          <reference field="0" count="1" selected="0">
            <x v="2"/>
          </reference>
          <reference field="1" count="1" selected="0">
            <x v="6"/>
          </reference>
          <reference field="11" count="1">
            <x v="1"/>
          </reference>
          <reference field="13" count="1" selected="0">
            <x v="0"/>
          </reference>
          <reference field="14" count="0" selected="0"/>
          <reference field="15" count="1" selected="0">
            <x v="0"/>
          </reference>
          <reference field="16" count="1" selected="0">
            <x v="4"/>
          </reference>
        </references>
      </pivotArea>
    </format>
    <format dxfId="257">
      <pivotArea dataOnly="0" labelOnly="1" outline="0" fieldPosition="0">
        <references count="7">
          <reference field="0" count="1" selected="0">
            <x v="0"/>
          </reference>
          <reference field="1" count="1" selected="0">
            <x v="7"/>
          </reference>
          <reference field="11" count="1">
            <x v="0"/>
          </reference>
          <reference field="13" count="1" selected="0">
            <x v="0"/>
          </reference>
          <reference field="14" count="0" selected="0"/>
          <reference field="15" count="1" selected="0">
            <x v="4"/>
          </reference>
          <reference field="16" count="1" selected="0">
            <x v="0"/>
          </reference>
        </references>
      </pivotArea>
    </format>
    <format dxfId="256">
      <pivotArea dataOnly="0" labelOnly="1" outline="0" fieldPosition="0">
        <references count="7">
          <reference field="0" count="1" selected="0">
            <x v="2"/>
          </reference>
          <reference field="1" count="1" selected="0">
            <x v="12"/>
          </reference>
          <reference field="11" count="1">
            <x v="1"/>
          </reference>
          <reference field="13" count="1" selected="0">
            <x v="0"/>
          </reference>
          <reference field="14" count="0" selected="0"/>
          <reference field="15" count="1" selected="0">
            <x v="0"/>
          </reference>
          <reference field="16" count="1" selected="0">
            <x v="6"/>
          </reference>
        </references>
      </pivotArea>
    </format>
    <format dxfId="255">
      <pivotArea dataOnly="0" labelOnly="1" outline="0" fieldPosition="0">
        <references count="7">
          <reference field="0" count="1" selected="0">
            <x v="0"/>
          </reference>
          <reference field="1" count="1" selected="0">
            <x v="13"/>
          </reference>
          <reference field="11" count="1">
            <x v="0"/>
          </reference>
          <reference field="13" count="1" selected="0">
            <x v="0"/>
          </reference>
          <reference field="14" count="0" selected="0"/>
          <reference field="15" count="1" selected="0">
            <x v="5"/>
          </reference>
          <reference field="16" count="1" selected="0">
            <x v="0"/>
          </reference>
        </references>
      </pivotArea>
    </format>
    <format dxfId="254">
      <pivotArea dataOnly="0" labelOnly="1" outline="0" fieldPosition="0">
        <references count="7">
          <reference field="0" count="1" selected="0">
            <x v="2"/>
          </reference>
          <reference field="1" count="1" selected="0">
            <x v="18"/>
          </reference>
          <reference field="11" count="1">
            <x v="1"/>
          </reference>
          <reference field="13" count="1" selected="0">
            <x v="0"/>
          </reference>
          <reference field="14" count="0" selected="0"/>
          <reference field="15" count="1" selected="0">
            <x v="0"/>
          </reference>
          <reference field="16" count="1" selected="0">
            <x v="7"/>
          </reference>
        </references>
      </pivotArea>
    </format>
    <format dxfId="253">
      <pivotArea dataOnly="0" labelOnly="1" outline="0" fieldPosition="0">
        <references count="7">
          <reference field="0" count="1" selected="0">
            <x v="0"/>
          </reference>
          <reference field="1" count="1" selected="0">
            <x v="19"/>
          </reference>
          <reference field="11" count="1">
            <x v="0"/>
          </reference>
          <reference field="13" count="1" selected="0">
            <x v="0"/>
          </reference>
          <reference field="14" count="0" selected="0"/>
          <reference field="15" count="1" selected="0">
            <x v="6"/>
          </reference>
          <reference field="16" count="1" selected="0">
            <x v="0"/>
          </reference>
        </references>
      </pivotArea>
    </format>
    <format dxfId="252">
      <pivotArea dataOnly="0" labelOnly="1" outline="0" fieldPosition="0">
        <references count="7">
          <reference field="0" count="1" selected="0">
            <x v="2"/>
          </reference>
          <reference field="1" count="1" selected="0">
            <x v="24"/>
          </reference>
          <reference field="11" count="1">
            <x v="1"/>
          </reference>
          <reference field="13" count="1" selected="0">
            <x v="0"/>
          </reference>
          <reference field="14" count="0" selected="0"/>
          <reference field="15" count="1" selected="0">
            <x v="0"/>
          </reference>
          <reference field="16" count="1" selected="0">
            <x v="8"/>
          </reference>
        </references>
      </pivotArea>
    </format>
    <format dxfId="251">
      <pivotArea dataOnly="0" labelOnly="1" outline="0" fieldPosition="0">
        <references count="7">
          <reference field="0" count="1" selected="0">
            <x v="0"/>
          </reference>
          <reference field="1" count="1" selected="0">
            <x v="25"/>
          </reference>
          <reference field="11" count="1">
            <x v="0"/>
          </reference>
          <reference field="13" count="1" selected="0">
            <x v="0"/>
          </reference>
          <reference field="14" count="0" selected="0"/>
          <reference field="15" count="1" selected="0">
            <x v="3"/>
          </reference>
          <reference field="16" count="1" selected="0">
            <x v="0"/>
          </reference>
        </references>
      </pivotArea>
    </format>
    <format dxfId="250">
      <pivotArea dataOnly="0" labelOnly="1" outline="0" fieldPosition="0">
        <references count="7">
          <reference field="0" count="1" selected="0">
            <x v="2"/>
          </reference>
          <reference field="1" count="1" selected="0">
            <x v="28"/>
          </reference>
          <reference field="11" count="1">
            <x v="1"/>
          </reference>
          <reference field="13" count="1" selected="0">
            <x v="0"/>
          </reference>
          <reference field="14" count="0" selected="0"/>
          <reference field="15" count="1" selected="0">
            <x v="0"/>
          </reference>
          <reference field="16" count="1" selected="0">
            <x v="5"/>
          </reference>
        </references>
      </pivotArea>
    </format>
    <format dxfId="249">
      <pivotArea dataOnly="0" labelOnly="1" outline="0" fieldPosition="0">
        <references count="7">
          <reference field="0" count="1" selected="0">
            <x v="0"/>
          </reference>
          <reference field="1" count="1" selected="0">
            <x v="29"/>
          </reference>
          <reference field="11" count="1">
            <x v="0"/>
          </reference>
          <reference field="13" count="1" selected="0">
            <x v="0"/>
          </reference>
          <reference field="14" count="0" selected="0"/>
          <reference field="15" count="1" selected="0">
            <x v="1"/>
          </reference>
          <reference field="16" count="1" selected="0">
            <x v="0"/>
          </reference>
        </references>
      </pivotArea>
    </format>
    <format dxfId="248">
      <pivotArea dataOnly="0" labelOnly="1" outline="0" fieldPosition="0">
        <references count="8">
          <reference field="0" count="1" selected="0">
            <x v="1"/>
          </reference>
          <reference field="1" count="1" selected="0">
            <x v="0"/>
          </reference>
          <reference field="6" count="1">
            <x v="1"/>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247">
      <pivotArea dataOnly="0" labelOnly="1" outline="0" fieldPosition="0">
        <references count="8">
          <reference field="0" count="1" selected="0">
            <x v="2"/>
          </reference>
          <reference field="1" count="1" selected="0">
            <x v="2"/>
          </reference>
          <reference field="6"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246">
      <pivotArea dataOnly="0" labelOnly="1" outline="0" fieldPosition="0">
        <references count="8">
          <reference field="0" count="1" selected="0">
            <x v="0"/>
          </reference>
          <reference field="1" count="1" selected="0">
            <x v="7"/>
          </reference>
          <reference field="6" count="1">
            <x v="1"/>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245">
      <pivotArea dataOnly="0" labelOnly="1" outline="0" fieldPosition="0">
        <references count="8">
          <reference field="0" count="1" selected="0">
            <x v="2"/>
          </reference>
          <reference field="1" count="1" selected="0">
            <x v="8"/>
          </reference>
          <reference field="6"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244">
      <pivotArea dataOnly="0" labelOnly="1" outline="0" fieldPosition="0">
        <references count="8">
          <reference field="0" count="1" selected="0">
            <x v="0"/>
          </reference>
          <reference field="1" count="1" selected="0">
            <x v="13"/>
          </reference>
          <reference field="6" count="1">
            <x v="1"/>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243">
      <pivotArea dataOnly="0" labelOnly="1" outline="0" fieldPosition="0">
        <references count="8">
          <reference field="0" count="1" selected="0">
            <x v="2"/>
          </reference>
          <reference field="1" count="1" selected="0">
            <x v="14"/>
          </reference>
          <reference field="6"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242">
      <pivotArea dataOnly="0" labelOnly="1" outline="0" fieldPosition="0">
        <references count="8">
          <reference field="0" count="1" selected="0">
            <x v="0"/>
          </reference>
          <reference field="1" count="1" selected="0">
            <x v="19"/>
          </reference>
          <reference field="6" count="1">
            <x v="1"/>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241">
      <pivotArea dataOnly="0" labelOnly="1" outline="0" fieldPosition="0">
        <references count="8">
          <reference field="0" count="1" selected="0">
            <x v="2"/>
          </reference>
          <reference field="1" count="1" selected="0">
            <x v="20"/>
          </reference>
          <reference field="6" count="1">
            <x v="0"/>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240">
      <pivotArea dataOnly="0" labelOnly="1" outline="0" fieldPosition="0">
        <references count="8">
          <reference field="0" count="1" selected="0">
            <x v="0"/>
          </reference>
          <reference field="1" count="1" selected="0">
            <x v="25"/>
          </reference>
          <reference field="6" count="1">
            <x v="1"/>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239">
      <pivotArea dataOnly="0" labelOnly="1" outline="0" fieldPosition="0">
        <references count="8">
          <reference field="0" count="1" selected="0">
            <x v="2"/>
          </reference>
          <reference field="1" count="1" selected="0">
            <x v="26"/>
          </reference>
          <reference field="6" count="1">
            <x v="0"/>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238">
      <pivotArea dataOnly="0" labelOnly="1" outline="0" fieldPosition="0">
        <references count="9">
          <reference field="0" count="1" selected="0">
            <x v="1"/>
          </reference>
          <reference field="1" count="1" selected="0">
            <x v="0"/>
          </reference>
          <reference field="6" count="1" selected="0">
            <x v="1"/>
          </reference>
          <reference field="7" count="1">
            <x v="4"/>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237">
      <pivotArea dataOnly="0" labelOnly="1" outline="0" fieldPosition="0">
        <references count="9">
          <reference field="0" count="1" selected="0">
            <x v="2"/>
          </reference>
          <reference field="1" count="1" selected="0">
            <x v="2"/>
          </reference>
          <reference field="6" count="1" selected="0">
            <x v="0"/>
          </reference>
          <reference field="7"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236">
      <pivotArea dataOnly="0" labelOnly="1" outline="0" fieldPosition="0">
        <references count="9">
          <reference field="0" count="1" selected="0">
            <x v="0"/>
          </reference>
          <reference field="1" count="1" selected="0">
            <x v="7"/>
          </reference>
          <reference field="6" count="1" selected="0">
            <x v="1"/>
          </reference>
          <reference field="7" count="1">
            <x v="4"/>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235">
      <pivotArea dataOnly="0" labelOnly="1" outline="0" fieldPosition="0">
        <references count="9">
          <reference field="0" count="1" selected="0">
            <x v="2"/>
          </reference>
          <reference field="1" count="1" selected="0">
            <x v="8"/>
          </reference>
          <reference field="6" count="1" selected="0">
            <x v="0"/>
          </reference>
          <reference field="7" count="1">
            <x v="1"/>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234">
      <pivotArea dataOnly="0" labelOnly="1" outline="0" fieldPosition="0">
        <references count="9">
          <reference field="0" count="1" selected="0">
            <x v="0"/>
          </reference>
          <reference field="1" count="1" selected="0">
            <x v="13"/>
          </reference>
          <reference field="6" count="1" selected="0">
            <x v="1"/>
          </reference>
          <reference field="7" count="1">
            <x v="4"/>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233">
      <pivotArea dataOnly="0" labelOnly="1" outline="0" fieldPosition="0">
        <references count="9">
          <reference field="0" count="1" selected="0">
            <x v="2"/>
          </reference>
          <reference field="1" count="1" selected="0">
            <x v="14"/>
          </reference>
          <reference field="6" count="1" selected="0">
            <x v="0"/>
          </reference>
          <reference field="7" count="1">
            <x v="2"/>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232">
      <pivotArea dataOnly="0" labelOnly="1" outline="0" fieldPosition="0">
        <references count="9">
          <reference field="0" count="1" selected="0">
            <x v="0"/>
          </reference>
          <reference field="1" count="1" selected="0">
            <x v="19"/>
          </reference>
          <reference field="6" count="1" selected="0">
            <x v="1"/>
          </reference>
          <reference field="7" count="1">
            <x v="4"/>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231">
      <pivotArea dataOnly="0" labelOnly="1" outline="0" fieldPosition="0">
        <references count="9">
          <reference field="0" count="1" selected="0">
            <x v="2"/>
          </reference>
          <reference field="1" count="1" selected="0">
            <x v="20"/>
          </reference>
          <reference field="6" count="1" selected="0">
            <x v="0"/>
          </reference>
          <reference field="7" count="1">
            <x v="3"/>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230">
      <pivotArea dataOnly="0" labelOnly="1" outline="0" fieldPosition="0">
        <references count="9">
          <reference field="0" count="1" selected="0">
            <x v="0"/>
          </reference>
          <reference field="1" count="1" selected="0">
            <x v="25"/>
          </reference>
          <reference field="6" count="1" selected="0">
            <x v="1"/>
          </reference>
          <reference field="7" count="1">
            <x v="4"/>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229">
      <pivotArea dataOnly="0" labelOnly="1" outline="0" fieldPosition="0">
        <references count="9">
          <reference field="0" count="1" selected="0">
            <x v="2"/>
          </reference>
          <reference field="1" count="1" selected="0">
            <x v="26"/>
          </reference>
          <reference field="6" count="1" selected="0">
            <x v="0"/>
          </reference>
          <reference field="7"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228">
      <pivotArea dataOnly="0" labelOnly="1" outline="0" fieldPosition="0">
        <references count="9">
          <reference field="0" count="1" selected="0">
            <x v="0"/>
          </reference>
          <reference field="1" count="1" selected="0">
            <x v="29"/>
          </reference>
          <reference field="6" count="1" selected="0">
            <x v="0"/>
          </reference>
          <reference field="7" count="1">
            <x v="4"/>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227">
      <pivotArea dataOnly="0" labelOnly="1" outline="0" fieldPosition="0">
        <references count="10">
          <reference field="0" count="1" selected="0">
            <x v="1"/>
          </reference>
          <reference field="1" count="1" selected="0">
            <x v="0"/>
          </reference>
          <reference field="6" count="1" selected="0">
            <x v="1"/>
          </reference>
          <reference field="7" count="1" selected="0">
            <x v="4"/>
          </reference>
          <reference field="9" count="1">
            <x v="7"/>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226">
      <pivotArea dataOnly="0" labelOnly="1" outline="0" fieldPosition="0">
        <references count="10">
          <reference field="0" count="1" selected="0">
            <x v="2"/>
          </reference>
          <reference field="1" count="1" selected="0">
            <x v="2"/>
          </reference>
          <reference field="6" count="1" selected="0">
            <x v="0"/>
          </reference>
          <reference field="7" count="1" selected="0">
            <x v="0"/>
          </reference>
          <reference field="9"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225">
      <pivotArea dataOnly="0" labelOnly="1" outline="0" fieldPosition="0">
        <references count="10">
          <reference field="0" count="1" selected="0">
            <x v="2"/>
          </reference>
          <reference field="1" count="1" selected="0">
            <x v="3"/>
          </reference>
          <reference field="6" count="1" selected="0">
            <x v="0"/>
          </reference>
          <reference field="7" count="1" selected="0">
            <x v="0"/>
          </reference>
          <reference field="9" count="1">
            <x v="1"/>
          </reference>
          <reference field="11" count="1" selected="0">
            <x v="0"/>
          </reference>
          <reference field="13" count="1" selected="0">
            <x v="0"/>
          </reference>
          <reference field="14" count="0" selected="0"/>
          <reference field="15" count="1" selected="0">
            <x v="0"/>
          </reference>
          <reference field="16" count="1" selected="0">
            <x v="9"/>
          </reference>
        </references>
      </pivotArea>
    </format>
    <format dxfId="224">
      <pivotArea dataOnly="0" labelOnly="1" outline="0" fieldPosition="0">
        <references count="10">
          <reference field="0" count="1" selected="0">
            <x v="2"/>
          </reference>
          <reference field="1" count="1" selected="0">
            <x v="4"/>
          </reference>
          <reference field="6" count="1" selected="0">
            <x v="0"/>
          </reference>
          <reference field="7" count="1" selected="0">
            <x v="0"/>
          </reference>
          <reference field="9" count="1">
            <x v="8"/>
          </reference>
          <reference field="11" count="1" selected="0">
            <x v="0"/>
          </reference>
          <reference field="13" count="1" selected="0">
            <x v="0"/>
          </reference>
          <reference field="14" count="0" selected="0"/>
          <reference field="15" count="1" selected="0">
            <x v="0"/>
          </reference>
          <reference field="16" count="1" selected="0">
            <x v="10"/>
          </reference>
        </references>
      </pivotArea>
    </format>
    <format dxfId="223">
      <pivotArea dataOnly="0" labelOnly="1" outline="0" fieldPosition="0">
        <references count="10">
          <reference field="0" count="1" selected="0">
            <x v="2"/>
          </reference>
          <reference field="1" count="1" selected="0">
            <x v="5"/>
          </reference>
          <reference field="6" count="1" selected="0">
            <x v="0"/>
          </reference>
          <reference field="7" count="1" selected="0">
            <x v="0"/>
          </reference>
          <reference field="9" count="1">
            <x v="2"/>
          </reference>
          <reference field="11" count="1" selected="0">
            <x v="0"/>
          </reference>
          <reference field="13" count="1" selected="0">
            <x v="0"/>
          </reference>
          <reference field="14" count="0" selected="0"/>
          <reference field="15" count="1" selected="0">
            <x v="0"/>
          </reference>
          <reference field="16" count="1" selected="0">
            <x v="12"/>
          </reference>
        </references>
      </pivotArea>
    </format>
    <format dxfId="222">
      <pivotArea dataOnly="0" labelOnly="1" outline="0" fieldPosition="0">
        <references count="10">
          <reference field="0" count="1" selected="0">
            <x v="2"/>
          </reference>
          <reference field="1" count="1" selected="0">
            <x v="6"/>
          </reference>
          <reference field="6" count="1" selected="0">
            <x v="0"/>
          </reference>
          <reference field="7" count="1" selected="0">
            <x v="0"/>
          </reference>
          <reference field="9" count="1">
            <x v="1"/>
          </reference>
          <reference field="11" count="1" selected="0">
            <x v="1"/>
          </reference>
          <reference field="13" count="1" selected="0">
            <x v="0"/>
          </reference>
          <reference field="14" count="0" selected="0"/>
          <reference field="15" count="1" selected="0">
            <x v="0"/>
          </reference>
          <reference field="16" count="1" selected="0">
            <x v="4"/>
          </reference>
        </references>
      </pivotArea>
    </format>
    <format dxfId="221">
      <pivotArea dataOnly="0" labelOnly="1" outline="0" fieldPosition="0">
        <references count="10">
          <reference field="0" count="1" selected="0">
            <x v="0"/>
          </reference>
          <reference field="1" count="1" selected="0">
            <x v="7"/>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220">
      <pivotArea dataOnly="0" labelOnly="1" outline="0" fieldPosition="0">
        <references count="10">
          <reference field="0" count="1" selected="0">
            <x v="2"/>
          </reference>
          <reference field="1" count="1" selected="0">
            <x v="8"/>
          </reference>
          <reference field="6" count="1" selected="0">
            <x v="0"/>
          </reference>
          <reference field="7" count="1" selected="0">
            <x v="1"/>
          </reference>
          <reference field="9"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219">
      <pivotArea dataOnly="0" labelOnly="1" outline="0" fieldPosition="0">
        <references count="10">
          <reference field="0" count="1" selected="0">
            <x v="2"/>
          </reference>
          <reference field="1" count="1" selected="0">
            <x v="9"/>
          </reference>
          <reference field="6" count="1" selected="0">
            <x v="0"/>
          </reference>
          <reference field="7" count="1" selected="0">
            <x v="1"/>
          </reference>
          <reference field="9" count="1">
            <x v="1"/>
          </reference>
          <reference field="11" count="1" selected="0">
            <x v="0"/>
          </reference>
          <reference field="13" count="1" selected="0">
            <x v="0"/>
          </reference>
          <reference field="14" count="0" selected="0"/>
          <reference field="15" count="1" selected="0">
            <x v="0"/>
          </reference>
          <reference field="16" count="1" selected="0">
            <x v="13"/>
          </reference>
        </references>
      </pivotArea>
    </format>
    <format dxfId="218">
      <pivotArea dataOnly="0" labelOnly="1" outline="0" fieldPosition="0">
        <references count="10">
          <reference field="0" count="1" selected="0">
            <x v="2"/>
          </reference>
          <reference field="1" count="1" selected="0">
            <x v="10"/>
          </reference>
          <reference field="6" count="1" selected="0">
            <x v="0"/>
          </reference>
          <reference field="7" count="1" selected="0">
            <x v="1"/>
          </reference>
          <reference field="9" count="1">
            <x v="8"/>
          </reference>
          <reference field="11" count="1" selected="0">
            <x v="0"/>
          </reference>
          <reference field="13" count="1" selected="0">
            <x v="0"/>
          </reference>
          <reference field="14" count="0" selected="0"/>
          <reference field="15" count="1" selected="0">
            <x v="0"/>
          </reference>
          <reference field="16" count="1" selected="0">
            <x v="14"/>
          </reference>
        </references>
      </pivotArea>
    </format>
    <format dxfId="217">
      <pivotArea dataOnly="0" labelOnly="1" outline="0" fieldPosition="0">
        <references count="10">
          <reference field="0" count="1" selected="0">
            <x v="2"/>
          </reference>
          <reference field="1" count="1" selected="0">
            <x v="11"/>
          </reference>
          <reference field="6" count="1" selected="0">
            <x v="0"/>
          </reference>
          <reference field="7" count="1" selected="0">
            <x v="1"/>
          </reference>
          <reference field="9" count="1">
            <x v="2"/>
          </reference>
          <reference field="11" count="1" selected="0">
            <x v="0"/>
          </reference>
          <reference field="13" count="1" selected="0">
            <x v="0"/>
          </reference>
          <reference field="14" count="0" selected="0"/>
          <reference field="15" count="1" selected="0">
            <x v="0"/>
          </reference>
          <reference field="16" count="1" selected="0">
            <x v="16"/>
          </reference>
        </references>
      </pivotArea>
    </format>
    <format dxfId="216">
      <pivotArea dataOnly="0" labelOnly="1" outline="0" fieldPosition="0">
        <references count="10">
          <reference field="0" count="1" selected="0">
            <x v="2"/>
          </reference>
          <reference field="1" count="1" selected="0">
            <x v="12"/>
          </reference>
          <reference field="6" count="1" selected="0">
            <x v="0"/>
          </reference>
          <reference field="7" count="1" selected="0">
            <x v="1"/>
          </reference>
          <reference field="9" count="1">
            <x v="1"/>
          </reference>
          <reference field="11" count="1" selected="0">
            <x v="1"/>
          </reference>
          <reference field="13" count="1" selected="0">
            <x v="0"/>
          </reference>
          <reference field="14" count="0" selected="0"/>
          <reference field="15" count="1" selected="0">
            <x v="0"/>
          </reference>
          <reference field="16" count="1" selected="0">
            <x v="6"/>
          </reference>
        </references>
      </pivotArea>
    </format>
    <format dxfId="215">
      <pivotArea dataOnly="0" labelOnly="1" outline="0" fieldPosition="0">
        <references count="10">
          <reference field="0" count="1" selected="0">
            <x v="0"/>
          </reference>
          <reference field="1" count="1" selected="0">
            <x v="13"/>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214">
      <pivotArea dataOnly="0" labelOnly="1" outline="0" fieldPosition="0">
        <references count="10">
          <reference field="0" count="1" selected="0">
            <x v="2"/>
          </reference>
          <reference field="1" count="1" selected="0">
            <x v="14"/>
          </reference>
          <reference field="6" count="1" selected="0">
            <x v="0"/>
          </reference>
          <reference field="7" count="1" selected="0">
            <x v="2"/>
          </reference>
          <reference field="9"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213">
      <pivotArea dataOnly="0" labelOnly="1" outline="0" fieldPosition="0">
        <references count="10">
          <reference field="0" count="1" selected="0">
            <x v="2"/>
          </reference>
          <reference field="1" count="1" selected="0">
            <x v="15"/>
          </reference>
          <reference field="6" count="1" selected="0">
            <x v="0"/>
          </reference>
          <reference field="7" count="1" selected="0">
            <x v="2"/>
          </reference>
          <reference field="9" count="1">
            <x v="1"/>
          </reference>
          <reference field="11" count="1" selected="0">
            <x v="0"/>
          </reference>
          <reference field="13" count="1" selected="0">
            <x v="0"/>
          </reference>
          <reference field="14" count="0" selected="0"/>
          <reference field="15" count="1" selected="0">
            <x v="0"/>
          </reference>
          <reference field="16" count="1" selected="0">
            <x v="17"/>
          </reference>
        </references>
      </pivotArea>
    </format>
    <format dxfId="212">
      <pivotArea dataOnly="0" labelOnly="1" outline="0" fieldPosition="0">
        <references count="10">
          <reference field="0" count="1" selected="0">
            <x v="2"/>
          </reference>
          <reference field="1" count="1" selected="0">
            <x v="16"/>
          </reference>
          <reference field="6" count="1" selected="0">
            <x v="0"/>
          </reference>
          <reference field="7" count="1" selected="0">
            <x v="2"/>
          </reference>
          <reference field="9" count="1">
            <x v="8"/>
          </reference>
          <reference field="11" count="1" selected="0">
            <x v="0"/>
          </reference>
          <reference field="13" count="1" selected="0">
            <x v="0"/>
          </reference>
          <reference field="14" count="0" selected="0"/>
          <reference field="15" count="1" selected="0">
            <x v="0"/>
          </reference>
          <reference field="16" count="1" selected="0">
            <x v="18"/>
          </reference>
        </references>
      </pivotArea>
    </format>
    <format dxfId="211">
      <pivotArea dataOnly="0" labelOnly="1" outline="0" fieldPosition="0">
        <references count="10">
          <reference field="0" count="1" selected="0">
            <x v="2"/>
          </reference>
          <reference field="1" count="1" selected="0">
            <x v="17"/>
          </reference>
          <reference field="6" count="1" selected="0">
            <x v="0"/>
          </reference>
          <reference field="7" count="1" selected="0">
            <x v="2"/>
          </reference>
          <reference field="9" count="1">
            <x v="2"/>
          </reference>
          <reference field="11" count="1" selected="0">
            <x v="0"/>
          </reference>
          <reference field="13" count="1" selected="0">
            <x v="0"/>
          </reference>
          <reference field="14" count="0" selected="0"/>
          <reference field="15" count="1" selected="0">
            <x v="0"/>
          </reference>
          <reference field="16" count="1" selected="0">
            <x v="20"/>
          </reference>
        </references>
      </pivotArea>
    </format>
    <format dxfId="210">
      <pivotArea dataOnly="0" labelOnly="1" outline="0" fieldPosition="0">
        <references count="10">
          <reference field="0" count="1" selected="0">
            <x v="2"/>
          </reference>
          <reference field="1" count="1" selected="0">
            <x v="18"/>
          </reference>
          <reference field="6" count="1" selected="0">
            <x v="0"/>
          </reference>
          <reference field="7" count="1" selected="0">
            <x v="2"/>
          </reference>
          <reference field="9" count="1">
            <x v="1"/>
          </reference>
          <reference field="11" count="1" selected="0">
            <x v="1"/>
          </reference>
          <reference field="13" count="1" selected="0">
            <x v="0"/>
          </reference>
          <reference field="14" count="0" selected="0"/>
          <reference field="15" count="1" selected="0">
            <x v="0"/>
          </reference>
          <reference field="16" count="1" selected="0">
            <x v="7"/>
          </reference>
        </references>
      </pivotArea>
    </format>
    <format dxfId="209">
      <pivotArea dataOnly="0" labelOnly="1" outline="0" fieldPosition="0">
        <references count="10">
          <reference field="0" count="1" selected="0">
            <x v="0"/>
          </reference>
          <reference field="1" count="1" selected="0">
            <x v="19"/>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208">
      <pivotArea dataOnly="0" labelOnly="1" outline="0" fieldPosition="0">
        <references count="10">
          <reference field="0" count="1" selected="0">
            <x v="2"/>
          </reference>
          <reference field="1" count="1" selected="0">
            <x v="20"/>
          </reference>
          <reference field="6" count="1" selected="0">
            <x v="0"/>
          </reference>
          <reference field="7" count="1" selected="0">
            <x v="3"/>
          </reference>
          <reference field="9" count="1">
            <x v="4"/>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207">
      <pivotArea dataOnly="0" labelOnly="1" outline="0" fieldPosition="0">
        <references count="10">
          <reference field="0" count="1" selected="0">
            <x v="2"/>
          </reference>
          <reference field="1" count="1" selected="0">
            <x v="21"/>
          </reference>
          <reference field="6" count="1" selected="0">
            <x v="0"/>
          </reference>
          <reference field="7" count="1" selected="0">
            <x v="3"/>
          </reference>
          <reference field="9" count="1">
            <x v="5"/>
          </reference>
          <reference field="11" count="1" selected="0">
            <x v="0"/>
          </reference>
          <reference field="13" count="1" selected="0">
            <x v="0"/>
          </reference>
          <reference field="14" count="0" selected="0"/>
          <reference field="15" count="1" selected="0">
            <x v="0"/>
          </reference>
          <reference field="16" count="1" selected="0">
            <x v="21"/>
          </reference>
        </references>
      </pivotArea>
    </format>
    <format dxfId="206">
      <pivotArea dataOnly="0" labelOnly="1" outline="0" fieldPosition="0">
        <references count="10">
          <reference field="0" count="1" selected="0">
            <x v="2"/>
          </reference>
          <reference field="1" count="1" selected="0">
            <x v="22"/>
          </reference>
          <reference field="6" count="1" selected="0">
            <x v="0"/>
          </reference>
          <reference field="7" count="1" selected="0">
            <x v="3"/>
          </reference>
          <reference field="9" count="1">
            <x v="8"/>
          </reference>
          <reference field="11" count="1" selected="0">
            <x v="0"/>
          </reference>
          <reference field="13" count="1" selected="0">
            <x v="0"/>
          </reference>
          <reference field="14" count="0" selected="0"/>
          <reference field="15" count="1" selected="0">
            <x v="0"/>
          </reference>
          <reference field="16" count="1" selected="0">
            <x v="22"/>
          </reference>
        </references>
      </pivotArea>
    </format>
    <format dxfId="205">
      <pivotArea dataOnly="0" labelOnly="1" outline="0" fieldPosition="0">
        <references count="10">
          <reference field="0" count="1" selected="0">
            <x v="2"/>
          </reference>
          <reference field="1" count="1" selected="0">
            <x v="23"/>
          </reference>
          <reference field="6" count="1" selected="0">
            <x v="0"/>
          </reference>
          <reference field="7" count="1" selected="0">
            <x v="3"/>
          </reference>
          <reference field="9" count="1">
            <x v="6"/>
          </reference>
          <reference field="11" count="1" selected="0">
            <x v="0"/>
          </reference>
          <reference field="13" count="1" selected="0">
            <x v="0"/>
          </reference>
          <reference field="14" count="0" selected="0"/>
          <reference field="15" count="1" selected="0">
            <x v="0"/>
          </reference>
          <reference field="16" count="1" selected="0">
            <x v="24"/>
          </reference>
        </references>
      </pivotArea>
    </format>
    <format dxfId="204">
      <pivotArea dataOnly="0" labelOnly="1" outline="0" fieldPosition="0">
        <references count="10">
          <reference field="0" count="1" selected="0">
            <x v="2"/>
          </reference>
          <reference field="1" count="1" selected="0">
            <x v="24"/>
          </reference>
          <reference field="6" count="1" selected="0">
            <x v="0"/>
          </reference>
          <reference field="7" count="1" selected="0">
            <x v="3"/>
          </reference>
          <reference field="9" count="1">
            <x v="5"/>
          </reference>
          <reference field="11" count="1" selected="0">
            <x v="1"/>
          </reference>
          <reference field="13" count="1" selected="0">
            <x v="0"/>
          </reference>
          <reference field="14" count="0" selected="0"/>
          <reference field="15" count="1" selected="0">
            <x v="0"/>
          </reference>
          <reference field="16" count="1" selected="0">
            <x v="8"/>
          </reference>
        </references>
      </pivotArea>
    </format>
    <format dxfId="203">
      <pivotArea dataOnly="0" labelOnly="1" outline="0" fieldPosition="0">
        <references count="10">
          <reference field="0" count="1" selected="0">
            <x v="0"/>
          </reference>
          <reference field="1" count="1" selected="0">
            <x v="25"/>
          </reference>
          <reference field="6" count="1" selected="0">
            <x v="1"/>
          </reference>
          <reference field="7" count="1" selected="0">
            <x v="4"/>
          </reference>
          <reference field="9" count="1">
            <x v="7"/>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202">
      <pivotArea dataOnly="0" labelOnly="1" outline="0" fieldPosition="0">
        <references count="10">
          <reference field="0" count="1" selected="0">
            <x v="2"/>
          </reference>
          <reference field="1" count="1" selected="0">
            <x v="26"/>
          </reference>
          <reference field="6" count="1" selected="0">
            <x v="0"/>
          </reference>
          <reference field="7" count="1" selected="0">
            <x v="2"/>
          </reference>
          <reference field="9"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201">
      <pivotArea dataOnly="0" labelOnly="1" outline="0" fieldPosition="0">
        <references count="10">
          <reference field="0" count="1" selected="0">
            <x v="2"/>
          </reference>
          <reference field="1" count="1" selected="0">
            <x v="27"/>
          </reference>
          <reference field="6" count="1" selected="0">
            <x v="0"/>
          </reference>
          <reference field="7" count="1" selected="0">
            <x v="2"/>
          </reference>
          <reference field="9" count="1">
            <x v="3"/>
          </reference>
          <reference field="11" count="1" selected="0">
            <x v="0"/>
          </reference>
          <reference field="13" count="1" selected="0">
            <x v="0"/>
          </reference>
          <reference field="14" count="0" selected="0"/>
          <reference field="15" count="1" selected="0">
            <x v="0"/>
          </reference>
          <reference field="16" count="1" selected="0">
            <x v="3"/>
          </reference>
        </references>
      </pivotArea>
    </format>
    <format dxfId="200">
      <pivotArea dataOnly="0" labelOnly="1" outline="0" fieldPosition="0">
        <references count="10">
          <reference field="0" count="1" selected="0">
            <x v="2"/>
          </reference>
          <reference field="1" count="1" selected="0">
            <x v="28"/>
          </reference>
          <reference field="6" count="1" selected="0">
            <x v="0"/>
          </reference>
          <reference field="7" count="1" selected="0">
            <x v="2"/>
          </reference>
          <reference field="9" count="1">
            <x v="1"/>
          </reference>
          <reference field="11" count="1" selected="0">
            <x v="1"/>
          </reference>
          <reference field="13" count="1" selected="0">
            <x v="0"/>
          </reference>
          <reference field="14" count="0" selected="0"/>
          <reference field="15" count="1" selected="0">
            <x v="0"/>
          </reference>
          <reference field="16" count="1" selected="0">
            <x v="5"/>
          </reference>
        </references>
      </pivotArea>
    </format>
    <format dxfId="199">
      <pivotArea dataOnly="0" labelOnly="1" outline="0" fieldPosition="0">
        <references count="10">
          <reference field="0" count="1" selected="0">
            <x v="0"/>
          </reference>
          <reference field="1" count="1" selected="0">
            <x v="29"/>
          </reference>
          <reference field="6" count="1" selected="0">
            <x v="0"/>
          </reference>
          <reference field="7" count="1" selected="0">
            <x v="4"/>
          </reference>
          <reference field="9" count="1">
            <x v="7"/>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198">
      <pivotArea dataOnly="0" labelOnly="1" outline="0" fieldPosition="0">
        <references count="10">
          <reference field="0" count="1" selected="0">
            <x v="2"/>
          </reference>
          <reference field="1" count="1" selected="0">
            <x v="30"/>
          </reference>
          <reference field="6" count="1" selected="0">
            <x v="0"/>
          </reference>
          <reference field="7" count="1" selected="0">
            <x v="4"/>
          </reference>
          <reference field="9" count="1">
            <x v="8"/>
          </reference>
          <reference field="11" count="1" selected="0">
            <x v="0"/>
          </reference>
          <reference field="13" count="1" selected="0">
            <x v="0"/>
          </reference>
          <reference field="14" count="0" selected="0"/>
          <reference field="15" count="1" selected="0">
            <x v="0"/>
          </reference>
          <reference field="16" count="1" selected="0">
            <x v="1"/>
          </reference>
        </references>
      </pivotArea>
    </format>
    <format dxfId="197">
      <pivotArea dataOnly="0" labelOnly="1" outline="0" fieldPosition="0">
        <references count="11">
          <reference field="0" count="1" selected="0">
            <x v="1"/>
          </reference>
          <reference field="1" count="1" selected="0">
            <x v="0"/>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1"/>
          </reference>
          <reference field="14" count="0" selected="0"/>
          <reference field="15" count="1" selected="0">
            <x v="0"/>
          </reference>
          <reference field="16" count="1" selected="0">
            <x v="0"/>
          </reference>
        </references>
      </pivotArea>
    </format>
    <format dxfId="196">
      <pivotArea dataOnly="0" labelOnly="1" outline="0" fieldPosition="0">
        <references count="11">
          <reference field="0" count="1" selected="0">
            <x v="0"/>
          </reference>
          <reference field="1" count="1" selected="0">
            <x v="1"/>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2"/>
          </reference>
          <reference field="16" count="1" selected="0">
            <x v="0"/>
          </reference>
        </references>
      </pivotArea>
    </format>
    <format dxfId="195">
      <pivotArea dataOnly="0" labelOnly="1" outline="0" fieldPosition="0">
        <references count="11">
          <reference field="0" count="1" selected="0">
            <x v="2"/>
          </reference>
          <reference field="1" count="1" selected="0">
            <x v="2"/>
          </reference>
          <reference field="6" count="1" selected="0">
            <x v="0"/>
          </reference>
          <reference field="7" count="1" selected="0">
            <x v="0"/>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1"/>
          </reference>
        </references>
      </pivotArea>
    </format>
    <format dxfId="194">
      <pivotArea dataOnly="0" labelOnly="1" outline="0" fieldPosition="0">
        <references count="11">
          <reference field="0" count="1" selected="0">
            <x v="2"/>
          </reference>
          <reference field="1" count="1" selected="0">
            <x v="3"/>
          </reference>
          <reference field="6" count="1" selected="0">
            <x v="0"/>
          </reference>
          <reference field="7" count="1" selected="0">
            <x v="0"/>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9"/>
          </reference>
        </references>
      </pivotArea>
    </format>
    <format dxfId="193">
      <pivotArea dataOnly="0" labelOnly="1" outline="0" fieldPosition="0">
        <references count="11">
          <reference field="0" count="1" selected="0">
            <x v="2"/>
          </reference>
          <reference field="1" count="1" selected="0">
            <x v="4"/>
          </reference>
          <reference field="6" count="1" selected="0">
            <x v="0"/>
          </reference>
          <reference field="7" count="1" selected="0">
            <x v="0"/>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0"/>
          </reference>
        </references>
      </pivotArea>
    </format>
    <format dxfId="192">
      <pivotArea dataOnly="0" labelOnly="1" outline="0" fieldPosition="0">
        <references count="11">
          <reference field="0" count="1" selected="0">
            <x v="2"/>
          </reference>
          <reference field="1" count="1" selected="0">
            <x v="5"/>
          </reference>
          <reference field="6" count="1" selected="0">
            <x v="0"/>
          </reference>
          <reference field="7" count="1" selected="0">
            <x v="0"/>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12"/>
          </reference>
        </references>
      </pivotArea>
    </format>
    <format dxfId="191">
      <pivotArea dataOnly="0" labelOnly="1" outline="0" fieldPosition="0">
        <references count="11">
          <reference field="0" count="1" selected="0">
            <x v="2"/>
          </reference>
          <reference field="1" count="1" selected="0">
            <x v="6"/>
          </reference>
          <reference field="6" count="1" selected="0">
            <x v="0"/>
          </reference>
          <reference field="7" count="1" selected="0">
            <x v="0"/>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4"/>
          </reference>
        </references>
      </pivotArea>
    </format>
    <format dxfId="190">
      <pivotArea dataOnly="0" labelOnly="1" outline="0" fieldPosition="0">
        <references count="11">
          <reference field="0" count="1" selected="0">
            <x v="0"/>
          </reference>
          <reference field="1" count="1" selected="0">
            <x v="7"/>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4"/>
          </reference>
          <reference field="16" count="1" selected="0">
            <x v="0"/>
          </reference>
        </references>
      </pivotArea>
    </format>
    <format dxfId="189">
      <pivotArea dataOnly="0" labelOnly="1" outline="0" fieldPosition="0">
        <references count="11">
          <reference field="0" count="1" selected="0">
            <x v="2"/>
          </reference>
          <reference field="1" count="1" selected="0">
            <x v="8"/>
          </reference>
          <reference field="6" count="1" selected="0">
            <x v="0"/>
          </reference>
          <reference field="7" count="1" selected="0">
            <x v="1"/>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5"/>
          </reference>
        </references>
      </pivotArea>
    </format>
    <format dxfId="188">
      <pivotArea dataOnly="0" labelOnly="1" outline="0" fieldPosition="0">
        <references count="11">
          <reference field="0" count="1" selected="0">
            <x v="2"/>
          </reference>
          <reference field="1" count="1" selected="0">
            <x v="9"/>
          </reference>
          <reference field="6" count="1" selected="0">
            <x v="0"/>
          </reference>
          <reference field="7" count="1" selected="0">
            <x v="1"/>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13"/>
          </reference>
        </references>
      </pivotArea>
    </format>
    <format dxfId="187">
      <pivotArea dataOnly="0" labelOnly="1" outline="0" fieldPosition="0">
        <references count="11">
          <reference field="0" count="1" selected="0">
            <x v="2"/>
          </reference>
          <reference field="1" count="1" selected="0">
            <x v="10"/>
          </reference>
          <reference field="6" count="1" selected="0">
            <x v="0"/>
          </reference>
          <reference field="7" count="1" selected="0">
            <x v="1"/>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4"/>
          </reference>
        </references>
      </pivotArea>
    </format>
    <format dxfId="186">
      <pivotArea dataOnly="0" labelOnly="1" outline="0" fieldPosition="0">
        <references count="11">
          <reference field="0" count="1" selected="0">
            <x v="2"/>
          </reference>
          <reference field="1" count="1" selected="0">
            <x v="11"/>
          </reference>
          <reference field="6" count="1" selected="0">
            <x v="0"/>
          </reference>
          <reference field="7" count="1" selected="0">
            <x v="1"/>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16"/>
          </reference>
        </references>
      </pivotArea>
    </format>
    <format dxfId="185">
      <pivotArea dataOnly="0" labelOnly="1" outline="0" fieldPosition="0">
        <references count="11">
          <reference field="0" count="1" selected="0">
            <x v="2"/>
          </reference>
          <reference field="1" count="1" selected="0">
            <x v="12"/>
          </reference>
          <reference field="6" count="1" selected="0">
            <x v="0"/>
          </reference>
          <reference field="7" count="1" selected="0">
            <x v="1"/>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6"/>
          </reference>
        </references>
      </pivotArea>
    </format>
    <format dxfId="184">
      <pivotArea dataOnly="0" labelOnly="1" outline="0" fieldPosition="0">
        <references count="11">
          <reference field="0" count="1" selected="0">
            <x v="0"/>
          </reference>
          <reference field="1" count="1" selected="0">
            <x v="13"/>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5"/>
          </reference>
          <reference field="16" count="1" selected="0">
            <x v="0"/>
          </reference>
        </references>
      </pivotArea>
    </format>
    <format dxfId="183">
      <pivotArea dataOnly="0" labelOnly="1" outline="0" fieldPosition="0">
        <references count="11">
          <reference field="0" count="1" selected="0">
            <x v="2"/>
          </reference>
          <reference field="1" count="1" selected="0">
            <x v="14"/>
          </reference>
          <reference field="6" count="1" selected="0">
            <x v="0"/>
          </reference>
          <reference field="7" count="1" selected="0">
            <x v="2"/>
          </reference>
          <reference field="9" count="1" selected="0">
            <x v="0"/>
          </reference>
          <reference field="10" count="1">
            <x v="0"/>
          </reference>
          <reference field="11" count="1" selected="0">
            <x v="0"/>
          </reference>
          <reference field="13" count="1" selected="0">
            <x v="0"/>
          </reference>
          <reference field="14" count="0" selected="0"/>
          <reference field="15" count="1" selected="0">
            <x v="0"/>
          </reference>
          <reference field="16" count="1" selected="0">
            <x v="19"/>
          </reference>
        </references>
      </pivotArea>
    </format>
    <format dxfId="182">
      <pivotArea dataOnly="0" labelOnly="1" outline="0" fieldPosition="0">
        <references count="11">
          <reference field="0" count="1" selected="0">
            <x v="2"/>
          </reference>
          <reference field="1" count="1" selected="0">
            <x v="15"/>
          </reference>
          <reference field="6" count="1" selected="0">
            <x v="0"/>
          </reference>
          <reference field="7" count="1" selected="0">
            <x v="2"/>
          </reference>
          <reference field="9" count="1" selected="0">
            <x v="1"/>
          </reference>
          <reference field="10" count="1">
            <x v="1"/>
          </reference>
          <reference field="11" count="1" selected="0">
            <x v="0"/>
          </reference>
          <reference field="13" count="1" selected="0">
            <x v="0"/>
          </reference>
          <reference field="14" count="0" selected="0"/>
          <reference field="15" count="1" selected="0">
            <x v="0"/>
          </reference>
          <reference field="16" count="1" selected="0">
            <x v="17"/>
          </reference>
        </references>
      </pivotArea>
    </format>
    <format dxfId="181">
      <pivotArea dataOnly="0" labelOnly="1" outline="0" fieldPosition="0">
        <references count="11">
          <reference field="0" count="1" selected="0">
            <x v="2"/>
          </reference>
          <reference field="1" count="1" selected="0">
            <x v="16"/>
          </reference>
          <reference field="6" count="1" selected="0">
            <x v="0"/>
          </reference>
          <reference field="7" count="1" selected="0">
            <x v="2"/>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8"/>
          </reference>
        </references>
      </pivotArea>
    </format>
    <format dxfId="180">
      <pivotArea dataOnly="0" labelOnly="1" outline="0" fieldPosition="0">
        <references count="11">
          <reference field="0" count="1" selected="0">
            <x v="2"/>
          </reference>
          <reference field="1" count="1" selected="0">
            <x v="17"/>
          </reference>
          <reference field="6" count="1" selected="0">
            <x v="0"/>
          </reference>
          <reference field="7" count="1" selected="0">
            <x v="2"/>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20"/>
          </reference>
        </references>
      </pivotArea>
    </format>
    <format dxfId="179">
      <pivotArea dataOnly="0" labelOnly="1" outline="0" fieldPosition="0">
        <references count="11">
          <reference field="0" count="1" selected="0">
            <x v="2"/>
          </reference>
          <reference field="1" count="1" selected="0">
            <x v="18"/>
          </reference>
          <reference field="6" count="1" selected="0">
            <x v="0"/>
          </reference>
          <reference field="7" count="1" selected="0">
            <x v="2"/>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7"/>
          </reference>
        </references>
      </pivotArea>
    </format>
    <format dxfId="178">
      <pivotArea dataOnly="0" labelOnly="1" outline="0" fieldPosition="0">
        <references count="11">
          <reference field="0" count="1" selected="0">
            <x v="0"/>
          </reference>
          <reference field="1" count="1" selected="0">
            <x v="19"/>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6"/>
          </reference>
          <reference field="16" count="1" selected="0">
            <x v="0"/>
          </reference>
        </references>
      </pivotArea>
    </format>
    <format dxfId="177">
      <pivotArea dataOnly="0" labelOnly="1" outline="0" fieldPosition="0">
        <references count="11">
          <reference field="0" count="1" selected="0">
            <x v="2"/>
          </reference>
          <reference field="1" count="1" selected="0">
            <x v="20"/>
          </reference>
          <reference field="6" count="1" selected="0">
            <x v="0"/>
          </reference>
          <reference field="7" count="1" selected="0">
            <x v="3"/>
          </reference>
          <reference field="9" count="1" selected="0">
            <x v="4"/>
          </reference>
          <reference field="10" count="1">
            <x v="4"/>
          </reference>
          <reference field="11" count="1" selected="0">
            <x v="0"/>
          </reference>
          <reference field="13" count="1" selected="0">
            <x v="0"/>
          </reference>
          <reference field="14" count="0" selected="0"/>
          <reference field="15" count="1" selected="0">
            <x v="0"/>
          </reference>
          <reference field="16" count="1" selected="0">
            <x v="23"/>
          </reference>
        </references>
      </pivotArea>
    </format>
    <format dxfId="176">
      <pivotArea dataOnly="0" labelOnly="1" outline="0" fieldPosition="0">
        <references count="11">
          <reference field="0" count="1" selected="0">
            <x v="2"/>
          </reference>
          <reference field="1" count="1" selected="0">
            <x v="21"/>
          </reference>
          <reference field="6" count="1" selected="0">
            <x v="0"/>
          </reference>
          <reference field="7" count="1" selected="0">
            <x v="3"/>
          </reference>
          <reference field="9" count="1" selected="0">
            <x v="5"/>
          </reference>
          <reference field="10" count="1">
            <x v="5"/>
          </reference>
          <reference field="11" count="1" selected="0">
            <x v="0"/>
          </reference>
          <reference field="13" count="1" selected="0">
            <x v="0"/>
          </reference>
          <reference field="14" count="0" selected="0"/>
          <reference field="15" count="1" selected="0">
            <x v="0"/>
          </reference>
          <reference field="16" count="1" selected="0">
            <x v="21"/>
          </reference>
        </references>
      </pivotArea>
    </format>
    <format dxfId="175">
      <pivotArea dataOnly="0" labelOnly="1" outline="0" fieldPosition="0">
        <references count="11">
          <reference field="0" count="1" selected="0">
            <x v="2"/>
          </reference>
          <reference field="1" count="1" selected="0">
            <x v="22"/>
          </reference>
          <reference field="6" count="1" selected="0">
            <x v="0"/>
          </reference>
          <reference field="7" count="1" selected="0">
            <x v="3"/>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22"/>
          </reference>
        </references>
      </pivotArea>
    </format>
    <format dxfId="174">
      <pivotArea dataOnly="0" labelOnly="1" outline="0" fieldPosition="0">
        <references count="11">
          <reference field="0" count="1" selected="0">
            <x v="2"/>
          </reference>
          <reference field="1" count="1" selected="0">
            <x v="23"/>
          </reference>
          <reference field="6" count="1" selected="0">
            <x v="0"/>
          </reference>
          <reference field="7" count="1" selected="0">
            <x v="3"/>
          </reference>
          <reference field="9" count="1" selected="0">
            <x v="6"/>
          </reference>
          <reference field="10" count="1">
            <x v="6"/>
          </reference>
          <reference field="11" count="1" selected="0">
            <x v="0"/>
          </reference>
          <reference field="13" count="1" selected="0">
            <x v="0"/>
          </reference>
          <reference field="14" count="0" selected="0"/>
          <reference field="15" count="1" selected="0">
            <x v="0"/>
          </reference>
          <reference field="16" count="1" selected="0">
            <x v="24"/>
          </reference>
        </references>
      </pivotArea>
    </format>
    <format dxfId="173">
      <pivotArea dataOnly="0" labelOnly="1" outline="0" fieldPosition="0">
        <references count="11">
          <reference field="0" count="1" selected="0">
            <x v="2"/>
          </reference>
          <reference field="1" count="1" selected="0">
            <x v="24"/>
          </reference>
          <reference field="6" count="1" selected="0">
            <x v="0"/>
          </reference>
          <reference field="7" count="1" selected="0">
            <x v="3"/>
          </reference>
          <reference field="9" count="1" selected="0">
            <x v="5"/>
          </reference>
          <reference field="10" count="1">
            <x v="5"/>
          </reference>
          <reference field="11" count="1" selected="0">
            <x v="1"/>
          </reference>
          <reference field="13" count="1" selected="0">
            <x v="0"/>
          </reference>
          <reference field="14" count="0" selected="0"/>
          <reference field="15" count="1" selected="0">
            <x v="0"/>
          </reference>
          <reference field="16" count="1" selected="0">
            <x v="8"/>
          </reference>
        </references>
      </pivotArea>
    </format>
    <format dxfId="172">
      <pivotArea dataOnly="0" labelOnly="1" outline="0" fieldPosition="0">
        <references count="11">
          <reference field="0" count="1" selected="0">
            <x v="0"/>
          </reference>
          <reference field="1" count="1" selected="0">
            <x v="25"/>
          </reference>
          <reference field="6" count="1" selected="0">
            <x v="1"/>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3"/>
          </reference>
          <reference field="16" count="1" selected="0">
            <x v="0"/>
          </reference>
        </references>
      </pivotArea>
    </format>
    <format dxfId="171">
      <pivotArea dataOnly="0" labelOnly="1" outline="0" fieldPosition="0">
        <references count="11">
          <reference field="0" count="1" selected="0">
            <x v="2"/>
          </reference>
          <reference field="1" count="1" selected="0">
            <x v="26"/>
          </reference>
          <reference field="6" count="1" selected="0">
            <x v="0"/>
          </reference>
          <reference field="7" count="1" selected="0">
            <x v="2"/>
          </reference>
          <reference field="9" count="1" selected="0">
            <x v="2"/>
          </reference>
          <reference field="10" count="1">
            <x v="2"/>
          </reference>
          <reference field="11" count="1" selected="0">
            <x v="0"/>
          </reference>
          <reference field="13" count="1" selected="0">
            <x v="0"/>
          </reference>
          <reference field="14" count="0" selected="0"/>
          <reference field="15" count="1" selected="0">
            <x v="0"/>
          </reference>
          <reference field="16" count="1" selected="0">
            <x v="2"/>
          </reference>
        </references>
      </pivotArea>
    </format>
    <format dxfId="170">
      <pivotArea dataOnly="0" labelOnly="1" outline="0" fieldPosition="0">
        <references count="11">
          <reference field="0" count="1" selected="0">
            <x v="2"/>
          </reference>
          <reference field="1" count="1" selected="0">
            <x v="27"/>
          </reference>
          <reference field="6" count="1" selected="0">
            <x v="0"/>
          </reference>
          <reference field="7" count="1" selected="0">
            <x v="2"/>
          </reference>
          <reference field="9" count="1" selected="0">
            <x v="3"/>
          </reference>
          <reference field="10" count="1">
            <x v="3"/>
          </reference>
          <reference field="11" count="1" selected="0">
            <x v="0"/>
          </reference>
          <reference field="13" count="1" selected="0">
            <x v="0"/>
          </reference>
          <reference field="14" count="0" selected="0"/>
          <reference field="15" count="1" selected="0">
            <x v="0"/>
          </reference>
          <reference field="16" count="1" selected="0">
            <x v="3"/>
          </reference>
        </references>
      </pivotArea>
    </format>
    <format dxfId="169">
      <pivotArea dataOnly="0" labelOnly="1" outline="0" fieldPosition="0">
        <references count="11">
          <reference field="0" count="1" selected="0">
            <x v="2"/>
          </reference>
          <reference field="1" count="1" selected="0">
            <x v="28"/>
          </reference>
          <reference field="6" count="1" selected="0">
            <x v="0"/>
          </reference>
          <reference field="7" count="1" selected="0">
            <x v="2"/>
          </reference>
          <reference field="9" count="1" selected="0">
            <x v="1"/>
          </reference>
          <reference field="10" count="1">
            <x v="1"/>
          </reference>
          <reference field="11" count="1" selected="0">
            <x v="1"/>
          </reference>
          <reference field="13" count="1" selected="0">
            <x v="0"/>
          </reference>
          <reference field="14" count="0" selected="0"/>
          <reference field="15" count="1" selected="0">
            <x v="0"/>
          </reference>
          <reference field="16" count="1" selected="0">
            <x v="5"/>
          </reference>
        </references>
      </pivotArea>
    </format>
    <format dxfId="168">
      <pivotArea dataOnly="0" labelOnly="1" outline="0" fieldPosition="0">
        <references count="11">
          <reference field="0" count="1" selected="0">
            <x v="0"/>
          </reference>
          <reference field="1" count="1" selected="0">
            <x v="29"/>
          </reference>
          <reference field="6" count="1" selected="0">
            <x v="0"/>
          </reference>
          <reference field="7" count="1" selected="0">
            <x v="4"/>
          </reference>
          <reference field="9" count="1" selected="0">
            <x v="7"/>
          </reference>
          <reference field="10" count="1">
            <x v="7"/>
          </reference>
          <reference field="11" count="1" selected="0">
            <x v="0"/>
          </reference>
          <reference field="13" count="1" selected="0">
            <x v="0"/>
          </reference>
          <reference field="14" count="0" selected="0"/>
          <reference field="15" count="1" selected="0">
            <x v="1"/>
          </reference>
          <reference field="16" count="1" selected="0">
            <x v="0"/>
          </reference>
        </references>
      </pivotArea>
    </format>
    <format dxfId="167">
      <pivotArea dataOnly="0" labelOnly="1" outline="0" fieldPosition="0">
        <references count="11">
          <reference field="0" count="1" selected="0">
            <x v="2"/>
          </reference>
          <reference field="1" count="1" selected="0">
            <x v="30"/>
          </reference>
          <reference field="6" count="1" selected="0">
            <x v="0"/>
          </reference>
          <reference field="7" count="1" selected="0">
            <x v="4"/>
          </reference>
          <reference field="9" count="1" selected="0">
            <x v="8"/>
          </reference>
          <reference field="10" count="1">
            <x v="8"/>
          </reference>
          <reference field="11" count="1" selected="0">
            <x v="0"/>
          </reference>
          <reference field="13" count="1" selected="0">
            <x v="0"/>
          </reference>
          <reference field="14" count="0" selected="0"/>
          <reference field="15" count="1" selected="0">
            <x v="0"/>
          </reference>
          <reference field="16" count="1" selected="0">
            <x v="1"/>
          </reference>
        </references>
      </pivotArea>
    </format>
  </formats>
  <pivotTableStyleInfo name="STLPivotStyle0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C43FCA1-38B7-48E0-BDE5-67099241A7DA}" name="VersionControl" displayName="VersionControl" ref="B2:E15" totalsRowShown="0" headerRowDxfId="2403" dataDxfId="2402">
  <autoFilter ref="B2:E15" xr:uid="{2C43FCA1-38B7-48E0-BDE5-67099241A7DA}"/>
  <tableColumns count="4">
    <tableColumn id="1" xr3:uid="{8F2785AB-F776-4731-AAF5-B11AC1359C50}" name="Version #" dataDxfId="2401"/>
    <tableColumn id="2" xr3:uid="{9BCF1580-2358-4FFA-9298-4FC25BB48957}" name="Change Log" dataDxfId="2400"/>
    <tableColumn id="3" xr3:uid="{16E6E92D-FDB1-4086-852C-5A61EEFD263A}" name="Author" dataDxfId="2399"/>
    <tableColumn id="4" xr3:uid="{2AD1D1D8-1D0B-4C3A-BDBF-CB45A2329DB5}" name="Date" dataDxfId="2398"/>
  </tableColumns>
  <tableStyleInfo name="PricelistTableStyle0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2A6BF6-8CEE-4E45-BC7B-0861D715512A}" name="ClientPriceExRate" displayName="ClientPriceExRate" ref="B3:E80" totalsRowShown="0">
  <autoFilter ref="B3:E80" xr:uid="{71428558-CA94-464B-9E99-CC88AF13DB17}"/>
  <tableColumns count="4">
    <tableColumn id="1" xr3:uid="{D9EE3066-0FCF-4300-9011-753B48F8A77D}" name="Exchange Rate Group" dataDxfId="2397"/>
    <tableColumn id="2" xr3:uid="{63F5DE93-CB3F-49FD-83E6-83152D02C316}" name="Currency" dataDxfId="2396"/>
    <tableColumn id="3" xr3:uid="{29D7A8F7-2AC5-49F2-9E08-6627FD0A83C5}" name="Ex-Currency">
      <calculatedColumnFormula>_xlfn.CONCAT(ClientPriceExRate[[#This Row],[Exchange Rate Group]:[Currency]])</calculatedColumnFormula>
    </tableColumn>
    <tableColumn id="4" xr3:uid="{D2E47BA6-1670-4D3E-AD67-E2107381ADD9}" name="Exchange Rate" dataDxfId="239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EAD7240-399F-4359-8B07-0CB9521547DF}" name="STLClientSpecificSettings" displayName="STLClientSpecificSettings" ref="I3:S4" totalsRowShown="0" headerRowDxfId="2394" headerRowBorderDxfId="2393" tableBorderDxfId="2392" totalsRowBorderDxfId="2391">
  <autoFilter ref="I3:S4" xr:uid="{14FE8C45-216E-44AA-B944-D74309DD614B}"/>
  <tableColumns count="11">
    <tableColumn id="1" xr3:uid="{ADCA093F-C97F-44B7-9609-46F05B43AD3A}" name="Org Code" dataDxfId="2390"/>
    <tableColumn id="11" xr3:uid="{29EEFE0E-2DB0-4642-86F7-4EEAE28419A9}" name="Org Name" dataDxfId="2389"/>
    <tableColumn id="2" xr3:uid="{2AA08CA1-BEAF-4219-B9ED-C186F29D51D4}" name="Server Code" dataDxfId="2388"/>
    <tableColumn id="12" xr3:uid="{F2CBB29D-19D9-41D8-A34E-7EDAF53AAC21}" name="Enterprise Code" dataDxfId="2387"/>
    <tableColumn id="3" xr3:uid="{4510312E-3C16-4F11-A5C4-0D78883693AC}" name="Currency" dataDxfId="2386"/>
    <tableColumn id="4" xr3:uid="{0EE8BFD6-96B3-42E6-B5BA-4946515F7EF2}" name="Volume Price Adjustment" dataDxfId="2385"/>
    <tableColumn id="5" xr3:uid="{96992242-961D-4F2F-85E6-7D4AB08CCD70}" name="Volume %" dataDxfId="2384"/>
    <tableColumn id="6" xr3:uid="{A46DE91A-E665-4F3E-ACA6-45C94996F20B}" name="VolumeBasedPriceItems" dataDxfId="2383"/>
    <tableColumn id="7" xr3:uid="{9EB3AFBE-03D9-4CEE-A983-B202B0EADB56}" name="Core Pack Excluded from Std volume discount" dataDxfId="2382"/>
    <tableColumn id="8" xr3:uid="{0F86E521-972B-42B9-825C-BC98E051B77F}" name="Core Uplift %" dataDxfId="2381"/>
    <tableColumn id="10" xr3:uid="{55A721F7-BF18-4689-9FDF-C843E87E8608}" name="Pricelist Version" dataDxfId="238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9A6D95-4039-4D19-8598-715497938B49}" name="STLClientPriceCompute" displayName="STLClientPriceCompute" ref="B2:Z184" totalsRowShown="0" headerRowDxfId="2331" headerRowBorderDxfId="2330" tableBorderDxfId="2329" totalsRowBorderDxfId="2328">
  <autoFilter ref="B2:Z184" xr:uid="{2DAC7B5E-E71F-4D06-AFEB-A935011C930D}"/>
  <tableColumns count="25">
    <tableColumn id="1" xr3:uid="{4276B639-D847-4011-B2E7-32E0D45F4CB7}" name="Item Level" dataDxfId="2327">
      <calculatedColumnFormula>FIND(LEFT(TRIM(STLClientPriceCompute[[#This Row],[Description]]),1),STLClientPriceCompute[[#This Row],[Description]])-1</calculatedColumnFormula>
    </tableColumn>
    <tableColumn id="2" xr3:uid="{69A3ECA5-72A7-4DB1-9F1F-F30C786FAC3D}" name="Row" dataDxfId="2326"/>
    <tableColumn id="3" xr3:uid="{A6B948B1-E3A4-4C80-927F-25BED80A3372}" name="Category" dataDxfId="2325"/>
    <tableColumn id="4" xr3:uid="{EBE255E5-4821-436E-9DAF-94208C0FE489}" name="Code" dataDxfId="2324"/>
    <tableColumn id="5" xr3:uid="{644BD41F-21EA-41FC-A4C7-EB1718192365}" name="Description" dataDxfId="2323"/>
    <tableColumn id="6" xr3:uid="{6256B85F-081B-46E7-9AF9-7F71A6BCE76C}" name="Available" dataDxfId="2322"/>
    <tableColumn id="24" xr3:uid="{375B703F-4E81-4718-9A80-1B1BCE2556E7}" name="Report Category" dataDxfId="2321"/>
    <tableColumn id="7" xr3:uid="{E09B8965-901A-4AFE-89A8-1AA50DB8A983}" name="Base Price (USD)" dataDxfId="2320"/>
    <tableColumn id="8" xr3:uid="{71DEE91C-FB70-40DE-BD7C-EF6A212E08F6}" name="Charge Basis" dataDxfId="2319"/>
    <tableColumn id="23" xr3:uid="{91857039-270C-4D31-9895-C21FD4656608}" name="Exchange Rate Group" dataDxfId="2318"/>
    <tableColumn id="16" xr3:uid="{403245B8-D47F-4EAB-9401-9A82859A363B}" name="License Units" dataDxfId="2317"/>
    <tableColumn id="17" xr3:uid="{4F9E5FB8-55DD-4A01-9770-D7564A6E6392}" name="Eligible For Volume Discount" dataDxfId="2316"/>
    <tableColumn id="9" xr3:uid="{8744FCAC-4811-42F8-863F-6B76B6818508}" name="Base Price in Local Currency" dataDxfId="2315">
      <calculatedColumnFormula>_xlfn.IFNA(IF(STLClientPriceCompute[[#This Row],[Base Price (USD)]]="","", STLClientPriceCompute[[#This Row],[Base Price (USD)]]*VLOOKUP(_xlfn.CONCAT(STLClientPriceCompute[[#This Row],[Exchange Rate Group]],STLClientSpecificSettings[Currency]),ClientPriceExRate[[#All],[Ex-Currency]:[Exchange Rate]],2,FALSE)),"")</calculatedColumnFormula>
    </tableColumn>
    <tableColumn id="10" xr3:uid="{786F3001-AC1B-45AC-9004-87391A54893C}" name="List Price (Volume Adjusted Price in Local Currency)" dataDxfId="2314">
      <calculatedColumnFormula>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calculatedColumnFormula>
    </tableColumn>
    <tableColumn id="11" xr3:uid="{86B50D8D-349B-444B-933E-F55DFE8024DB}" name="Volume adjustment Factor" dataDxfId="2313">
      <calculatedColumnFormula array="1">IF(STLClientSpecificSettings[Core Pack Excluded from Std volume discount]="EX",1, IF(STLClientSpecificSettings[Volume Price Adjustment]="HV", STLClientPriceCompute[[#This Row],[Category search for HV Base Discount]], STLClientSpecificSettings[Volume %]/100))</calculatedColumnFormula>
    </tableColumn>
    <tableColumn id="13" xr3:uid="{4B221E5A-EF0F-4893-85F2-D52ED210A2D6}" name="Category search for HV Base Discount" dataDxfId="2312">
      <calculatedColumnFormula array="1">IF(ISBLANK(STLClientPriceCompute[[#This Row],[Category]]), 1, IF(ISNUMBER(SEARCH(CONCATENATE(STLClientPriceCompute[[#This Row],[Category]],"-",STLClientPriceCompute[[#This Row],[Code]]),STLClientSpecificSettings[VolumeBasedPriceItems])),STLClientSpecificSettings[Volume %]/100,1))</calculatedColumnFormula>
    </tableColumn>
    <tableColumn id="14" xr3:uid="{441F79A8-0179-45BC-866A-18C2CA70EE25}" name="Uplift Factor" dataDxfId="2311">
      <calculatedColumnFormula array="1">IF(STLClientSpecificSettings[Core Pack Excluded from Std volume discount]="UP",IF(OR(E3="USR",E3="RBU"),STLClientSpecificSettings[Core Uplift %]/100+1,1),1)</calculatedColumnFormula>
    </tableColumn>
    <tableColumn id="18" xr3:uid="{57FA6892-7C92-4759-8A4B-507B5801019D}" name="Discount Unit" dataDxfId="2310">
      <calculatedColumnFormula>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calculatedColumnFormula>
    </tableColumn>
    <tableColumn id="12" xr3:uid="{E5F6F2DB-4177-48A4-B8AF-558002B0280D}" name="Available Symbol" dataDxfId="2309">
      <calculatedColumnFormula>IF(STLClientPriceCompute[[#This Row],[Available]]="Y", "P",IF(STLClientPriceCompute[[#This Row],[Available]]="N","O",""))</calculatedColumnFormula>
    </tableColumn>
    <tableColumn id="22" xr3:uid="{6F3D133A-DCB5-44F0-B42D-1F639AF5DE21}" name="Desc without indent" dataDxfId="2308">
      <calculatedColumnFormula>TRIM(STLClientPriceCompute[[#This Row],[Description]])</calculatedColumnFormula>
    </tableColumn>
    <tableColumn id="15" xr3:uid="{D696E177-DF6E-4EB3-BA32-0316556F4D07}" name="Role" dataDxfId="2307">
      <calculatedColumnFormula>IF(STLClientPriceCompute[[#This Row],[Item Level]]=0,STLClientPriceCompute[[#This Row],[Desc without indent]],"")</calculatedColumnFormula>
    </tableColumn>
    <tableColumn id="19" xr3:uid="{46B899E0-F05D-4323-8B32-059DA4E1C5A3}" name="Module" dataDxfId="2306">
      <calculatedColumnFormula>IF(STLClientPriceCompute[[#This Row],[Item Level]]=1,STLClientPriceCompute[[#This Row],[Desc without indent]],"")</calculatedColumnFormula>
    </tableColumn>
    <tableColumn id="20" xr3:uid="{71DC4696-4247-41F0-A6A5-7822DB1025BF}" name="Function" dataDxfId="2305">
      <calculatedColumnFormula>IF(STLClientPriceCompute[[#This Row],[Item Level]]=2,STLClientPriceCompute[[#This Row],[Desc without indent]],"")</calculatedColumnFormula>
    </tableColumn>
    <tableColumn id="21" xr3:uid="{325EC568-1363-4F05-90B6-B59406553C3A}" name="Feature" dataDxfId="2304">
      <calculatedColumnFormula>IF(STLClientPriceCompute[[#This Row],[Item Level]]&gt;=3,_xlfn.CONCAT(REPT(" ",STLClientPriceCompute[[#This Row],[Item Level]]-3), STLClientPriceCompute[[#This Row],[Desc without indent]]),"")</calculatedColumnFormula>
    </tableColumn>
    <tableColumn id="25" xr3:uid="{6AD0D232-F923-49A2-86F3-4E5052B18AAD}" name="Charge Basis / Entity counted" dataDxfId="2303">
      <calculatedColumnFormula>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7C8F74-8A7C-401E-9416-D47423B8F9FB}" name="BORClientPriceCompute" displayName="BORClientPriceCompute" ref="B6:R37" totalsRowShown="0" headerRowDxfId="526" headerRowBorderDxfId="525" tableBorderDxfId="524" totalsRowBorderDxfId="523">
  <autoFilter ref="B6:R37" xr:uid="{90D7DFDA-81EB-437E-A9F4-59BA657B1DD1}"/>
  <tableColumns count="17">
    <tableColumn id="1" xr3:uid="{A683F916-46A4-4460-BA7D-7BF438A7ADDD}" name="Item Level" dataDxfId="522">
      <calculatedColumnFormula>FIND(LEFT(TRIM(BORClientPriceCompute[[#This Row],[Description]]),1),BORClientPriceCompute[[#This Row],[Description]])-1</calculatedColumnFormula>
    </tableColumn>
    <tableColumn id="2" xr3:uid="{CE1EEC61-A89F-4ADF-955A-E7CF768B0C79}" name="Row" dataDxfId="521"/>
    <tableColumn id="3" xr3:uid="{B8D52532-45FE-479A-98B1-B90769DBE2DB}" name="Category" dataDxfId="520"/>
    <tableColumn id="4" xr3:uid="{5487CEC7-58E5-4C6F-9353-7C3DBB7AEDC8}" name="Code" dataDxfId="519"/>
    <tableColumn id="5" xr3:uid="{F8127C16-9FB5-41C8-8597-0C292B80D54A}" name="Description" dataDxfId="518"/>
    <tableColumn id="7" xr3:uid="{CBB13D93-1364-43CC-9343-CAB68974DAF2}" name="Base Price" dataDxfId="517"/>
    <tableColumn id="8" xr3:uid="{2AAE29F0-7369-43B0-A4BF-91D70C8BB69D}" name="Charge Basis / Entity counted" dataDxfId="516"/>
    <tableColumn id="10" xr3:uid="{4BCC808A-2710-4171-8DB9-906E0656CFF5}" name="Currency" dataDxfId="515"/>
    <tableColumn id="16" xr3:uid="{D7A7789F-3E5B-4E01-8734-4FD04BECF6B7}" name="License Units" dataDxfId="514"/>
    <tableColumn id="13" xr3:uid="{0F8E55D1-7F29-4E28-B019-5AEC872E4B9D}" name="Price" dataDxfId="513">
      <calculatedColumnFormula>IF(CONCATENATE(BORClientPriceCompute[[#This Row],[Category]],BORClientPriceCompute[[#This Row],[Code]])="","",IF(BORClientPriceCompute[[#This Row],[Base Price]]=0,"Free",BORClientPriceCompute[[#This Row],[Base Price]]))</calculatedColumnFormula>
    </tableColumn>
    <tableColumn id="18" xr3:uid="{7BA5B159-960F-47B6-AEA7-56989C639048}" name="Discount Unit" dataDxfId="512">
      <calculatedColumnFormula>IF(CONCATENATE(BORClientPriceCompute[[#This Row],[Category]],BORClientPriceCompute[[#This Row],[Code]])="","",IF(BORClientPriceCompute[[#This Row],[License Units]]=0,"-",BORClientPriceCompute[[#This Row],[License Units]]))</calculatedColumnFormula>
    </tableColumn>
    <tableColumn id="6" xr3:uid="{0DE95B2D-D6B1-4F5E-80EB-223BB28B0C8E}" name="Prerequisites" dataDxfId="511">
      <calculatedColumnFormula>IF(BORClientPriceCompute[[#This Row],[Code]]="","",IF(BORClientPriceCompute[[#This Row],[Code]]="BW3",$C$4,IF(ISNUMBER(SEARCH("Pro Pack",BORClientPriceCompute[[#This Row],[Description]])),$C$3&amp;RIGHT(BORClientPriceCompute[[#This Row],[Description]],LEN(BORClientPriceCompute[[#This Row],[Description]])-FIND("(",BORClientPriceCompute[[#This Row],[Description]])+1),"N/A")))</calculatedColumnFormula>
    </tableColumn>
    <tableColumn id="9" xr3:uid="{49F01E30-7D40-43EF-A62E-279B52B0D601}" name="Desc without indent" dataDxfId="510">
      <calculatedColumnFormula>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calculatedColumnFormula>
    </tableColumn>
    <tableColumn id="11" xr3:uid="{091ACC01-B296-4B85-81C9-9AF98399801A}" name="Role" dataDxfId="509">
      <calculatedColumnFormula>IF(BORClientPriceCompute[[#This Row],[Item Level]]=0,BORClientPriceCompute[[#This Row],[Desc without indent]],"")</calculatedColumnFormula>
    </tableColumn>
    <tableColumn id="12" xr3:uid="{62FAE44A-4CCC-4B5A-963A-BF62C43E4137}" name="Module" dataDxfId="508">
      <calculatedColumnFormula>IF(BORClientPriceCompute[[#This Row],[Item Level]]=1,BORClientPriceCompute[[#This Row],[Desc without indent]],"")</calculatedColumnFormula>
    </tableColumn>
    <tableColumn id="14" xr3:uid="{F0B6ED07-CDB8-43F2-B1C7-6D1C4987C93D}" name="Function" dataDxfId="507">
      <calculatedColumnFormula>IF(BORClientPriceCompute[[#This Row],[Item Level]]=2,BORClientPriceCompute[[#This Row],[Desc without indent]],"")</calculatedColumnFormula>
    </tableColumn>
    <tableColumn id="15" xr3:uid="{549EC9ED-EE48-441E-A973-0596B147229F}" name="Feature" dataDxfId="506">
      <calculatedColumnFormula>IF(BORClientPriceCompute[[#This Row],[Item Level]]&gt;=3,_xlfn.CONCAT(REPT(" ",BORClientPriceCompute[[#This Row],[Item Level]]-3), BORClientPriceCompute[[#This Row],[Desc without indent]]),"")</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2B19E76-4C18-4BC9-A1E2-0855BE8B9F73}" name="ABMCustoms" displayName="ABMCustoms" ref="B7:C10" totalsRowShown="0">
  <autoFilter ref="B7:C10" xr:uid="{02B19E76-4C18-4BC9-A1E2-0855BE8B9F73}">
    <filterColumn colId="0" hiddenButton="1"/>
    <filterColumn colId="1" hiddenButton="1"/>
  </autoFilter>
  <tableColumns count="2">
    <tableColumn id="1" xr3:uid="{C6AC4421-6895-4BE9-8E50-0D0CD281CEC2}" name="ABM Customs Transaction Type" dataDxfId="166" dataCellStyle="Comma"/>
    <tableColumn id="2" xr3:uid="{A3620658-2689-4A01-9057-D55AB1DB6571}" name="Price per transaction (EUR)" dataDxfId="165" dataCellStyle="Currency"/>
  </tableColumns>
  <tableStyleInfo name="PricelistTableStyle0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63969E-9F7A-45FE-8E47-511679BD2F70}" name="TPT_ContainerAutomation" displayName="TPT_ContainerAutomation" ref="B21:C28" totalsRowShown="0">
  <autoFilter ref="B21:C28" xr:uid="{5EDBC731-0B0B-4123-A617-5487CC9001AF}">
    <filterColumn colId="0" hiddenButton="1"/>
    <filterColumn colId="1" hiddenButton="1"/>
  </autoFilter>
  <tableColumns count="2">
    <tableColumn id="1" xr3:uid="{D4B778EF-D1FE-40FA-9B23-92905C25361E}" name="Number of unique containers tracked per month" dataDxfId="164" dataCellStyle="Comma"/>
    <tableColumn id="2" xr3:uid="{287BB0BE-F3D3-4DEE-9C31-328B8E49E280}" name="Price per unique container tracked per month (USD)" dataDxfId="163" dataCellStyle="Currency"/>
  </tableColumns>
  <tableStyleInfo name="PricelistTableStyle0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2D4BD5-17E5-4655-983E-8D62024EC2E2}" name="TPT_LCLAutomation" displayName="TPT_LCLAutomation" ref="B36:B37" totalsRowShown="0" headerRowDxfId="162" dataDxfId="161" dataCellStyle="Currency">
  <autoFilter ref="B36:B37" xr:uid="{212D4BD5-17E5-4655-983E-8D62024EC2E2}">
    <filterColumn colId="0" hiddenButton="1"/>
  </autoFilter>
  <tableColumns count="1">
    <tableColumn id="1" xr3:uid="{D54BED6E-F4C6-421F-A7B1-40CC32EAFBCF}" name="Price per LCL Booking (USD)*" dataDxfId="160" dataCellStyle="Currency"/>
  </tableColumns>
  <tableStyleInfo name="PricelistTableStyle0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796885-A74A-49FB-B9D5-2E22228B2A64}" name="TPTAirwaybill" displayName="TPTAirwaybill" ref="B48:B49" totalsRowShown="0" headerRowDxfId="159" dataDxfId="158" dataCellStyle="Currency">
  <autoFilter ref="B48:B49" xr:uid="{F3796885-A74A-49FB-B9D5-2E22228B2A64}"/>
  <tableColumns count="1">
    <tableColumn id="1" xr3:uid="{A6797329-9C89-4030-B39A-55E729791394}" name="Price per MAWB (USD)*" dataDxfId="157" dataCellStyle="Currency"/>
  </tableColumns>
  <tableStyleInfo name="PricelistTableStyle0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2A8536C-2D5A-4880-97BE-EAF1D4BE2B6C}" name="TPTInvoicingCompliance" displayName="TPTInvoicingCompliance" ref="B61:C67" totalsRowShown="0" dataDxfId="156">
  <autoFilter ref="B61:C67" xr:uid="{72A8536C-2D5A-4880-97BE-EAF1D4BE2B6C}">
    <filterColumn colId="0" hiddenButton="1"/>
    <filterColumn colId="1" hiddenButton="1"/>
  </autoFilter>
  <tableColumns count="2">
    <tableColumn id="1" xr3:uid="{86B14448-7016-4A11-88FF-9BA184F57C7D}" name="Number of invoices per month" dataDxfId="155" dataCellStyle="Comma"/>
    <tableColumn id="2" xr3:uid="{A7A31ABE-E54B-41AE-86DF-2C34A0D6AC2C}" name="Price per invoice (USD)*" dataDxfId="154" dataCellStyle="Currency">
      <calculatedColumnFormula>C61*95%</calculatedColumnFormula>
    </tableColumn>
  </tableColumns>
  <tableStyleInfo name="PricelistTableStyle0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145048-4EEA-490A-98B3-2906BFB037A7}" name="TPTCreditReport" displayName="TPTCreditReport" ref="B105:C109" totalsRowShown="0">
  <autoFilter ref="B105:C109" xr:uid="{95145048-4EEA-490A-98B3-2906BFB037A7}">
    <filterColumn colId="0" hiddenButton="1"/>
    <filterColumn colId="1" hiddenButton="1"/>
  </autoFilter>
  <tableColumns count="2">
    <tableColumn id="1" xr3:uid="{64A804BB-DBD8-40AD-B3CC-77153558CABA}" name="Report Type" dataDxfId="153" dataCellStyle="Comma"/>
    <tableColumn id="2" xr3:uid="{F7BD05AA-4649-4883-990F-1A1B063C15B9}" name="Price per Report (AUD)*" dataDxfId="152" dataCellStyle="Currency"/>
  </tableColumns>
  <tableStyleInfo name="PricelistTableStyle0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5CAB2A6-9E22-46C7-BE70-90A2E5FBEDDB}" name="TPT3GTM" displayName="TPT3GTM" ref="B123:C128" totalsRowShown="0">
  <autoFilter ref="B123:C128" xr:uid="{D5CAB2A6-9E22-46C7-BE70-90A2E5FBEDDB}">
    <filterColumn colId="0" hiddenButton="1"/>
    <filterColumn colId="1" hiddenButton="1"/>
  </autoFilter>
  <tableColumns count="2">
    <tableColumn id="1" xr3:uid="{2BDFCAE6-A5A4-4CB0-9935-F31D37FD66BD}" name="Number of orders per month" dataDxfId="151" dataCellStyle="Comma"/>
    <tableColumn id="2" xr3:uid="{4CE8C44D-7602-4297-AA3D-A80A576F6645}" name="Price per Order (USD)*" dataDxfId="150" dataCellStyle="Currency"/>
  </tableColumns>
  <tableStyleInfo name="PricelistTableStyle0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44F529E-1CD6-4BB4-936F-25A0B13A0038}" name="TPTGlobalSailing" displayName="TPTGlobalSailing" ref="B138:B139" totalsRowShown="0" headerRowDxfId="149" dataDxfId="148" dataCellStyle="Currency">
  <autoFilter ref="B138:B139" xr:uid="{D44F529E-1CD6-4BB4-936F-25A0B13A0038}">
    <filterColumn colId="0" hiddenButton="1"/>
  </autoFilter>
  <tableColumns count="1">
    <tableColumn id="1" xr3:uid="{DC35115E-74DD-41A5-B2CB-551A9F19BE1E}" name="Price per API Access Key (USD) *" dataDxfId="147" dataCellStyle="Currency"/>
  </tableColumns>
  <tableStyleInfo name="PricelistTableStyle0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761522B-8427-4802-8730-D6974CDA504E}" name="TPTAirlineeBookings" displayName="TPTAirlineeBookings" ref="B151:B152" totalsRowShown="0" headerRowDxfId="146" dataDxfId="145" dataCellStyle="Currency">
  <autoFilter ref="B151:B152" xr:uid="{2761522B-8427-4802-8730-D6974CDA504E}">
    <filterColumn colId="0" hiddenButton="1"/>
  </autoFilter>
  <tableColumns count="1">
    <tableColumn id="1" xr3:uid="{54D65491-000F-43D3-9CEE-9693EBA8F483}" name="Price per MAWB (USD) *" dataDxfId="144" dataCellStyle="Currency"/>
  </tableColumns>
  <tableStyleInfo name="PricelistTableStyle0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A34AA08-F48C-4F0E-BA1D-081C14A3CF2E}" name="TPTAccountingCompliance" displayName="TPTAccountingCompliance" ref="B75:C81" totalsRowShown="0" dataDxfId="143">
  <autoFilter ref="B75:C81" xr:uid="{4A34AA08-F48C-4F0E-BA1D-081C14A3CF2E}">
    <filterColumn colId="0" hiddenButton="1"/>
    <filterColumn colId="1" hiddenButton="1"/>
  </autoFilter>
  <tableColumns count="2">
    <tableColumn id="1" xr3:uid="{199BE68D-2C8F-4EF2-A6B1-7F1AC0FDDA16}" name="Number of invoices per month" dataDxfId="142" dataCellStyle="Comma"/>
    <tableColumn id="2" xr3:uid="{590212D8-F52B-414A-8BF7-C9AB2F81E5A7}" name="Price per invoice (USD)*" dataDxfId="141" dataCellStyle="Currency">
      <calculatedColumnFormula>C75*95%</calculatedColumnFormula>
    </tableColumn>
  </tableColumns>
  <tableStyleInfo name="PricelistTableStyle0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B86BDE1-B37F-45BA-BCB1-23185908486D}" name="TPTGoldenTaxTable" displayName="TPTGoldenTaxTable" ref="B164:C166" totalsRowShown="0" headerRowDxfId="140" dataDxfId="139" dataCellStyle="Currency">
  <autoFilter ref="B164:C166" xr:uid="{6B86BDE1-B37F-45BA-BCB1-23185908486D}">
    <filterColumn colId="0" hiddenButton="1"/>
    <filterColumn colId="1" hiddenButton="1"/>
  </autoFilter>
  <tableColumns count="2">
    <tableColumn id="2" xr3:uid="{9F90DC9C-1663-4734-9A80-2DEEDC34E1E2}" name="Charge basis" dataDxfId="138" dataCellStyle="Currency"/>
    <tableColumn id="1" xr3:uid="{EA2BA508-0ACF-416C-A7E7-5E97C83B8BBD}" name="Price per MAWB (USD) *" dataDxfId="137" dataCellStyle="Currency"/>
  </tableColumns>
  <tableStyleInfo name="PricelistTableStyle0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9CE943-5813-40DF-A063-B326FB3847C4}" name="TPTOceanCarrierMsgTable" displayName="TPTOceanCarrierMsgTable" ref="B178:D181" totalsRowShown="0" headerRowDxfId="136" dataDxfId="135" dataCellStyle="Currency">
  <autoFilter ref="B178:D181" xr:uid="{389CE943-5813-40DF-A063-B326FB3847C4}">
    <filterColumn colId="0" hiddenButton="1"/>
    <filterColumn colId="1" hiddenButton="1"/>
    <filterColumn colId="2" hiddenButton="1"/>
  </autoFilter>
  <tableColumns count="3">
    <tableColumn id="1" xr3:uid="{D16C9655-B1C8-4D84-AE73-86FEC3196C64}" name="Charge" dataDxfId="134" dataCellStyle="Currency"/>
    <tableColumn id="2" xr3:uid="{ABC7993A-D4D2-4E73-8CAE-252DD74DB1B2}" name="Charge Basis" dataDxfId="133" dataCellStyle="Currency"/>
    <tableColumn id="3" xr3:uid="{50D9D2FB-6994-4D31-9458-2DFF82EC1AA8}" name="Price (USD)" dataDxfId="132" dataCellStyle="Currency"/>
  </tableColumns>
  <tableStyleInfo name="PricelistTableStyle01"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235F14-DAD9-4B1D-B7AE-17B38B4B626F}" name="TPTFIATATable" displayName="TPTFIATATable" ref="B193:C195" totalsRowShown="0" dataDxfId="130" headerRowBorderDxfId="131" dataCellStyle="Currency">
  <autoFilter ref="B193:C195" xr:uid="{45235F14-DAD9-4B1D-B7AE-17B38B4B626F}"/>
  <tableColumns count="2">
    <tableColumn id="2" xr3:uid="{DDA15BB0-46E3-4E96-BD48-117CB9E223E6}" name="Country classification**" dataDxfId="129" dataCellStyle="Currency"/>
    <tableColumn id="1" xr3:uid="{A4120774-777E-4B19-9775-DF5B31EE9D02}" name="Price per eFBL (USD)" dataDxfId="128" dataCellStyle="Currency"/>
  </tableColumns>
  <tableStyleInfo name="PricelistTableStyle01"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134B1F-1373-485C-995D-C0C9983C3BEF}" name="STLdiscountVolume" displayName="STLdiscountVolume" ref="B11:C27" totalsRowShown="0" headerRowDxfId="127" dataDxfId="126">
  <autoFilter ref="B11:C27" xr:uid="{85134B1F-1373-485C-995D-C0C9983C3BEF}">
    <filterColumn colId="0" hiddenButton="1"/>
    <filterColumn colId="1" hiddenButton="1"/>
  </autoFilter>
  <tableColumns count="2">
    <tableColumn id="1" xr3:uid="{CFD113BA-6C7B-4946-85C4-0319D034A868}" name="Seat + Transaction (STL)_x000a_Discount Scales [Units Greater than]" dataDxfId="125" dataCellStyle="Currency"/>
    <tableColumn id="2" xr3:uid="{B1E72999-5169-4018-86A0-6BE69DC55BA9}" name="Volume_x000a_Usage_x000a_Discount" dataDxfId="124" dataCellStyle="Percent"/>
  </tableColumns>
  <tableStyleInfo name="PricelistTableStyle01"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DB3226B-6F99-451A-A2CC-ABEDD05404E6}" name="STLDiscountWCIntro" displayName="STLDiscountWCIntro" ref="B38:C39" totalsRowShown="0" headerRowDxfId="123" dataDxfId="122">
  <autoFilter ref="B38:C39" xr:uid="{1DB3226B-6F99-451A-A2CC-ABEDD05404E6}">
    <filterColumn colId="0" hiddenButton="1"/>
    <filterColumn colId="1" hiddenButton="1"/>
  </autoFilter>
  <tableColumns count="2">
    <tableColumn id="1" xr3:uid="{31CD1670-D6C6-4526-B535-59FDE6F62318}" name="CargoWise Cloud Introductory Discount" dataDxfId="121" dataCellStyle="Currency"/>
    <tableColumn id="2" xr3:uid="{5B6C15C1-4F9E-41A8-AA7F-5DDCBBDB5BD8}" name="Discount" dataDxfId="120" dataCellStyle="Currency"/>
  </tableColumns>
  <tableStyleInfo name="PricelistTableStyle01"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A22891-6903-4BB2-BDFF-445B10701C8F}" name="STLDiscountCommitment" displayName="STLDiscountCommitment" ref="B49:D54" totalsRowShown="0" headerRowDxfId="119" dataDxfId="118">
  <autoFilter ref="B49:D54" xr:uid="{92A22891-6903-4BB2-BDFF-445B10701C8F}">
    <filterColumn colId="0" hiddenButton="1"/>
    <filterColumn colId="1" hiddenButton="1"/>
    <filterColumn colId="2" hiddenButton="1"/>
  </autoFilter>
  <tableColumns count="3">
    <tableColumn id="1" xr3:uid="{3F0C116E-D0CA-42C6-854D-50F3F41BB521}" name="Commitment Term" dataDxfId="117"/>
    <tableColumn id="2" xr3:uid="{153CB66B-F506-4B6F-B4C5-F3B9C96E9BE1}" name="Duration (Years)" dataDxfId="116"/>
    <tableColumn id="3" xr3:uid="{C5AB6C11-B40E-406F-BA0E-A1E4B2577A01}" name="Discount" dataDxfId="115" dataCellStyle="Percent"/>
  </tableColumns>
  <tableStyleInfo name="PricelistTableStyle01"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28ECA4-B8A7-4762-A113-2A45AFB4E9C2}" name="STLDiscountPrepayment" displayName="STLDiscountPrepayment" ref="B63:C64" totalsRowShown="0" headerRowDxfId="114" dataDxfId="113">
  <autoFilter ref="B63:C64" xr:uid="{E428ECA4-B8A7-4762-A113-2A45AFB4E9C2}">
    <filterColumn colId="0" hiddenButton="1"/>
    <filterColumn colId="1" hiddenButton="1"/>
  </autoFilter>
  <tableColumns count="2">
    <tableColumn id="1" xr3:uid="{545E5788-343F-4191-AB07-8A5F343682DB}" name="Prepayment Discount" dataDxfId="112" dataCellStyle="Currency"/>
    <tableColumn id="2" xr3:uid="{1C01C457-A1A4-4D21-A99A-077C727D85AF}" name="Discount" dataDxfId="111" dataCellStyle="Percent"/>
  </tableColumns>
  <tableStyleInfo name="PricelistTableStyle01"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6B3547-5E5E-4AA0-BF82-8693954D2689}" name="STLDiscountWisePartner" displayName="STLDiscountWisePartner" ref="B84:C85" totalsRowShown="0" headerRowDxfId="110">
  <autoFilter ref="B84:C85" xr:uid="{006B3547-5E5E-4AA0-BF82-8693954D2689}">
    <filterColumn colId="0" hiddenButton="1"/>
    <filterColumn colId="1" hiddenButton="1"/>
  </autoFilter>
  <tableColumns count="2">
    <tableColumn id="1" xr3:uid="{11CAF9DA-F8B8-40B9-A94A-872EB13E8792}" name="CargoWise Industry Partner Discount" dataDxfId="109" dataCellStyle="Currency"/>
    <tableColumn id="2" xr3:uid="{E330005A-2FD0-47D0-AE7E-11FB39391D6C}" name="Discount" dataDxfId="108" dataCellStyle="Percent"/>
  </tableColumns>
  <tableStyleInfo name="PricelistTableStyle01"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EEB5701-F492-4F78-8D3B-C8B7B9747202}" name="STLDiscountCertification" displayName="STLDiscountCertification" ref="B101:C102" totalsRowShown="0" headerRowDxfId="107">
  <autoFilter ref="B101:C102" xr:uid="{2EEB5701-F492-4F78-8D3B-C8B7B9747202}">
    <filterColumn colId="0" hiddenButton="1"/>
    <filterColumn colId="1" hiddenButton="1"/>
  </autoFilter>
  <tableColumns count="2">
    <tableColumn id="1" xr3:uid="{74970267-846C-4D30-ACE9-EA08371BC67C}" name="Certified Discount"/>
    <tableColumn id="2" xr3:uid="{426B34BF-0C41-4AF1-99DE-95C1105B2EBD}" name="Discount" dataDxfId="106" dataCellStyle="Percent"/>
  </tableColumns>
  <tableStyleInfo name="PricelistTableStyle0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2-03-01T04:09:33.38" personId="{BB4CA9F8-29A5-4DBD-9CA3-C77B02D398A7}" id="{42A8DAAA-9B69-43A4-AC3F-EF258F205BB5}">
    <text>Concatenation of exchange rate group and currency. this is to uniquely identify which exchange rate to use</text>
  </threadedComment>
  <threadedComment ref="E3" dT="2022-03-01T04:09:57.96" personId="{BB4CA9F8-29A5-4DBD-9CA3-C77B02D398A7}" id="{2285AA99-1EC1-46FB-B646-A6463722554C}">
    <text>Take the exchange rate after uplift factor has been applied</text>
  </threadedComment>
  <threadedComment ref="M3" dT="2021-06-10T00:51:43.07" personId="{BB4CA9F8-29A5-4DBD-9CA3-C77B02D398A7}" id="{5B1080A8-DA1A-4AFD-A7E9-7284E2B7ACE4}">
    <text>Client Organisation &gt; License &gt; [Choose the database item for Product = CW1, Licese = PRD] &gt; STL [Choose the prices from the correct pricebook version, and within valid dates]. Select the Currency</text>
  </threadedComment>
  <threadedComment ref="N3" dT="2021-06-10T00:52:37.70" personId="{BB4CA9F8-29A5-4DBD-9CA3-C77B02D398A7}" id="{05A7D711-4A4B-473F-A0C8-540856ED3E24}">
    <text>Client Organisation &gt; License &gt; [Choose the database item for Product = CW1, License = PRD] &gt; STL [Choose the prices from the correct pricebook version, and within valid dates]. Select the 'Volume'. Would be either of HV, STD, LV</text>
  </threadedComment>
  <threadedComment ref="O3" dT="2021-06-10T00:56:40.69" personId="{BB4CA9F8-29A5-4DBD-9CA3-C77B02D398A7}" id="{250F2F55-3801-4A4B-9A28-645D4EB1C789}">
    <text>based on Volume price adjustment, choose the Vlume % fro mthe same table row of the db. For STD it is 100% , for LV or HV it can vary for clients</text>
  </threadedComment>
  <threadedComment ref="P3" dT="2021-06-10T01:17:17.26" personId="{BB4CA9F8-29A5-4DBD-9CA3-C77B02D398A7}" id="{E2EE0D50-1413-417A-84DA-45B07AC7079C}">
    <text>Only for HV, the volume % apply to specific price items and NOT the enitre pricebook. For STD and LV it applies to entir price book.
Consider this column only if Volume is HV. This column will have a comma separated list of all price codes where the HV pricing apply.
From the Client org table after selecting the correct Prices table (See the previous columns on Volume based pricing), goto the db table "Customer Settings" and choose all summary, where 'Type' is 'High Volume'. Each Summary item is depicted as 'XXX-YYY'. This maps to the Category (XXX) and Code (YYY) of a price item in the price list.</text>
  </threadedComment>
  <threadedComment ref="Q3" dT="2021-06-10T01:40:14.82" personId="{BB4CA9F8-29A5-4DBD-9CA3-C77B02D398A7}" id="{87BC7194-B239-443E-9CE4-D2523FCE93EF}">
    <text>in the same db row as "Volume Price Adjustment" core pack info is available in the "Core Pack" column. The values are INC (i.e. included), UP (if uplifted) or EX (i.e. excluded, i.e. volume discount do not apply).</text>
  </threadedComment>
  <threadedComment ref="R3" dT="2021-06-10T01:41:59.04" personId="{BB4CA9F8-29A5-4DBD-9CA3-C77B02D398A7}" id="{F278D43A-21CC-4814-A62F-C5F1D74443F0}">
    <text>When "Core Pack Excluded from Std volume discount" is 'UP', the nthe value here is relevant. Pick the value from the same row in db as "Core Pack" and use the value under "Core Uplift %".</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6-10T04:19:08.64" personId="{BB4CA9F8-29A5-4DBD-9CA3-C77B02D398A7}" id="{563A24E8-86A4-4A3D-8734-D1586FEB85C5}">
    <text>this will be used for formating, it is based on number of leading spaces before the description. on hte output .xls/pdf, the number of leading spaces is to be taken for the indentation, and formating</text>
  </threadedComment>
  <threadedComment ref="L2" dT="2021-06-10T08:24:44.10" personId="{BB4CA9F8-29A5-4DBD-9CA3-C77B02D398A7}" id="{8F5FBD87-BC17-4126-A193-2619DC1D24AD}">
    <text>This converts into Discount Units after conversion.</text>
  </threadedComment>
  <threadedComment ref="N2" dT="2021-06-11T00:12:41.96" personId="{BB4CA9F8-29A5-4DBD-9CA3-C77B02D398A7}" id="{E60E8BFF-B91F-485D-91AC-08074DCBFDBD}">
    <text>Base Price * Exchange Rate</text>
  </threadedComment>
  <threadedComment ref="O2" dT="2021-06-11T00:13:33.79" personId="{BB4CA9F8-29A5-4DBD-9CA3-C77B02D398A7}" id="{2FE7E817-5338-4995-BD81-3D017AA995A1}">
    <text>When a price line item is eligible for volume discount (Eligible For Volume Discount = "YES"), apply the voume discount and uplift factors as below, else keep the price at 100%
* Base Price in local currency * Volume adjustment Factor (based on STD/HV/LV) * Uplift Factor</text>
  </threadedComment>
  <threadedComment ref="P2" dT="2021-06-11T00:22:05.59" personId="{BB4CA9F8-29A5-4DBD-9CA3-C77B02D398A7}" id="{9F040CCF-5BE0-42AF-A3DF-C6BC686ABB8F}">
    <text>if Core pack is excluded for volume discount then charge at 100%, else;
For HV items take the Volume factor, and for LV and STD take the Volume % at teh customer level.</text>
  </threadedComment>
  <threadedComment ref="Q2" dT="2021-06-11T00:15:01.89" personId="{BB4CA9F8-29A5-4DBD-9CA3-C77B02D398A7}" id="{E9C888B1-F69C-4645-B8B8-E2CCBB9DAC0E}">
    <text>For HV clients, determines if this line item is eligible for HV discount, and determines the HV dicount factor. 
&gt;&gt; Note: Use this column only for HV clients.</text>
  </threadedComment>
  <threadedComment ref="R2" dT="2021-06-11T00:28:50.25" personId="{BB4CA9F8-29A5-4DBD-9CA3-C77B02D398A7}" id="{8D6F4ECC-0186-4F61-8D67-0D90453779B4}">
    <text>if there is an uplift (Core pack = UP), then apply the uplift factor, else keep it 100% (1)</text>
  </threadedComment>
  <threadedComment ref="S2" dT="2021-06-10T08:29:44.05" personId="{BB4CA9F8-29A5-4DBD-9CA3-C77B02D398A7}" id="{6C51FCFE-3B63-4B7F-8B22-E32E4F82300D}">
    <text>This is always in USD, so the License unit does not need exchange rate update.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6" dT="2021-06-10T04:19:08.64" personId="{BB4CA9F8-29A5-4DBD-9CA3-C77B02D398A7}" id="{1927A43E-6E45-4451-886E-1EAD7A6166F0}">
    <text>this will be used for formating, it is based on number of leading spaces before the description. on hte output .xls/pdf, the number of leading spaces is to be taken for the indentation, and formating</text>
  </threadedComment>
  <threadedComment ref="J6" dT="2021-06-10T08:24:44.10" personId="{BB4CA9F8-29A5-4DBD-9CA3-C77B02D398A7}" id="{30F37C59-5F96-435C-8671-1B8450E5E2E1}">
    <text>This converts into Discount Units after conversion.</text>
  </threadedComment>
  <threadedComment ref="L6" dT="2021-06-10T08:29:44.05" personId="{BB4CA9F8-29A5-4DBD-9CA3-C77B02D398A7}" id="{EBB26D46-A5E7-4E6A-A040-5C3B015C1ED1}">
    <text>This is always in USD, so the License unit does not need exchange rate update.</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7.vml"/><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3039-5FF7-4204-956D-61745D2D9E7F}">
  <sheetPr codeName="Sheet1"/>
  <dimension ref="B2:E15"/>
  <sheetViews>
    <sheetView tabSelected="1" zoomScaleNormal="100" workbookViewId="0">
      <selection activeCell="I9" sqref="I9"/>
    </sheetView>
  </sheetViews>
  <sheetFormatPr defaultColWidth="9" defaultRowHeight="14.6" x14ac:dyDescent="0.4"/>
  <cols>
    <col min="1" max="1" width="9" style="122"/>
    <col min="2" max="2" width="13.61328125" style="122" customWidth="1"/>
    <col min="3" max="3" width="50" style="122" customWidth="1"/>
    <col min="4" max="4" width="18.15234375" style="122" customWidth="1"/>
    <col min="5" max="5" width="12.61328125" style="122" customWidth="1"/>
    <col min="6" max="16384" width="9" style="122"/>
  </cols>
  <sheetData>
    <row r="2" spans="2:5" x14ac:dyDescent="0.4">
      <c r="B2" s="234" t="s">
        <v>802</v>
      </c>
      <c r="C2" s="234" t="s">
        <v>799</v>
      </c>
      <c r="D2" s="234" t="s">
        <v>801</v>
      </c>
      <c r="E2" s="234" t="s">
        <v>800</v>
      </c>
    </row>
    <row r="3" spans="2:5" ht="99.45" x14ac:dyDescent="0.4">
      <c r="B3" s="194">
        <v>1.1000000000000001</v>
      </c>
      <c r="C3" s="194" t="s">
        <v>805</v>
      </c>
      <c r="D3" s="194" t="s">
        <v>803</v>
      </c>
      <c r="E3" s="235">
        <v>44817</v>
      </c>
    </row>
    <row r="4" spans="2:5" ht="24.9" x14ac:dyDescent="0.4">
      <c r="B4" s="213">
        <v>1.2</v>
      </c>
      <c r="C4" s="213" t="s">
        <v>804</v>
      </c>
      <c r="D4" s="213" t="s">
        <v>803</v>
      </c>
      <c r="E4" s="235">
        <v>44817</v>
      </c>
    </row>
    <row r="5" spans="2:5" ht="24.9" x14ac:dyDescent="0.4">
      <c r="B5" s="243">
        <v>1.3</v>
      </c>
      <c r="C5" s="243" t="s">
        <v>821</v>
      </c>
      <c r="D5" s="243" t="s">
        <v>822</v>
      </c>
      <c r="E5" s="235">
        <v>44820</v>
      </c>
    </row>
    <row r="6" spans="2:5" x14ac:dyDescent="0.4">
      <c r="B6" s="243">
        <v>1.4</v>
      </c>
      <c r="C6" s="243" t="s">
        <v>823</v>
      </c>
      <c r="D6" s="243" t="s">
        <v>803</v>
      </c>
      <c r="E6" s="235">
        <v>44820</v>
      </c>
    </row>
    <row r="7" spans="2:5" ht="24.9" x14ac:dyDescent="0.4">
      <c r="B7" s="244">
        <v>1.5</v>
      </c>
      <c r="C7" s="244" t="s">
        <v>824</v>
      </c>
      <c r="D7" s="244" t="s">
        <v>822</v>
      </c>
      <c r="E7" s="235">
        <v>44844</v>
      </c>
    </row>
    <row r="8" spans="2:5" ht="24.9" x14ac:dyDescent="0.4">
      <c r="B8" s="294">
        <v>1.6</v>
      </c>
      <c r="C8" s="294" t="s">
        <v>825</v>
      </c>
      <c r="D8" s="294" t="s">
        <v>803</v>
      </c>
      <c r="E8" s="235">
        <v>44844</v>
      </c>
    </row>
    <row r="9" spans="2:5" ht="24.9" x14ac:dyDescent="0.4">
      <c r="B9" s="295">
        <v>1.8</v>
      </c>
      <c r="C9" s="295" t="s">
        <v>857</v>
      </c>
      <c r="D9" s="295" t="s">
        <v>856</v>
      </c>
      <c r="E9" s="235">
        <v>44960</v>
      </c>
    </row>
    <row r="10" spans="2:5" ht="24.9" x14ac:dyDescent="0.4">
      <c r="B10" s="295">
        <v>1.8</v>
      </c>
      <c r="C10" s="295" t="s">
        <v>858</v>
      </c>
      <c r="D10" s="295" t="s">
        <v>856</v>
      </c>
      <c r="E10" s="235">
        <v>44960</v>
      </c>
    </row>
    <row r="11" spans="2:5" ht="37.299999999999997" x14ac:dyDescent="0.4">
      <c r="B11" s="295">
        <v>1.8</v>
      </c>
      <c r="C11" s="295" t="s">
        <v>864</v>
      </c>
      <c r="D11" s="295" t="s">
        <v>856</v>
      </c>
      <c r="E11" s="235">
        <v>44960</v>
      </c>
    </row>
    <row r="12" spans="2:5" ht="24.9" x14ac:dyDescent="0.4">
      <c r="B12" s="295">
        <v>1.8</v>
      </c>
      <c r="C12" s="295" t="s">
        <v>880</v>
      </c>
      <c r="D12" s="295" t="s">
        <v>856</v>
      </c>
      <c r="E12" s="235">
        <v>44960</v>
      </c>
    </row>
    <row r="13" spans="2:5" ht="24.9" x14ac:dyDescent="0.4">
      <c r="B13" s="295">
        <v>1.8</v>
      </c>
      <c r="C13" s="295" t="s">
        <v>871</v>
      </c>
      <c r="D13" s="295" t="s">
        <v>856</v>
      </c>
      <c r="E13" s="235">
        <v>44960</v>
      </c>
    </row>
    <row r="14" spans="2:5" ht="37.299999999999997" x14ac:dyDescent="0.4">
      <c r="B14" s="295">
        <v>1.8</v>
      </c>
      <c r="C14" s="295" t="s">
        <v>881</v>
      </c>
      <c r="D14" s="295" t="s">
        <v>856</v>
      </c>
      <c r="E14" s="235">
        <v>44960</v>
      </c>
    </row>
    <row r="15" spans="2:5" ht="37.299999999999997" x14ac:dyDescent="0.4">
      <c r="B15" s="295">
        <v>1.8</v>
      </c>
      <c r="C15" s="295" t="s">
        <v>882</v>
      </c>
      <c r="D15" s="295" t="s">
        <v>856</v>
      </c>
      <c r="E15" s="235">
        <v>44960</v>
      </c>
    </row>
  </sheetData>
  <pageMargins left="0.7" right="0.7" top="0.75" bottom="0.75" header="0.3" footer="0.3"/>
  <pageSetup scale="8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A169-C1EA-457A-96DA-ED37A3CF4339}">
  <sheetPr codeName="Sheet2"/>
  <dimension ref="B2:S85"/>
  <sheetViews>
    <sheetView workbookViewId="0">
      <selection activeCell="R5" sqref="R5"/>
    </sheetView>
  </sheetViews>
  <sheetFormatPr defaultRowHeight="14.6" x14ac:dyDescent="0.4"/>
  <sheetData>
    <row r="2" spans="2:19" x14ac:dyDescent="0.4">
      <c r="B2" t="s">
        <v>721</v>
      </c>
      <c r="I2" s="33" t="s">
        <v>722</v>
      </c>
    </row>
    <row r="3" spans="2:19" x14ac:dyDescent="0.4">
      <c r="B3" t="s">
        <v>687</v>
      </c>
      <c r="C3" t="s">
        <v>23</v>
      </c>
      <c r="D3" t="s">
        <v>720</v>
      </c>
      <c r="E3" t="s">
        <v>17</v>
      </c>
      <c r="I3" s="8" t="s">
        <v>25</v>
      </c>
      <c r="J3" s="8" t="s">
        <v>24</v>
      </c>
      <c r="K3" s="4" t="s">
        <v>686</v>
      </c>
      <c r="L3" s="4" t="s">
        <v>723</v>
      </c>
      <c r="M3" s="4" t="s">
        <v>23</v>
      </c>
      <c r="N3" s="6" t="s">
        <v>22</v>
      </c>
      <c r="O3" s="6" t="s">
        <v>21</v>
      </c>
      <c r="P3" s="6" t="s">
        <v>20</v>
      </c>
      <c r="Q3" s="5" t="s">
        <v>19</v>
      </c>
      <c r="R3" s="5" t="s">
        <v>18</v>
      </c>
      <c r="S3" s="4" t="s">
        <v>379</v>
      </c>
    </row>
    <row r="4" spans="2:19" x14ac:dyDescent="0.4">
      <c r="B4" s="98" t="s">
        <v>713</v>
      </c>
      <c r="C4" s="98" t="s">
        <v>16</v>
      </c>
      <c r="D4" t="str">
        <f>_xlfn.CONCAT(ClientPriceExRate[[#This Row],[Exchange Rate Group]:[Currency]])</f>
        <v>20.10AUD</v>
      </c>
      <c r="E4" s="98">
        <v>1.39666</v>
      </c>
      <c r="I4" s="11"/>
      <c r="J4" s="11"/>
      <c r="K4" s="9"/>
      <c r="L4" s="9"/>
      <c r="M4" s="9" t="s">
        <v>16</v>
      </c>
      <c r="N4" s="9" t="s">
        <v>873</v>
      </c>
      <c r="O4" s="10">
        <v>150</v>
      </c>
      <c r="P4" s="9"/>
      <c r="Q4" s="9" t="s">
        <v>875</v>
      </c>
      <c r="R4" s="9">
        <v>0</v>
      </c>
      <c r="S4" s="25" t="s">
        <v>874</v>
      </c>
    </row>
    <row r="5" spans="2:19" x14ac:dyDescent="0.4">
      <c r="B5" s="98" t="s">
        <v>713</v>
      </c>
      <c r="C5" s="98" t="s">
        <v>55</v>
      </c>
      <c r="D5" t="str">
        <f>_xlfn.CONCAT(ClientPriceExRate[[#This Row],[Exchange Rate Group]:[Currency]])</f>
        <v>20.10USD</v>
      </c>
      <c r="E5" s="98">
        <v>1</v>
      </c>
    </row>
    <row r="6" spans="2:19" x14ac:dyDescent="0.4">
      <c r="B6" s="98" t="s">
        <v>713</v>
      </c>
      <c r="C6" s="98" t="s">
        <v>714</v>
      </c>
      <c r="D6" t="str">
        <f>_xlfn.CONCAT(ClientPriceExRate[[#This Row],[Exchange Rate Group]:[Currency]])</f>
        <v>20.10EUR</v>
      </c>
      <c r="E6" s="98">
        <v>0.84965999999999997</v>
      </c>
    </row>
    <row r="7" spans="2:19" x14ac:dyDescent="0.4">
      <c r="B7" s="98" t="s">
        <v>713</v>
      </c>
      <c r="C7" s="98" t="s">
        <v>715</v>
      </c>
      <c r="D7" t="str">
        <f>_xlfn.CONCAT(ClientPriceExRate[[#This Row],[Exchange Rate Group]:[Currency]])</f>
        <v>20.10GBP</v>
      </c>
      <c r="E7" s="98">
        <v>0.76865000000000006</v>
      </c>
    </row>
    <row r="8" spans="2:19" x14ac:dyDescent="0.4">
      <c r="B8" s="98" t="s">
        <v>713</v>
      </c>
      <c r="C8" s="98" t="s">
        <v>716</v>
      </c>
      <c r="D8" t="str">
        <f>_xlfn.CONCAT(ClientPriceExRate[[#This Row],[Exchange Rate Group]:[Currency]])</f>
        <v>20.10SGD</v>
      </c>
      <c r="E8" s="98">
        <v>1.3746799999999999</v>
      </c>
    </row>
    <row r="9" spans="2:19" x14ac:dyDescent="0.4">
      <c r="B9" s="98" t="s">
        <v>713</v>
      </c>
      <c r="C9" s="98" t="s">
        <v>66</v>
      </c>
      <c r="D9" t="str">
        <f>_xlfn.CONCAT(ClientPriceExRate[[#This Row],[Exchange Rate Group]:[Currency]])</f>
        <v>20.10ZAR</v>
      </c>
      <c r="E9" s="98">
        <v>17.115500000000001</v>
      </c>
    </row>
    <row r="10" spans="2:19" x14ac:dyDescent="0.4">
      <c r="B10" s="98" t="s">
        <v>713</v>
      </c>
      <c r="C10" s="98" t="s">
        <v>44</v>
      </c>
      <c r="D10" t="str">
        <f>_xlfn.CONCAT(ClientPriceExRate[[#This Row],[Exchange Rate Group]:[Currency]])</f>
        <v>20.10NZD</v>
      </c>
      <c r="E10" s="98">
        <v>1.51152</v>
      </c>
    </row>
    <row r="11" spans="2:19" x14ac:dyDescent="0.4">
      <c r="B11" s="98" t="s">
        <v>713</v>
      </c>
      <c r="C11" s="98" t="s">
        <v>717</v>
      </c>
      <c r="D11" t="str">
        <f>_xlfn.CONCAT(ClientPriceExRate[[#This Row],[Exchange Rate Group]:[Currency]])</f>
        <v>20.10CAD</v>
      </c>
      <c r="E11" s="98">
        <v>1.33385</v>
      </c>
    </row>
    <row r="12" spans="2:19" x14ac:dyDescent="0.4">
      <c r="B12" s="98" t="s">
        <v>713</v>
      </c>
      <c r="C12" s="98" t="s">
        <v>718</v>
      </c>
      <c r="D12" t="str">
        <f>_xlfn.CONCAT(ClientPriceExRate[[#This Row],[Exchange Rate Group]:[Currency]])</f>
        <v>20.10CNY</v>
      </c>
      <c r="E12" s="98">
        <v>6.9717500000000001</v>
      </c>
    </row>
    <row r="13" spans="2:19" x14ac:dyDescent="0.4">
      <c r="B13" s="98" t="s">
        <v>713</v>
      </c>
      <c r="C13" s="98" t="s">
        <v>380</v>
      </c>
      <c r="D13" t="str">
        <f>_xlfn.CONCAT(ClientPriceExRate[[#This Row],[Exchange Rate Group]:[Currency]])</f>
        <v>20.10TWD</v>
      </c>
      <c r="E13" s="98">
        <v>29.375800000000002</v>
      </c>
    </row>
    <row r="14" spans="2:19" x14ac:dyDescent="0.4">
      <c r="B14" s="98" t="s">
        <v>713</v>
      </c>
      <c r="C14" s="98" t="s">
        <v>719</v>
      </c>
      <c r="D14" t="str">
        <f>_xlfn.CONCAT(ClientPriceExRate[[#This Row],[Exchange Rate Group]:[Currency]])</f>
        <v>20.10HKD</v>
      </c>
      <c r="E14" s="98">
        <v>7.7506199999999996</v>
      </c>
    </row>
    <row r="15" spans="2:19" x14ac:dyDescent="0.4">
      <c r="B15" s="98" t="s">
        <v>485</v>
      </c>
      <c r="C15" s="98" t="s">
        <v>16</v>
      </c>
      <c r="D15" t="str">
        <f>_xlfn.CONCAT(ClientPriceExRate[[#This Row],[Exchange Rate Group]:[Currency]])</f>
        <v>GTMAUD</v>
      </c>
      <c r="E15" s="98">
        <v>1.39666</v>
      </c>
    </row>
    <row r="16" spans="2:19" x14ac:dyDescent="0.4">
      <c r="B16" s="98" t="s">
        <v>485</v>
      </c>
      <c r="C16" s="98" t="s">
        <v>55</v>
      </c>
      <c r="D16" t="str">
        <f>_xlfn.CONCAT(ClientPriceExRate[[#This Row],[Exchange Rate Group]:[Currency]])</f>
        <v>GTMUSD</v>
      </c>
      <c r="E16" s="98">
        <v>1</v>
      </c>
    </row>
    <row r="17" spans="2:5" x14ac:dyDescent="0.4">
      <c r="B17" s="98" t="s">
        <v>485</v>
      </c>
      <c r="C17" s="98" t="s">
        <v>714</v>
      </c>
      <c r="D17" t="str">
        <f>_xlfn.CONCAT(ClientPriceExRate[[#This Row],[Exchange Rate Group]:[Currency]])</f>
        <v>GTMEUR</v>
      </c>
      <c r="E17" s="98">
        <v>0.84828000000000003</v>
      </c>
    </row>
    <row r="18" spans="2:5" x14ac:dyDescent="0.4">
      <c r="B18" s="98" t="s">
        <v>485</v>
      </c>
      <c r="C18" s="98" t="s">
        <v>715</v>
      </c>
      <c r="D18" t="str">
        <f>_xlfn.CONCAT(ClientPriceExRate[[#This Row],[Exchange Rate Group]:[Currency]])</f>
        <v>GTMGBP</v>
      </c>
      <c r="E18" s="98">
        <v>0.76529999999999998</v>
      </c>
    </row>
    <row r="19" spans="2:5" x14ac:dyDescent="0.4">
      <c r="B19" s="98" t="s">
        <v>485</v>
      </c>
      <c r="C19" s="98" t="s">
        <v>716</v>
      </c>
      <c r="D19" t="str">
        <f>_xlfn.CONCAT(ClientPriceExRate[[#This Row],[Exchange Rate Group]:[Currency]])</f>
        <v>GTMSGD</v>
      </c>
      <c r="E19" s="98">
        <v>1.3557699999999999</v>
      </c>
    </row>
    <row r="20" spans="2:5" x14ac:dyDescent="0.4">
      <c r="B20" s="98" t="s">
        <v>485</v>
      </c>
      <c r="C20" s="98" t="s">
        <v>66</v>
      </c>
      <c r="D20" t="str">
        <f>_xlfn.CONCAT(ClientPriceExRate[[#This Row],[Exchange Rate Group]:[Currency]])</f>
        <v>GTMZAR</v>
      </c>
      <c r="E20" s="98">
        <v>15.995200000000001</v>
      </c>
    </row>
    <row r="21" spans="2:5" x14ac:dyDescent="0.4">
      <c r="B21" s="98" t="s">
        <v>485</v>
      </c>
      <c r="C21" s="98" t="s">
        <v>44</v>
      </c>
      <c r="D21" t="str">
        <f>_xlfn.CONCAT(ClientPriceExRate[[#This Row],[Exchange Rate Group]:[Currency]])</f>
        <v>GTMNZD</v>
      </c>
      <c r="E21" s="98">
        <v>1.4887900000000001</v>
      </c>
    </row>
    <row r="22" spans="2:5" x14ac:dyDescent="0.4">
      <c r="B22" s="98" t="s">
        <v>485</v>
      </c>
      <c r="C22" s="98" t="s">
        <v>717</v>
      </c>
      <c r="D22" t="str">
        <f>_xlfn.CONCAT(ClientPriceExRate[[#This Row],[Exchange Rate Group]:[Currency]])</f>
        <v>GTMCAD</v>
      </c>
      <c r="E22" s="98">
        <v>1.31538</v>
      </c>
    </row>
    <row r="23" spans="2:5" x14ac:dyDescent="0.4">
      <c r="B23" s="98" t="s">
        <v>485</v>
      </c>
      <c r="C23" s="98" t="s">
        <v>718</v>
      </c>
      <c r="D23" t="str">
        <f>_xlfn.CONCAT(ClientPriceExRate[[#This Row],[Exchange Rate Group]:[Currency]])</f>
        <v>GTMCNY</v>
      </c>
      <c r="E23" s="98">
        <v>6.6590299999999996</v>
      </c>
    </row>
    <row r="24" spans="2:5" x14ac:dyDescent="0.4">
      <c r="B24" s="98" t="s">
        <v>485</v>
      </c>
      <c r="C24" s="98" t="s">
        <v>380</v>
      </c>
      <c r="D24" t="str">
        <f>_xlfn.CONCAT(ClientPriceExRate[[#This Row],[Exchange Rate Group]:[Currency]])</f>
        <v>GTMTWD</v>
      </c>
      <c r="E24" s="98">
        <v>28.595400000000001</v>
      </c>
    </row>
    <row r="25" spans="2:5" x14ac:dyDescent="0.4">
      <c r="B25" s="98" t="s">
        <v>485</v>
      </c>
      <c r="C25" s="98" t="s">
        <v>719</v>
      </c>
      <c r="D25" t="str">
        <f>_xlfn.CONCAT(ClientPriceExRate[[#This Row],[Exchange Rate Group]:[Currency]])</f>
        <v>GTMHKD</v>
      </c>
      <c r="E25" s="98">
        <v>7.7506199999999996</v>
      </c>
    </row>
    <row r="26" spans="2:5" x14ac:dyDescent="0.4">
      <c r="B26" s="98" t="s">
        <v>688</v>
      </c>
      <c r="C26" s="98" t="s">
        <v>16</v>
      </c>
      <c r="D26" t="str">
        <f>_xlfn.CONCAT(ClientPriceExRate[[#This Row],[Exchange Rate Group]:[Currency]])</f>
        <v>LDAASAUD</v>
      </c>
      <c r="E26" s="98">
        <v>1.39666</v>
      </c>
    </row>
    <row r="27" spans="2:5" x14ac:dyDescent="0.4">
      <c r="B27" s="98" t="s">
        <v>688</v>
      </c>
      <c r="C27" s="98" t="s">
        <v>55</v>
      </c>
      <c r="D27" t="str">
        <f>_xlfn.CONCAT(ClientPriceExRate[[#This Row],[Exchange Rate Group]:[Currency]])</f>
        <v>LDAASUSD</v>
      </c>
      <c r="E27" s="98">
        <v>1</v>
      </c>
    </row>
    <row r="28" spans="2:5" x14ac:dyDescent="0.4">
      <c r="B28" s="98" t="s">
        <v>688</v>
      </c>
      <c r="C28" s="98" t="s">
        <v>714</v>
      </c>
      <c r="D28" t="str">
        <f>_xlfn.CONCAT(ClientPriceExRate[[#This Row],[Exchange Rate Group]:[Currency]])</f>
        <v>LDAASEUR</v>
      </c>
      <c r="E28" s="98">
        <v>0.84828000000000003</v>
      </c>
    </row>
    <row r="29" spans="2:5" x14ac:dyDescent="0.4">
      <c r="B29" s="98" t="s">
        <v>688</v>
      </c>
      <c r="C29" s="98" t="s">
        <v>715</v>
      </c>
      <c r="D29" t="str">
        <f>_xlfn.CONCAT(ClientPriceExRate[[#This Row],[Exchange Rate Group]:[Currency]])</f>
        <v>LDAASGBP</v>
      </c>
      <c r="E29" s="98">
        <v>0.76529999999999998</v>
      </c>
    </row>
    <row r="30" spans="2:5" x14ac:dyDescent="0.4">
      <c r="B30" s="98" t="s">
        <v>688</v>
      </c>
      <c r="C30" s="98" t="s">
        <v>716</v>
      </c>
      <c r="D30" t="str">
        <f>_xlfn.CONCAT(ClientPriceExRate[[#This Row],[Exchange Rate Group]:[Currency]])</f>
        <v>LDAASSGD</v>
      </c>
      <c r="E30" s="98">
        <v>1.3557699999999999</v>
      </c>
    </row>
    <row r="31" spans="2:5" x14ac:dyDescent="0.4">
      <c r="B31" s="98" t="s">
        <v>688</v>
      </c>
      <c r="C31" s="98" t="s">
        <v>66</v>
      </c>
      <c r="D31" t="str">
        <f>_xlfn.CONCAT(ClientPriceExRate[[#This Row],[Exchange Rate Group]:[Currency]])</f>
        <v>LDAASZAR</v>
      </c>
      <c r="E31" s="98">
        <v>15.995200000000001</v>
      </c>
    </row>
    <row r="32" spans="2:5" x14ac:dyDescent="0.4">
      <c r="B32" s="98" t="s">
        <v>688</v>
      </c>
      <c r="C32" s="98" t="s">
        <v>44</v>
      </c>
      <c r="D32" t="str">
        <f>_xlfn.CONCAT(ClientPriceExRate[[#This Row],[Exchange Rate Group]:[Currency]])</f>
        <v>LDAASNZD</v>
      </c>
      <c r="E32" s="98">
        <v>1.4887900000000001</v>
      </c>
    </row>
    <row r="33" spans="2:5" x14ac:dyDescent="0.4">
      <c r="B33" s="98" t="s">
        <v>688</v>
      </c>
      <c r="C33" s="98" t="s">
        <v>717</v>
      </c>
      <c r="D33" t="str">
        <f>_xlfn.CONCAT(ClientPriceExRate[[#This Row],[Exchange Rate Group]:[Currency]])</f>
        <v>LDAASCAD</v>
      </c>
      <c r="E33" s="98">
        <v>1.31538</v>
      </c>
    </row>
    <row r="34" spans="2:5" x14ac:dyDescent="0.4">
      <c r="B34" s="98" t="s">
        <v>688</v>
      </c>
      <c r="C34" s="98" t="s">
        <v>718</v>
      </c>
      <c r="D34" t="str">
        <f>_xlfn.CONCAT(ClientPriceExRate[[#This Row],[Exchange Rate Group]:[Currency]])</f>
        <v>LDAASCNY</v>
      </c>
      <c r="E34" s="98">
        <v>6.6590299999999996</v>
      </c>
    </row>
    <row r="35" spans="2:5" x14ac:dyDescent="0.4">
      <c r="B35" s="98" t="s">
        <v>688</v>
      </c>
      <c r="C35" s="98" t="s">
        <v>380</v>
      </c>
      <c r="D35" t="str">
        <f>_xlfn.CONCAT(ClientPriceExRate[[#This Row],[Exchange Rate Group]:[Currency]])</f>
        <v>LDAASTWD</v>
      </c>
      <c r="E35" s="98">
        <v>28.595400000000001</v>
      </c>
    </row>
    <row r="36" spans="2:5" x14ac:dyDescent="0.4">
      <c r="B36" s="98" t="s">
        <v>688</v>
      </c>
      <c r="C36" s="98" t="s">
        <v>719</v>
      </c>
      <c r="D36" t="str">
        <f>_xlfn.CONCAT(ClientPriceExRate[[#This Row],[Exchange Rate Group]:[Currency]])</f>
        <v>LDAASHKD</v>
      </c>
      <c r="E36" s="98">
        <v>7.7506199999999996</v>
      </c>
    </row>
    <row r="37" spans="2:5" x14ac:dyDescent="0.4">
      <c r="B37" s="98" t="s">
        <v>87</v>
      </c>
      <c r="C37" s="98" t="s">
        <v>16</v>
      </c>
      <c r="D37" t="str">
        <f>_xlfn.CONCAT(ClientPriceExRate[[#This Row],[Exchange Rate Group]:[Currency]])</f>
        <v>STLAUD</v>
      </c>
      <c r="E37" s="98">
        <v>1.39666</v>
      </c>
    </row>
    <row r="38" spans="2:5" x14ac:dyDescent="0.4">
      <c r="B38" s="98" t="s">
        <v>87</v>
      </c>
      <c r="C38" s="98" t="s">
        <v>55</v>
      </c>
      <c r="D38" t="str">
        <f>_xlfn.CONCAT(ClientPriceExRate[[#This Row],[Exchange Rate Group]:[Currency]])</f>
        <v>STLUSD</v>
      </c>
      <c r="E38" s="98">
        <v>1</v>
      </c>
    </row>
    <row r="39" spans="2:5" x14ac:dyDescent="0.4">
      <c r="B39" s="98" t="s">
        <v>87</v>
      </c>
      <c r="C39" s="98" t="s">
        <v>714</v>
      </c>
      <c r="D39" t="str">
        <f>_xlfn.CONCAT(ClientPriceExRate[[#This Row],[Exchange Rate Group]:[Currency]])</f>
        <v>STLEUR</v>
      </c>
      <c r="E39" s="98">
        <v>0.84828000000000003</v>
      </c>
    </row>
    <row r="40" spans="2:5" x14ac:dyDescent="0.4">
      <c r="B40" s="98" t="s">
        <v>87</v>
      </c>
      <c r="C40" s="98" t="s">
        <v>715</v>
      </c>
      <c r="D40" t="str">
        <f>_xlfn.CONCAT(ClientPriceExRate[[#This Row],[Exchange Rate Group]:[Currency]])</f>
        <v>STLGBP</v>
      </c>
      <c r="E40" s="98">
        <v>0.76529999999999998</v>
      </c>
    </row>
    <row r="41" spans="2:5" x14ac:dyDescent="0.4">
      <c r="B41" s="98" t="s">
        <v>87</v>
      </c>
      <c r="C41" s="98" t="s">
        <v>716</v>
      </c>
      <c r="D41" t="str">
        <f>_xlfn.CONCAT(ClientPriceExRate[[#This Row],[Exchange Rate Group]:[Currency]])</f>
        <v>STLSGD</v>
      </c>
      <c r="E41" s="98">
        <v>1.3557699999999999</v>
      </c>
    </row>
    <row r="42" spans="2:5" x14ac:dyDescent="0.4">
      <c r="B42" s="98" t="s">
        <v>87</v>
      </c>
      <c r="C42" s="98" t="s">
        <v>66</v>
      </c>
      <c r="D42" t="str">
        <f>_xlfn.CONCAT(ClientPriceExRate[[#This Row],[Exchange Rate Group]:[Currency]])</f>
        <v>STLZAR</v>
      </c>
      <c r="E42" s="98">
        <v>15.995200000000001</v>
      </c>
    </row>
    <row r="43" spans="2:5" x14ac:dyDescent="0.4">
      <c r="B43" s="98" t="s">
        <v>87</v>
      </c>
      <c r="C43" s="98" t="s">
        <v>44</v>
      </c>
      <c r="D43" t="str">
        <f>_xlfn.CONCAT(ClientPriceExRate[[#This Row],[Exchange Rate Group]:[Currency]])</f>
        <v>STLNZD</v>
      </c>
      <c r="E43" s="98">
        <v>1.4887900000000001</v>
      </c>
    </row>
    <row r="44" spans="2:5" x14ac:dyDescent="0.4">
      <c r="B44" s="98" t="s">
        <v>87</v>
      </c>
      <c r="C44" s="98" t="s">
        <v>717</v>
      </c>
      <c r="D44" t="str">
        <f>_xlfn.CONCAT(ClientPriceExRate[[#This Row],[Exchange Rate Group]:[Currency]])</f>
        <v>STLCAD</v>
      </c>
      <c r="E44" s="98">
        <v>1.31538</v>
      </c>
    </row>
    <row r="45" spans="2:5" x14ac:dyDescent="0.4">
      <c r="B45" s="98" t="s">
        <v>87</v>
      </c>
      <c r="C45" s="98" t="s">
        <v>718</v>
      </c>
      <c r="D45" t="str">
        <f>_xlfn.CONCAT(ClientPriceExRate[[#This Row],[Exchange Rate Group]:[Currency]])</f>
        <v>STLCNY</v>
      </c>
      <c r="E45" s="98">
        <v>6.6590299999999996</v>
      </c>
    </row>
    <row r="46" spans="2:5" x14ac:dyDescent="0.4">
      <c r="B46" s="98" t="s">
        <v>87</v>
      </c>
      <c r="C46" s="98" t="s">
        <v>380</v>
      </c>
      <c r="D46" t="str">
        <f>_xlfn.CONCAT(ClientPriceExRate[[#This Row],[Exchange Rate Group]:[Currency]])</f>
        <v>STLTWD</v>
      </c>
      <c r="E46" s="98">
        <v>28.595400000000001</v>
      </c>
    </row>
    <row r="47" spans="2:5" x14ac:dyDescent="0.4">
      <c r="B47" s="98" t="s">
        <v>87</v>
      </c>
      <c r="C47" s="98" t="s">
        <v>719</v>
      </c>
      <c r="D47" t="str">
        <f>_xlfn.CONCAT(ClientPriceExRate[[#This Row],[Exchange Rate Group]:[Currency]])</f>
        <v>STLHKD</v>
      </c>
      <c r="E47" s="98">
        <v>7.7506199999999996</v>
      </c>
    </row>
    <row r="48" spans="2:5" x14ac:dyDescent="0.4">
      <c r="B48" s="98" t="s">
        <v>711</v>
      </c>
      <c r="C48" s="98" t="s">
        <v>16</v>
      </c>
      <c r="D48" t="str">
        <f>_xlfn.CONCAT(ClientPriceExRate[[#This Row],[Exchange Rate Group]:[Currency]])</f>
        <v>21.04AUD</v>
      </c>
      <c r="E48" s="98">
        <v>1.339</v>
      </c>
    </row>
    <row r="49" spans="2:5" x14ac:dyDescent="0.4">
      <c r="B49" s="98" t="s">
        <v>711</v>
      </c>
      <c r="C49" s="98" t="s">
        <v>55</v>
      </c>
      <c r="D49" t="str">
        <f>_xlfn.CONCAT(ClientPriceExRate[[#This Row],[Exchange Rate Group]:[Currency]])</f>
        <v>21.04USD</v>
      </c>
      <c r="E49" s="98">
        <v>1</v>
      </c>
    </row>
    <row r="50" spans="2:5" x14ac:dyDescent="0.4">
      <c r="B50" s="98" t="s">
        <v>711</v>
      </c>
      <c r="C50" s="98" t="s">
        <v>714</v>
      </c>
      <c r="D50" t="str">
        <f>_xlfn.CONCAT(ClientPriceExRate[[#This Row],[Exchange Rate Group]:[Currency]])</f>
        <v>21.04EUR</v>
      </c>
      <c r="E50" s="98">
        <v>0.84828000000000003</v>
      </c>
    </row>
    <row r="51" spans="2:5" x14ac:dyDescent="0.4">
      <c r="B51" s="98" t="s">
        <v>711</v>
      </c>
      <c r="C51" s="98" t="s">
        <v>715</v>
      </c>
      <c r="D51" t="str">
        <f>_xlfn.CONCAT(ClientPriceExRate[[#This Row],[Exchange Rate Group]:[Currency]])</f>
        <v>21.04GBP</v>
      </c>
      <c r="E51" s="98">
        <v>0.75166299999999997</v>
      </c>
    </row>
    <row r="52" spans="2:5" x14ac:dyDescent="0.4">
      <c r="B52" s="98" t="s">
        <v>711</v>
      </c>
      <c r="C52" s="98" t="s">
        <v>716</v>
      </c>
      <c r="D52" t="str">
        <f>_xlfn.CONCAT(ClientPriceExRate[[#This Row],[Exchange Rate Group]:[Currency]])</f>
        <v>21.04SGD</v>
      </c>
      <c r="E52" s="98">
        <v>1.3557699999999999</v>
      </c>
    </row>
    <row r="53" spans="2:5" x14ac:dyDescent="0.4">
      <c r="B53" s="98" t="s">
        <v>711</v>
      </c>
      <c r="C53" s="98" t="s">
        <v>66</v>
      </c>
      <c r="D53" t="str">
        <f>_xlfn.CONCAT(ClientPriceExRate[[#This Row],[Exchange Rate Group]:[Currency]])</f>
        <v>21.04ZAR</v>
      </c>
      <c r="E53" s="98">
        <v>15.453677000000001</v>
      </c>
    </row>
    <row r="54" spans="2:5" x14ac:dyDescent="0.4">
      <c r="B54" s="98" t="s">
        <v>711</v>
      </c>
      <c r="C54" s="98" t="s">
        <v>44</v>
      </c>
      <c r="D54" t="str">
        <f>_xlfn.CONCAT(ClientPriceExRate[[#This Row],[Exchange Rate Group]:[Currency]])</f>
        <v>21.04NZD</v>
      </c>
      <c r="E54" s="98">
        <v>1.4331210000000001</v>
      </c>
    </row>
    <row r="55" spans="2:5" x14ac:dyDescent="0.4">
      <c r="B55" s="98" t="s">
        <v>711</v>
      </c>
      <c r="C55" s="98" t="s">
        <v>717</v>
      </c>
      <c r="D55" t="str">
        <f>_xlfn.CONCAT(ClientPriceExRate[[#This Row],[Exchange Rate Group]:[Currency]])</f>
        <v>21.04CAD</v>
      </c>
      <c r="E55" s="98">
        <v>1.312797</v>
      </c>
    </row>
    <row r="56" spans="2:5" x14ac:dyDescent="0.4">
      <c r="B56" s="98" t="s">
        <v>711</v>
      </c>
      <c r="C56" s="98" t="s">
        <v>718</v>
      </c>
      <c r="D56" t="str">
        <f>_xlfn.CONCAT(ClientPriceExRate[[#This Row],[Exchange Rate Group]:[Currency]])</f>
        <v>21.04CNY</v>
      </c>
      <c r="E56" s="98">
        <v>6.6590299999999996</v>
      </c>
    </row>
    <row r="57" spans="2:5" x14ac:dyDescent="0.4">
      <c r="B57" s="98" t="s">
        <v>711</v>
      </c>
      <c r="C57" s="98" t="s">
        <v>380</v>
      </c>
      <c r="D57" t="str">
        <f>_xlfn.CONCAT(ClientPriceExRate[[#This Row],[Exchange Rate Group]:[Currency]])</f>
        <v>21.04TWD</v>
      </c>
      <c r="E57" s="98">
        <v>28.595400000000001</v>
      </c>
    </row>
    <row r="58" spans="2:5" x14ac:dyDescent="0.4">
      <c r="B58" s="98" t="s">
        <v>711</v>
      </c>
      <c r="C58" s="98" t="s">
        <v>719</v>
      </c>
      <c r="D58" t="str">
        <f>_xlfn.CONCAT(ClientPriceExRate[[#This Row],[Exchange Rate Group]:[Currency]])</f>
        <v>21.04HKD</v>
      </c>
      <c r="E58" s="98">
        <v>7.7506199999999996</v>
      </c>
    </row>
    <row r="59" spans="2:5" x14ac:dyDescent="0.4">
      <c r="B59" s="98" t="s">
        <v>689</v>
      </c>
      <c r="C59" s="98" t="s">
        <v>16</v>
      </c>
      <c r="D59" t="str">
        <f>_xlfn.CONCAT(ClientPriceExRate[[#This Row],[Exchange Rate Group]:[Currency]])</f>
        <v>21.07AUD</v>
      </c>
      <c r="E59" s="98">
        <v>1.3278760000000001</v>
      </c>
    </row>
    <row r="60" spans="2:5" x14ac:dyDescent="0.4">
      <c r="B60" s="98" t="s">
        <v>689</v>
      </c>
      <c r="C60" s="98" t="s">
        <v>55</v>
      </c>
      <c r="D60" t="str">
        <f>_xlfn.CONCAT(ClientPriceExRate[[#This Row],[Exchange Rate Group]:[Currency]])</f>
        <v>21.07USD</v>
      </c>
      <c r="E60" s="98">
        <v>1</v>
      </c>
    </row>
    <row r="61" spans="2:5" x14ac:dyDescent="0.4">
      <c r="B61" s="98" t="s">
        <v>689</v>
      </c>
      <c r="C61" s="98" t="s">
        <v>714</v>
      </c>
      <c r="D61" t="str">
        <f>_xlfn.CONCAT(ClientPriceExRate[[#This Row],[Exchange Rate Group]:[Currency]])</f>
        <v>21.07EUR</v>
      </c>
      <c r="E61" s="98">
        <v>0.84828000000000003</v>
      </c>
    </row>
    <row r="62" spans="2:5" x14ac:dyDescent="0.4">
      <c r="B62" s="98" t="s">
        <v>689</v>
      </c>
      <c r="C62" s="98" t="s">
        <v>715</v>
      </c>
      <c r="D62" t="str">
        <f>_xlfn.CONCAT(ClientPriceExRate[[#This Row],[Exchange Rate Group]:[Currency]])</f>
        <v>21.07GBP</v>
      </c>
      <c r="E62" s="98">
        <v>0.74038499999999996</v>
      </c>
    </row>
    <row r="63" spans="2:5" x14ac:dyDescent="0.4">
      <c r="B63" s="98" t="s">
        <v>689</v>
      </c>
      <c r="C63" s="98" t="s">
        <v>716</v>
      </c>
      <c r="D63" t="str">
        <f>_xlfn.CONCAT(ClientPriceExRate[[#This Row],[Exchange Rate Group]:[Currency]])</f>
        <v>21.07SGD</v>
      </c>
      <c r="E63" s="98">
        <v>1.3557699999999999</v>
      </c>
    </row>
    <row r="64" spans="2:5" x14ac:dyDescent="0.4">
      <c r="B64" s="98" t="s">
        <v>689</v>
      </c>
      <c r="C64" s="98" t="s">
        <v>66</v>
      </c>
      <c r="D64" t="str">
        <f>_xlfn.CONCAT(ClientPriceExRate[[#This Row],[Exchange Rate Group]:[Currency]])</f>
        <v>21.07ZAR</v>
      </c>
      <c r="E64" s="98">
        <v>14.70119</v>
      </c>
    </row>
    <row r="65" spans="2:5" x14ac:dyDescent="0.4">
      <c r="B65" s="98" t="s">
        <v>689</v>
      </c>
      <c r="C65" s="98" t="s">
        <v>44</v>
      </c>
      <c r="D65" t="str">
        <f>_xlfn.CONCAT(ClientPriceExRate[[#This Row],[Exchange Rate Group]:[Currency]])</f>
        <v>21.07NZD</v>
      </c>
      <c r="E65" s="98">
        <v>1.4313910000000001</v>
      </c>
    </row>
    <row r="66" spans="2:5" x14ac:dyDescent="0.4">
      <c r="B66" s="98" t="s">
        <v>689</v>
      </c>
      <c r="C66" s="98" t="s">
        <v>717</v>
      </c>
      <c r="D66" t="str">
        <f>_xlfn.CONCAT(ClientPriceExRate[[#This Row],[Exchange Rate Group]:[Currency]])</f>
        <v>21.07CAD</v>
      </c>
      <c r="E66" s="98">
        <v>1.2720499999999999</v>
      </c>
    </row>
    <row r="67" spans="2:5" x14ac:dyDescent="0.4">
      <c r="B67" s="98" t="s">
        <v>689</v>
      </c>
      <c r="C67" s="98" t="s">
        <v>718</v>
      </c>
      <c r="D67" t="str">
        <f>_xlfn.CONCAT(ClientPriceExRate[[#This Row],[Exchange Rate Group]:[Currency]])</f>
        <v>21.07CNY</v>
      </c>
      <c r="E67" s="98">
        <v>6.6590299999999996</v>
      </c>
    </row>
    <row r="68" spans="2:5" x14ac:dyDescent="0.4">
      <c r="B68" s="98" t="s">
        <v>689</v>
      </c>
      <c r="C68" s="98" t="s">
        <v>380</v>
      </c>
      <c r="D68" t="str">
        <f>_xlfn.CONCAT(ClientPriceExRate[[#This Row],[Exchange Rate Group]:[Currency]])</f>
        <v>21.07TWD</v>
      </c>
      <c r="E68" s="98">
        <v>28.595400000000001</v>
      </c>
    </row>
    <row r="69" spans="2:5" x14ac:dyDescent="0.4">
      <c r="B69" s="98" t="s">
        <v>689</v>
      </c>
      <c r="C69" s="98" t="s">
        <v>719</v>
      </c>
      <c r="D69" t="str">
        <f>_xlfn.CONCAT(ClientPriceExRate[[#This Row],[Exchange Rate Group]:[Currency]])</f>
        <v>21.07HKD</v>
      </c>
      <c r="E69" s="98">
        <v>7.7506199999999996</v>
      </c>
    </row>
    <row r="70" spans="2:5" x14ac:dyDescent="0.4">
      <c r="B70" s="98" t="s">
        <v>709</v>
      </c>
      <c r="C70" s="98" t="s">
        <v>16</v>
      </c>
      <c r="D70" t="str">
        <f>_xlfn.CONCAT(ClientPriceExRate[[#This Row],[Exchange Rate Group]:[Currency]])</f>
        <v>22.01AUD</v>
      </c>
      <c r="E70" s="98">
        <v>1.3278760000000001</v>
      </c>
    </row>
    <row r="71" spans="2:5" x14ac:dyDescent="0.4">
      <c r="B71" s="98" t="s">
        <v>709</v>
      </c>
      <c r="C71" s="98" t="s">
        <v>55</v>
      </c>
      <c r="D71" t="str">
        <f>_xlfn.CONCAT(ClientPriceExRate[[#This Row],[Exchange Rate Group]:[Currency]])</f>
        <v>22.01USD</v>
      </c>
      <c r="E71" s="98">
        <v>1</v>
      </c>
    </row>
    <row r="72" spans="2:5" x14ac:dyDescent="0.4">
      <c r="B72" s="98" t="s">
        <v>709</v>
      </c>
      <c r="C72" s="98" t="s">
        <v>714</v>
      </c>
      <c r="D72" t="str">
        <f>_xlfn.CONCAT(ClientPriceExRate[[#This Row],[Exchange Rate Group]:[Currency]])</f>
        <v>22.01EUR</v>
      </c>
      <c r="E72" s="98">
        <v>0.84828000000000003</v>
      </c>
    </row>
    <row r="73" spans="2:5" x14ac:dyDescent="0.4">
      <c r="B73" s="98" t="s">
        <v>709</v>
      </c>
      <c r="C73" s="98" t="s">
        <v>715</v>
      </c>
      <c r="D73" t="str">
        <f>_xlfn.CONCAT(ClientPriceExRate[[#This Row],[Exchange Rate Group]:[Currency]])</f>
        <v>22.01GBP</v>
      </c>
      <c r="E73" s="98">
        <v>0.74038499999999996</v>
      </c>
    </row>
    <row r="74" spans="2:5" x14ac:dyDescent="0.4">
      <c r="B74" s="98" t="s">
        <v>709</v>
      </c>
      <c r="C74" s="98" t="s">
        <v>716</v>
      </c>
      <c r="D74" t="str">
        <f>_xlfn.CONCAT(ClientPriceExRate[[#This Row],[Exchange Rate Group]:[Currency]])</f>
        <v>22.01SGD</v>
      </c>
      <c r="E74" s="98">
        <v>1.3557699999999999</v>
      </c>
    </row>
    <row r="75" spans="2:5" x14ac:dyDescent="0.4">
      <c r="B75" s="98" t="s">
        <v>709</v>
      </c>
      <c r="C75" s="98" t="s">
        <v>66</v>
      </c>
      <c r="D75" t="str">
        <f>_xlfn.CONCAT(ClientPriceExRate[[#This Row],[Exchange Rate Group]:[Currency]])</f>
        <v>22.01ZAR</v>
      </c>
      <c r="E75" s="98">
        <v>14.70119</v>
      </c>
    </row>
    <row r="76" spans="2:5" x14ac:dyDescent="0.4">
      <c r="B76" s="98" t="s">
        <v>709</v>
      </c>
      <c r="C76" s="98" t="s">
        <v>44</v>
      </c>
      <c r="D76" t="str">
        <f>_xlfn.CONCAT(ClientPriceExRate[[#This Row],[Exchange Rate Group]:[Currency]])</f>
        <v>22.01NZD</v>
      </c>
      <c r="E76" s="98">
        <v>1.4313910000000001</v>
      </c>
    </row>
    <row r="77" spans="2:5" x14ac:dyDescent="0.4">
      <c r="B77" s="98" t="s">
        <v>709</v>
      </c>
      <c r="C77" s="98" t="s">
        <v>717</v>
      </c>
      <c r="D77" t="str">
        <f>_xlfn.CONCAT(ClientPriceExRate[[#This Row],[Exchange Rate Group]:[Currency]])</f>
        <v>22.01CAD</v>
      </c>
      <c r="E77" s="98">
        <v>1.2720499999999999</v>
      </c>
    </row>
    <row r="78" spans="2:5" x14ac:dyDescent="0.4">
      <c r="B78" s="98" t="s">
        <v>709</v>
      </c>
      <c r="C78" s="98" t="s">
        <v>718</v>
      </c>
      <c r="D78" t="str">
        <f>_xlfn.CONCAT(ClientPriceExRate[[#This Row],[Exchange Rate Group]:[Currency]])</f>
        <v>22.01CNY</v>
      </c>
      <c r="E78" s="98">
        <v>6.5983859999999996</v>
      </c>
    </row>
    <row r="79" spans="2:5" x14ac:dyDescent="0.4">
      <c r="B79" s="98" t="s">
        <v>709</v>
      </c>
      <c r="C79" s="98" t="s">
        <v>380</v>
      </c>
      <c r="D79" t="str">
        <f>_xlfn.CONCAT(ClientPriceExRate[[#This Row],[Exchange Rate Group]:[Currency]])</f>
        <v>22.01TWD</v>
      </c>
      <c r="E79" s="98">
        <v>28.595400000000001</v>
      </c>
    </row>
    <row r="80" spans="2:5" x14ac:dyDescent="0.4">
      <c r="B80" s="98" t="s">
        <v>709</v>
      </c>
      <c r="C80" s="98" t="s">
        <v>719</v>
      </c>
      <c r="D80" t="str">
        <f>_xlfn.CONCAT(ClientPriceExRate[[#This Row],[Exchange Rate Group]:[Currency]])</f>
        <v>22.01HKD</v>
      </c>
      <c r="E80" s="98">
        <v>7.7506199999999996</v>
      </c>
    </row>
    <row r="85" spans="11:11" x14ac:dyDescent="0.4">
      <c r="K85" s="33"/>
    </row>
  </sheetData>
  <pageMargins left="0.7" right="0.7" top="0.75" bottom="0.75" header="0.3" footer="0.3"/>
  <legacy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92184-EDE6-4BC3-93B7-565074EE52F4}">
  <sheetPr codeName="Sheet5">
    <tabColor rgb="FF92D050"/>
  </sheetPr>
  <dimension ref="B1:N626"/>
  <sheetViews>
    <sheetView showGridLines="0" zoomScaleNormal="100" workbookViewId="0">
      <selection activeCell="B3" sqref="B3:K3"/>
    </sheetView>
  </sheetViews>
  <sheetFormatPr defaultColWidth="9" defaultRowHeight="12.45" x14ac:dyDescent="0.4"/>
  <cols>
    <col min="1" max="1" width="9" style="23"/>
    <col min="2" max="2" width="2" style="23" customWidth="1"/>
    <col min="3" max="3" width="2.23046875" style="23" customWidth="1"/>
    <col min="4" max="4" width="3.15234375" style="23" customWidth="1"/>
    <col min="5" max="5" width="3.15234375" style="28" customWidth="1"/>
    <col min="6" max="6" width="3.15234375" style="23" customWidth="1"/>
    <col min="7" max="7" width="81.84375" style="83" customWidth="1"/>
    <col min="8" max="8" width="3" style="23" customWidth="1"/>
    <col min="9" max="9" width="24.61328125" style="83" customWidth="1"/>
    <col min="10" max="10" width="23" style="23" bestFit="1" customWidth="1"/>
    <col min="11" max="11" width="19.61328125" style="23" bestFit="1" customWidth="1"/>
    <col min="12" max="12" width="20.84375" style="23" bestFit="1" customWidth="1"/>
    <col min="13" max="13" width="11.69140625" style="23" bestFit="1" customWidth="1"/>
    <col min="14" max="14" width="83" style="23" bestFit="1" customWidth="1"/>
    <col min="15" max="15" width="18.15234375" style="23" bestFit="1" customWidth="1"/>
    <col min="16" max="16" width="14.23046875" style="23" bestFit="1" customWidth="1"/>
    <col min="17" max="17" width="21.3828125" style="23" bestFit="1" customWidth="1"/>
    <col min="18" max="18" width="26.69140625" style="23" bestFit="1" customWidth="1"/>
    <col min="19" max="19" width="40" style="23" bestFit="1" customWidth="1"/>
    <col min="20" max="20" width="83.23046875" style="23" bestFit="1" customWidth="1"/>
    <col min="21" max="21" width="17.23046875" style="23" bestFit="1" customWidth="1"/>
    <col min="22" max="22" width="14.84375" style="23" bestFit="1" customWidth="1"/>
    <col min="23" max="23" width="12" style="23" bestFit="1" customWidth="1"/>
    <col min="24" max="24" width="30.61328125" style="23" bestFit="1" customWidth="1"/>
    <col min="25" max="25" width="11.69140625" style="23" bestFit="1" customWidth="1"/>
    <col min="26" max="26" width="23.15234375" style="23" bestFit="1" customWidth="1"/>
    <col min="27" max="27" width="79.61328125" style="23" bestFit="1" customWidth="1"/>
    <col min="28" max="28" width="79.84375" style="23" bestFit="1" customWidth="1"/>
    <col min="29" max="29" width="16.23046875" style="23" bestFit="1" customWidth="1"/>
    <col min="30" max="30" width="11" style="23" bestFit="1" customWidth="1"/>
    <col min="31" max="31" width="50.15234375" style="23" bestFit="1" customWidth="1"/>
    <col min="32" max="32" width="17.69140625" style="23" bestFit="1" customWidth="1"/>
    <col min="33" max="33" width="13" style="23" bestFit="1" customWidth="1"/>
    <col min="34" max="34" width="24" style="23" bestFit="1" customWidth="1"/>
    <col min="35" max="35" width="27" style="23" bestFit="1" customWidth="1"/>
    <col min="36" max="36" width="9.84375" style="23" bestFit="1" customWidth="1"/>
    <col min="37" max="37" width="10.69140625" style="23" bestFit="1" customWidth="1"/>
    <col min="38" max="38" width="7.84375" style="23" bestFit="1" customWidth="1"/>
    <col min="39" max="39" width="51" style="23" bestFit="1" customWidth="1"/>
    <col min="40" max="40" width="13.15234375" style="23" bestFit="1" customWidth="1"/>
    <col min="41" max="41" width="14" style="23" bestFit="1" customWidth="1"/>
    <col min="42" max="42" width="14.15234375" style="23" bestFit="1" customWidth="1"/>
    <col min="43" max="43" width="37" style="23" bestFit="1" customWidth="1"/>
    <col min="44" max="44" width="15" style="23" bestFit="1" customWidth="1"/>
    <col min="45" max="45" width="11" style="23" bestFit="1" customWidth="1"/>
    <col min="46" max="46" width="19.23046875" style="23" bestFit="1" customWidth="1"/>
    <col min="47" max="47" width="11" style="23" bestFit="1" customWidth="1"/>
    <col min="48" max="48" width="19" style="23" bestFit="1" customWidth="1"/>
    <col min="49" max="49" width="8.61328125" style="23" bestFit="1" customWidth="1"/>
    <col min="50" max="50" width="13" style="23" bestFit="1" customWidth="1"/>
    <col min="51" max="51" width="23.61328125" style="23" bestFit="1" customWidth="1"/>
    <col min="52" max="52" width="7.15234375" style="23" bestFit="1" customWidth="1"/>
    <col min="53" max="53" width="85.3828125" style="23" bestFit="1" customWidth="1"/>
    <col min="54" max="54" width="8.84375" style="23" bestFit="1" customWidth="1"/>
    <col min="55" max="55" width="51" style="23" bestFit="1" customWidth="1"/>
    <col min="56" max="56" width="21.69140625" style="23" bestFit="1" customWidth="1"/>
    <col min="57" max="57" width="22.84375" style="23" bestFit="1" customWidth="1"/>
    <col min="58" max="58" width="23.15234375" style="23" bestFit="1" customWidth="1"/>
    <col min="59" max="59" width="20.3828125" style="23" bestFit="1" customWidth="1"/>
    <col min="60" max="60" width="10.69140625" style="23" bestFit="1" customWidth="1"/>
    <col min="61" max="61" width="19" style="23" bestFit="1" customWidth="1"/>
    <col min="62" max="62" width="25" style="23" bestFit="1" customWidth="1"/>
    <col min="63" max="63" width="23" style="23" bestFit="1" customWidth="1"/>
    <col min="64" max="64" width="24.23046875" style="23" bestFit="1" customWidth="1"/>
    <col min="65" max="65" width="14.15234375" style="23" bestFit="1" customWidth="1"/>
    <col min="66" max="66" width="9" style="23" bestFit="1" customWidth="1"/>
    <col min="67" max="67" width="83.69140625" style="23" bestFit="1" customWidth="1"/>
    <col min="68" max="68" width="16.61328125" style="23" bestFit="1" customWidth="1"/>
    <col min="69" max="69" width="14" style="23" bestFit="1" customWidth="1"/>
    <col min="70" max="70" width="53.15234375" style="23" bestFit="1" customWidth="1"/>
    <col min="71" max="71" width="26.15234375" style="23" bestFit="1" customWidth="1"/>
    <col min="72" max="72" width="17.23046875" style="23" bestFit="1" customWidth="1"/>
    <col min="73" max="73" width="30" style="23" bestFit="1" customWidth="1"/>
    <col min="74" max="74" width="31" style="23" bestFit="1" customWidth="1"/>
    <col min="75" max="75" width="11.84375" style="23" bestFit="1" customWidth="1"/>
    <col min="76" max="76" width="14.23046875" style="23" bestFit="1" customWidth="1"/>
    <col min="77" max="77" width="11.61328125" style="23" bestFit="1" customWidth="1"/>
    <col min="78" max="79" width="22.15234375" style="23" bestFit="1" customWidth="1"/>
    <col min="80" max="80" width="15.61328125" style="23" bestFit="1" customWidth="1"/>
    <col min="81" max="81" width="36.3828125" style="23" bestFit="1" customWidth="1"/>
    <col min="82" max="82" width="12.84375" style="23" bestFit="1" customWidth="1"/>
    <col min="83" max="83" width="6.61328125" style="23" bestFit="1" customWidth="1"/>
    <col min="84" max="84" width="10.3828125" style="23" bestFit="1" customWidth="1"/>
    <col min="85" max="16384" width="9" style="23"/>
  </cols>
  <sheetData>
    <row r="1" spans="2:14" ht="35.25" customHeight="1" thickBot="1" x14ac:dyDescent="1.1000000000000001">
      <c r="B1" s="313" t="s">
        <v>499</v>
      </c>
      <c r="C1" s="313"/>
      <c r="D1" s="313"/>
      <c r="E1" s="313"/>
      <c r="F1" s="313"/>
      <c r="G1" s="313"/>
      <c r="H1" s="313"/>
      <c r="I1" s="313"/>
      <c r="J1" s="313"/>
      <c r="K1" s="313"/>
      <c r="M1" s="296"/>
    </row>
    <row r="2" spans="2:14" ht="12.9" thickTop="1" x14ac:dyDescent="0.4">
      <c r="B2" s="314"/>
      <c r="C2" s="314"/>
      <c r="D2" s="314"/>
      <c r="E2" s="314"/>
      <c r="F2" s="314"/>
      <c r="G2" s="314"/>
      <c r="H2" s="314"/>
      <c r="I2" s="314"/>
      <c r="J2" s="314"/>
      <c r="K2" s="314"/>
      <c r="M2" s="296"/>
    </row>
    <row r="3" spans="2:14" ht="18.899999999999999" x14ac:dyDescent="0.55000000000000004">
      <c r="B3" s="315" t="s">
        <v>500</v>
      </c>
      <c r="C3" s="315"/>
      <c r="D3" s="315"/>
      <c r="E3" s="315"/>
      <c r="F3" s="315"/>
      <c r="G3" s="315"/>
      <c r="H3" s="315"/>
      <c r="I3" s="315"/>
      <c r="J3" s="315"/>
      <c r="K3" s="315"/>
      <c r="M3" s="296"/>
    </row>
    <row r="4" spans="2:14" x14ac:dyDescent="0.4">
      <c r="B4" s="316"/>
      <c r="C4" s="316"/>
      <c r="D4" s="316"/>
      <c r="E4" s="316"/>
      <c r="F4" s="316"/>
      <c r="G4" s="316"/>
      <c r="H4" s="316"/>
      <c r="I4" s="316"/>
      <c r="J4" s="316"/>
      <c r="K4" s="316"/>
      <c r="M4" s="296"/>
    </row>
    <row r="5" spans="2:14" ht="14.6" x14ac:dyDescent="0.4">
      <c r="B5" s="238" t="s">
        <v>806</v>
      </c>
      <c r="C5" s="287" t="s">
        <v>818</v>
      </c>
      <c r="F5" s="24"/>
      <c r="G5" s="84"/>
      <c r="I5" s="241"/>
      <c r="J5" s="240"/>
      <c r="K5" s="210"/>
    </row>
    <row r="6" spans="2:14" s="239" customFormat="1" ht="13.3" x14ac:dyDescent="0.4">
      <c r="B6" s="43"/>
      <c r="C6" s="43"/>
      <c r="D6" s="43"/>
      <c r="E6" s="43"/>
      <c r="F6" s="289"/>
      <c r="G6" s="290"/>
      <c r="H6" s="43"/>
      <c r="I6" s="291" t="str" cm="1">
        <f t="array" ref="I6">STLClientSpecificSettings[Pricelist Version]</f>
        <v>V23.01</v>
      </c>
      <c r="J6" s="292" t="str" cm="1">
        <f t="array" ref="J6">STLClientSpecificSettings[Currency]</f>
        <v>AUD</v>
      </c>
      <c r="K6" s="293"/>
    </row>
    <row r="7" spans="2:14" ht="14.6" x14ac:dyDescent="0.4">
      <c r="B7" s="288" t="s">
        <v>14</v>
      </c>
      <c r="C7" s="288" t="s">
        <v>15</v>
      </c>
      <c r="D7" s="288" t="s">
        <v>501</v>
      </c>
      <c r="E7" s="288" t="s">
        <v>502</v>
      </c>
      <c r="F7" s="288" t="s">
        <v>503</v>
      </c>
      <c r="G7" s="288" t="s">
        <v>378</v>
      </c>
      <c r="H7" s="288" t="s">
        <v>10</v>
      </c>
      <c r="I7" s="288" t="s">
        <v>8</v>
      </c>
      <c r="J7" s="288" t="s">
        <v>381</v>
      </c>
      <c r="K7" s="288" t="s">
        <v>0</v>
      </c>
      <c r="L7"/>
      <c r="M7"/>
      <c r="N7"/>
    </row>
    <row r="8" spans="2:14" ht="14.6" x14ac:dyDescent="0.4">
      <c r="B8" s="309">
        <v>256</v>
      </c>
      <c r="C8" s="309">
        <v>3</v>
      </c>
      <c r="D8" s="309"/>
      <c r="E8" s="309"/>
      <c r="F8" s="309"/>
      <c r="G8" s="309" t="s">
        <v>643</v>
      </c>
      <c r="H8" s="309" t="s">
        <v>376</v>
      </c>
      <c r="I8" s="309" t="s">
        <v>369</v>
      </c>
      <c r="J8" s="309">
        <v>244.48323800999998</v>
      </c>
      <c r="K8" s="309">
        <v>0</v>
      </c>
      <c r="L8"/>
      <c r="M8"/>
      <c r="N8"/>
    </row>
    <row r="9" spans="2:14" ht="14.6" x14ac:dyDescent="0.4">
      <c r="B9" s="309">
        <v>257</v>
      </c>
      <c r="C9" s="287">
        <v>3</v>
      </c>
      <c r="D9" s="287"/>
      <c r="E9" s="287"/>
      <c r="F9" s="287"/>
      <c r="G9" s="309" t="s">
        <v>644</v>
      </c>
      <c r="H9" s="287" t="s">
        <v>376</v>
      </c>
      <c r="I9" s="287">
        <v>0</v>
      </c>
      <c r="J9" s="287">
        <v>0</v>
      </c>
      <c r="K9" s="287">
        <v>0</v>
      </c>
      <c r="L9"/>
      <c r="M9"/>
      <c r="N9"/>
    </row>
    <row r="10" spans="2:14" ht="14.6" x14ac:dyDescent="0.4">
      <c r="B10"/>
      <c r="C10"/>
      <c r="D10"/>
      <c r="E10"/>
      <c r="F10"/>
      <c r="G10"/>
      <c r="H10"/>
      <c r="I10"/>
      <c r="J10"/>
      <c r="K10"/>
      <c r="L10"/>
      <c r="M10"/>
      <c r="N10"/>
    </row>
    <row r="11" spans="2:14" ht="14.6" x14ac:dyDescent="0.4">
      <c r="B11"/>
      <c r="C11"/>
      <c r="D11"/>
      <c r="E11"/>
      <c r="F11"/>
      <c r="G11"/>
      <c r="H11"/>
      <c r="I11"/>
      <c r="J11"/>
      <c r="K11"/>
      <c r="L11"/>
      <c r="M11"/>
      <c r="N11"/>
    </row>
    <row r="12" spans="2:14" ht="14.6" x14ac:dyDescent="0.4">
      <c r="B12"/>
      <c r="C12"/>
      <c r="D12"/>
      <c r="E12"/>
      <c r="F12"/>
      <c r="G12"/>
      <c r="H12"/>
      <c r="I12"/>
      <c r="J12"/>
      <c r="K12"/>
      <c r="L12"/>
      <c r="M12"/>
      <c r="N12"/>
    </row>
    <row r="13" spans="2:14" ht="14.6" x14ac:dyDescent="0.4">
      <c r="B13"/>
      <c r="C13"/>
      <c r="D13"/>
      <c r="E13"/>
      <c r="F13"/>
      <c r="G13"/>
      <c r="H13"/>
      <c r="I13"/>
      <c r="J13"/>
      <c r="K13"/>
      <c r="L13"/>
      <c r="M13"/>
      <c r="N13"/>
    </row>
    <row r="14" spans="2:14" ht="14.6" x14ac:dyDescent="0.4">
      <c r="B14"/>
      <c r="C14"/>
      <c r="D14"/>
      <c r="E14"/>
      <c r="F14"/>
      <c r="G14"/>
      <c r="H14"/>
      <c r="I14"/>
      <c r="J14"/>
      <c r="K14"/>
      <c r="L14"/>
      <c r="M14"/>
      <c r="N14"/>
    </row>
    <row r="15" spans="2:14" ht="14.6" x14ac:dyDescent="0.4">
      <c r="B15"/>
      <c r="C15"/>
      <c r="D15"/>
      <c r="E15"/>
      <c r="F15"/>
      <c r="G15"/>
      <c r="H15"/>
      <c r="I15"/>
      <c r="J15"/>
      <c r="K15"/>
      <c r="L15"/>
      <c r="M15"/>
      <c r="N15"/>
    </row>
    <row r="16" spans="2:14" ht="14.6" x14ac:dyDescent="0.4">
      <c r="B16"/>
      <c r="C16"/>
      <c r="D16"/>
      <c r="E16"/>
      <c r="F16"/>
      <c r="G16"/>
      <c r="H16"/>
      <c r="I16"/>
      <c r="J16"/>
      <c r="K16"/>
      <c r="L16"/>
      <c r="M16"/>
      <c r="N16"/>
    </row>
    <row r="17" spans="2:14" ht="14.6" x14ac:dyDescent="0.4">
      <c r="B17"/>
      <c r="C17"/>
      <c r="D17"/>
      <c r="E17"/>
      <c r="F17"/>
      <c r="G17"/>
      <c r="H17"/>
      <c r="I17"/>
      <c r="J17"/>
      <c r="K17"/>
      <c r="L17"/>
      <c r="M17"/>
      <c r="N17"/>
    </row>
    <row r="18" spans="2:14" ht="14.6" x14ac:dyDescent="0.4">
      <c r="B18"/>
      <c r="C18"/>
      <c r="D18"/>
      <c r="E18"/>
      <c r="F18"/>
      <c r="G18"/>
      <c r="H18"/>
      <c r="I18"/>
      <c r="J18"/>
      <c r="K18"/>
      <c r="L18"/>
      <c r="M18"/>
      <c r="N18"/>
    </row>
    <row r="19" spans="2:14" ht="14.6" x14ac:dyDescent="0.4">
      <c r="B19"/>
      <c r="C19"/>
      <c r="D19"/>
      <c r="E19"/>
      <c r="F19"/>
      <c r="G19"/>
      <c r="H19"/>
      <c r="I19"/>
      <c r="J19"/>
      <c r="K19"/>
      <c r="L19"/>
      <c r="M19"/>
      <c r="N19"/>
    </row>
    <row r="20" spans="2:14" ht="14.6" x14ac:dyDescent="0.4">
      <c r="B20"/>
      <c r="C20"/>
      <c r="D20"/>
      <c r="E20"/>
      <c r="F20"/>
      <c r="G20"/>
      <c r="H20"/>
      <c r="I20"/>
      <c r="J20"/>
      <c r="K20"/>
      <c r="L20"/>
      <c r="M20"/>
      <c r="N20"/>
    </row>
    <row r="21" spans="2:14" ht="14.6" x14ac:dyDescent="0.4">
      <c r="B21"/>
      <c r="C21"/>
      <c r="D21"/>
      <c r="E21"/>
      <c r="F21"/>
      <c r="G21"/>
      <c r="H21"/>
      <c r="I21"/>
      <c r="J21"/>
      <c r="K21"/>
      <c r="L21"/>
      <c r="M21"/>
      <c r="N21"/>
    </row>
    <row r="22" spans="2:14" ht="14.6" x14ac:dyDescent="0.4">
      <c r="B22"/>
      <c r="C22"/>
      <c r="D22"/>
      <c r="E22"/>
      <c r="F22"/>
      <c r="G22"/>
      <c r="H22"/>
      <c r="I22"/>
      <c r="J22"/>
      <c r="K22"/>
      <c r="L22"/>
      <c r="M22"/>
      <c r="N22"/>
    </row>
    <row r="23" spans="2:14" ht="14.6" x14ac:dyDescent="0.4">
      <c r="B23"/>
      <c r="C23"/>
      <c r="D23"/>
      <c r="E23"/>
      <c r="F23"/>
      <c r="G23"/>
      <c r="H23"/>
      <c r="I23"/>
      <c r="J23"/>
      <c r="K23"/>
      <c r="L23"/>
      <c r="M23"/>
      <c r="N23"/>
    </row>
    <row r="24" spans="2:14" ht="14.6" x14ac:dyDescent="0.4">
      <c r="B24"/>
      <c r="C24"/>
      <c r="D24"/>
      <c r="E24"/>
      <c r="F24"/>
      <c r="G24"/>
      <c r="H24"/>
      <c r="I24"/>
      <c r="J24"/>
      <c r="K24"/>
      <c r="L24"/>
      <c r="M24"/>
      <c r="N24"/>
    </row>
    <row r="25" spans="2:14" ht="14.6" x14ac:dyDescent="0.4">
      <c r="B25"/>
      <c r="C25"/>
      <c r="D25"/>
      <c r="E25"/>
      <c r="F25"/>
      <c r="G25"/>
      <c r="H25"/>
      <c r="I25"/>
      <c r="J25"/>
      <c r="K25"/>
      <c r="L25"/>
      <c r="M25"/>
      <c r="N25"/>
    </row>
    <row r="26" spans="2:14" ht="14.6" x14ac:dyDescent="0.4">
      <c r="B26"/>
      <c r="C26"/>
      <c r="D26"/>
      <c r="E26"/>
      <c r="F26"/>
      <c r="G26"/>
      <c r="H26"/>
      <c r="I26"/>
      <c r="J26"/>
      <c r="K26"/>
      <c r="L26"/>
      <c r="M26"/>
      <c r="N26"/>
    </row>
    <row r="27" spans="2:14" ht="14.6" x14ac:dyDescent="0.4">
      <c r="B27"/>
      <c r="C27"/>
      <c r="D27"/>
      <c r="E27"/>
      <c r="F27"/>
      <c r="G27"/>
      <c r="H27"/>
      <c r="I27"/>
      <c r="J27"/>
      <c r="K27"/>
      <c r="L27"/>
      <c r="M27"/>
      <c r="N27"/>
    </row>
    <row r="28" spans="2:14" ht="14.6" x14ac:dyDescent="0.4">
      <c r="B28"/>
      <c r="C28"/>
      <c r="D28"/>
      <c r="E28"/>
      <c r="F28"/>
      <c r="G28"/>
      <c r="H28"/>
      <c r="I28"/>
      <c r="J28"/>
      <c r="K28"/>
      <c r="L28"/>
      <c r="M28"/>
      <c r="N28"/>
    </row>
    <row r="29" spans="2:14" ht="14.6" x14ac:dyDescent="0.4">
      <c r="B29"/>
      <c r="C29"/>
      <c r="D29"/>
      <c r="E29"/>
      <c r="F29"/>
      <c r="G29"/>
      <c r="H29"/>
      <c r="I29"/>
      <c r="J29"/>
      <c r="K29"/>
      <c r="L29"/>
      <c r="M29"/>
      <c r="N29"/>
    </row>
    <row r="30" spans="2:14" ht="14.6" x14ac:dyDescent="0.4">
      <c r="B30"/>
      <c r="C30"/>
      <c r="D30"/>
      <c r="E30"/>
      <c r="F30"/>
      <c r="G30"/>
      <c r="H30"/>
      <c r="I30"/>
      <c r="J30"/>
      <c r="K30"/>
      <c r="L30"/>
      <c r="M30"/>
      <c r="N30"/>
    </row>
    <row r="31" spans="2:14" ht="14.6" x14ac:dyDescent="0.4">
      <c r="B31"/>
      <c r="C31"/>
      <c r="D31"/>
      <c r="E31"/>
      <c r="F31"/>
      <c r="G31"/>
      <c r="H31"/>
      <c r="I31"/>
      <c r="J31"/>
      <c r="K31"/>
      <c r="L31"/>
      <c r="M31"/>
      <c r="N31"/>
    </row>
    <row r="32" spans="2:14" ht="14.6" x14ac:dyDescent="0.4">
      <c r="B32"/>
      <c r="C32"/>
      <c r="D32"/>
      <c r="E32"/>
      <c r="F32"/>
      <c r="G32"/>
      <c r="H32"/>
      <c r="I32"/>
      <c r="J32"/>
      <c r="K32"/>
      <c r="L32"/>
      <c r="M32"/>
      <c r="N32"/>
    </row>
    <row r="33" spans="2:14" ht="14.6" x14ac:dyDescent="0.4">
      <c r="B33"/>
      <c r="C33"/>
      <c r="D33"/>
      <c r="E33"/>
      <c r="F33"/>
      <c r="G33"/>
      <c r="H33"/>
      <c r="I33"/>
      <c r="J33"/>
      <c r="K33"/>
      <c r="L33"/>
      <c r="M33"/>
      <c r="N33"/>
    </row>
    <row r="34" spans="2:14" ht="14.6" x14ac:dyDescent="0.4">
      <c r="B34"/>
      <c r="C34"/>
      <c r="D34"/>
      <c r="E34"/>
      <c r="F34"/>
      <c r="G34"/>
      <c r="H34"/>
      <c r="I34"/>
      <c r="J34"/>
      <c r="K34"/>
      <c r="L34"/>
      <c r="M34"/>
      <c r="N34"/>
    </row>
    <row r="35" spans="2:14" ht="14.6" x14ac:dyDescent="0.4">
      <c r="B35"/>
      <c r="C35"/>
      <c r="D35"/>
      <c r="E35"/>
      <c r="F35"/>
      <c r="G35"/>
      <c r="H35"/>
      <c r="I35"/>
      <c r="J35"/>
      <c r="K35"/>
      <c r="L35"/>
      <c r="M35"/>
      <c r="N35"/>
    </row>
    <row r="36" spans="2:14" ht="14.6" x14ac:dyDescent="0.4">
      <c r="B36"/>
      <c r="C36"/>
      <c r="D36"/>
      <c r="E36"/>
      <c r="F36"/>
      <c r="G36"/>
      <c r="H36"/>
      <c r="I36"/>
      <c r="J36"/>
      <c r="K36"/>
      <c r="L36"/>
      <c r="M36"/>
      <c r="N36"/>
    </row>
    <row r="37" spans="2:14" ht="14.6" x14ac:dyDescent="0.4">
      <c r="B37"/>
      <c r="C37"/>
      <c r="D37"/>
      <c r="E37"/>
      <c r="F37"/>
      <c r="G37"/>
      <c r="H37"/>
      <c r="I37"/>
      <c r="J37"/>
      <c r="K37"/>
      <c r="L37"/>
      <c r="M37"/>
      <c r="N37"/>
    </row>
    <row r="38" spans="2:14" ht="14.6" x14ac:dyDescent="0.4">
      <c r="B38"/>
      <c r="C38"/>
      <c r="D38"/>
      <c r="E38"/>
      <c r="F38"/>
      <c r="G38"/>
      <c r="H38"/>
      <c r="I38"/>
      <c r="J38"/>
      <c r="K38"/>
      <c r="L38"/>
      <c r="M38"/>
      <c r="N38"/>
    </row>
    <row r="39" spans="2:14" ht="14.6" x14ac:dyDescent="0.4">
      <c r="B39"/>
      <c r="C39"/>
      <c r="D39"/>
      <c r="E39"/>
      <c r="F39"/>
      <c r="G39"/>
      <c r="H39"/>
      <c r="I39"/>
      <c r="J39"/>
      <c r="K39"/>
      <c r="L39"/>
      <c r="M39"/>
      <c r="N39"/>
    </row>
    <row r="40" spans="2:14" ht="14.6" x14ac:dyDescent="0.4">
      <c r="B40"/>
      <c r="C40"/>
      <c r="D40"/>
      <c r="E40"/>
      <c r="F40"/>
      <c r="G40"/>
      <c r="H40"/>
      <c r="I40"/>
      <c r="J40"/>
      <c r="K40"/>
      <c r="L40"/>
      <c r="M40"/>
      <c r="N40"/>
    </row>
    <row r="41" spans="2:14" ht="14.6" x14ac:dyDescent="0.4">
      <c r="B41"/>
      <c r="C41"/>
      <c r="D41"/>
      <c r="E41"/>
      <c r="F41"/>
      <c r="G41"/>
      <c r="H41"/>
      <c r="I41"/>
      <c r="J41"/>
      <c r="K41"/>
      <c r="L41"/>
      <c r="M41"/>
      <c r="N41"/>
    </row>
    <row r="42" spans="2:14" ht="14.6" x14ac:dyDescent="0.4">
      <c r="B42"/>
      <c r="C42"/>
      <c r="D42"/>
      <c r="E42"/>
      <c r="F42"/>
      <c r="G42"/>
      <c r="H42"/>
      <c r="I42"/>
      <c r="J42"/>
      <c r="K42"/>
      <c r="L42"/>
      <c r="M42"/>
      <c r="N42"/>
    </row>
    <row r="43" spans="2:14" ht="14.6" x14ac:dyDescent="0.4">
      <c r="B43"/>
      <c r="C43"/>
      <c r="D43"/>
      <c r="E43"/>
      <c r="F43"/>
      <c r="G43"/>
      <c r="H43"/>
      <c r="I43"/>
      <c r="J43"/>
      <c r="K43"/>
      <c r="L43"/>
      <c r="M43"/>
      <c r="N43"/>
    </row>
    <row r="44" spans="2:14" ht="14.6" x14ac:dyDescent="0.4">
      <c r="B44"/>
      <c r="C44"/>
      <c r="D44"/>
      <c r="E44"/>
      <c r="F44"/>
      <c r="G44"/>
      <c r="H44"/>
      <c r="I44"/>
      <c r="J44"/>
      <c r="K44"/>
      <c r="L44"/>
      <c r="M44"/>
      <c r="N44"/>
    </row>
    <row r="45" spans="2:14" ht="14.6" x14ac:dyDescent="0.4">
      <c r="B45"/>
      <c r="C45"/>
      <c r="D45"/>
      <c r="E45"/>
      <c r="F45"/>
      <c r="G45"/>
      <c r="H45"/>
      <c r="I45"/>
      <c r="J45"/>
      <c r="K45"/>
      <c r="L45"/>
      <c r="M45"/>
      <c r="N45"/>
    </row>
    <row r="46" spans="2:14" ht="14.6" x14ac:dyDescent="0.4">
      <c r="B46"/>
      <c r="C46"/>
      <c r="D46"/>
      <c r="E46"/>
      <c r="F46"/>
      <c r="G46"/>
      <c r="H46"/>
      <c r="I46"/>
      <c r="J46"/>
      <c r="K46"/>
      <c r="L46"/>
      <c r="M46"/>
      <c r="N46"/>
    </row>
    <row r="47" spans="2:14" ht="14.6" x14ac:dyDescent="0.4">
      <c r="B47"/>
      <c r="C47"/>
      <c r="D47"/>
      <c r="E47"/>
      <c r="F47"/>
      <c r="G47"/>
      <c r="H47"/>
      <c r="I47"/>
      <c r="J47"/>
      <c r="K47"/>
      <c r="L47"/>
      <c r="M47"/>
      <c r="N47"/>
    </row>
    <row r="48" spans="2:14" ht="14.6" x14ac:dyDescent="0.4">
      <c r="B48"/>
      <c r="C48"/>
      <c r="D48"/>
      <c r="E48"/>
      <c r="F48"/>
      <c r="G48"/>
      <c r="H48"/>
      <c r="I48"/>
      <c r="J48"/>
      <c r="K48"/>
      <c r="L48"/>
      <c r="M48"/>
      <c r="N48"/>
    </row>
    <row r="49" spans="2:14" ht="14.6" x14ac:dyDescent="0.4">
      <c r="B49"/>
      <c r="C49"/>
      <c r="D49"/>
      <c r="E49"/>
      <c r="F49"/>
      <c r="G49"/>
      <c r="H49"/>
      <c r="I49"/>
      <c r="J49"/>
      <c r="K49"/>
      <c r="L49"/>
      <c r="M49"/>
      <c r="N49"/>
    </row>
    <row r="50" spans="2:14" ht="14.6" x14ac:dyDescent="0.4">
      <c r="B50"/>
      <c r="C50"/>
      <c r="D50"/>
      <c r="E50"/>
      <c r="F50"/>
      <c r="G50"/>
      <c r="H50"/>
      <c r="I50"/>
      <c r="J50"/>
      <c r="K50"/>
      <c r="L50"/>
      <c r="M50"/>
      <c r="N50"/>
    </row>
    <row r="51" spans="2:14" ht="14.6" x14ac:dyDescent="0.4">
      <c r="B51"/>
      <c r="C51"/>
      <c r="D51"/>
      <c r="E51"/>
      <c r="F51"/>
      <c r="G51"/>
      <c r="H51"/>
      <c r="I51"/>
      <c r="J51"/>
      <c r="K51"/>
      <c r="L51"/>
      <c r="M51"/>
      <c r="N51"/>
    </row>
    <row r="52" spans="2:14" ht="14.6" x14ac:dyDescent="0.4">
      <c r="B52"/>
      <c r="C52"/>
      <c r="D52"/>
      <c r="E52"/>
      <c r="F52"/>
      <c r="G52"/>
      <c r="H52"/>
      <c r="I52"/>
      <c r="J52"/>
      <c r="K52"/>
      <c r="L52"/>
      <c r="M52"/>
      <c r="N52"/>
    </row>
    <row r="53" spans="2:14" ht="14.6" x14ac:dyDescent="0.4">
      <c r="B53"/>
      <c r="C53"/>
      <c r="D53"/>
      <c r="E53"/>
      <c r="F53"/>
      <c r="G53"/>
      <c r="H53"/>
      <c r="I53"/>
      <c r="J53"/>
      <c r="K53"/>
      <c r="L53"/>
      <c r="M53"/>
      <c r="N53"/>
    </row>
    <row r="54" spans="2:14" ht="14.6" x14ac:dyDescent="0.4">
      <c r="B54"/>
      <c r="C54"/>
      <c r="D54"/>
      <c r="E54"/>
      <c r="F54"/>
      <c r="G54"/>
      <c r="H54"/>
      <c r="I54"/>
      <c r="J54"/>
      <c r="K54"/>
      <c r="L54"/>
      <c r="M54"/>
      <c r="N54"/>
    </row>
    <row r="55" spans="2:14" ht="14.6" x14ac:dyDescent="0.4">
      <c r="B55"/>
      <c r="C55"/>
      <c r="D55"/>
      <c r="E55"/>
      <c r="F55"/>
      <c r="G55"/>
      <c r="H55"/>
      <c r="I55"/>
      <c r="J55"/>
      <c r="K55"/>
      <c r="L55"/>
      <c r="M55"/>
      <c r="N55"/>
    </row>
    <row r="56" spans="2:14" ht="14.6" x14ac:dyDescent="0.4">
      <c r="B56"/>
      <c r="C56"/>
      <c r="D56"/>
      <c r="E56"/>
      <c r="F56"/>
      <c r="G56"/>
      <c r="H56"/>
      <c r="I56"/>
      <c r="J56"/>
      <c r="K56"/>
      <c r="L56"/>
      <c r="M56"/>
      <c r="N56"/>
    </row>
    <row r="57" spans="2:14" ht="14.6" x14ac:dyDescent="0.4">
      <c r="B57"/>
      <c r="C57"/>
      <c r="D57"/>
      <c r="E57"/>
      <c r="F57"/>
      <c r="G57"/>
      <c r="H57"/>
      <c r="I57"/>
      <c r="J57"/>
      <c r="K57"/>
      <c r="L57"/>
      <c r="M57"/>
      <c r="N57"/>
    </row>
    <row r="58" spans="2:14" ht="14.6" x14ac:dyDescent="0.4">
      <c r="B58"/>
      <c r="C58"/>
      <c r="D58"/>
      <c r="E58"/>
      <c r="F58"/>
      <c r="G58"/>
      <c r="H58"/>
      <c r="I58"/>
      <c r="J58"/>
      <c r="K58"/>
      <c r="L58"/>
      <c r="M58"/>
      <c r="N58"/>
    </row>
    <row r="59" spans="2:14" ht="14.6" x14ac:dyDescent="0.4">
      <c r="B59"/>
      <c r="C59"/>
      <c r="D59"/>
      <c r="E59"/>
      <c r="F59"/>
      <c r="G59"/>
      <c r="H59"/>
      <c r="I59"/>
      <c r="J59"/>
      <c r="K59"/>
      <c r="L59"/>
      <c r="M59"/>
      <c r="N59"/>
    </row>
    <row r="60" spans="2:14" ht="14.6" x14ac:dyDescent="0.4">
      <c r="B60"/>
      <c r="C60"/>
      <c r="D60"/>
      <c r="E60"/>
      <c r="F60"/>
      <c r="G60"/>
      <c r="H60"/>
      <c r="I60"/>
      <c r="J60"/>
      <c r="K60"/>
      <c r="L60"/>
      <c r="M60"/>
      <c r="N60"/>
    </row>
    <row r="61" spans="2:14" ht="14.6" x14ac:dyDescent="0.4">
      <c r="B61"/>
      <c r="C61"/>
      <c r="D61"/>
      <c r="E61"/>
      <c r="F61"/>
      <c r="G61"/>
      <c r="H61"/>
      <c r="I61"/>
      <c r="J61"/>
      <c r="K61"/>
      <c r="L61"/>
      <c r="M61"/>
      <c r="N61"/>
    </row>
    <row r="62" spans="2:14" ht="14.6" x14ac:dyDescent="0.4">
      <c r="B62"/>
      <c r="C62"/>
      <c r="D62"/>
      <c r="E62"/>
      <c r="F62"/>
      <c r="G62"/>
      <c r="H62"/>
      <c r="I62"/>
      <c r="J62"/>
      <c r="K62"/>
      <c r="L62"/>
      <c r="M62"/>
      <c r="N62"/>
    </row>
    <row r="63" spans="2:14" ht="14.6" x14ac:dyDescent="0.4">
      <c r="B63"/>
      <c r="C63"/>
      <c r="D63"/>
      <c r="E63"/>
      <c r="F63"/>
      <c r="G63"/>
      <c r="H63"/>
      <c r="I63"/>
      <c r="J63"/>
      <c r="K63"/>
      <c r="L63"/>
      <c r="M63"/>
      <c r="N63"/>
    </row>
    <row r="64" spans="2:14" ht="14.6" x14ac:dyDescent="0.4">
      <c r="B64"/>
      <c r="C64"/>
      <c r="D64"/>
      <c r="E64"/>
      <c r="F64"/>
      <c r="G64"/>
      <c r="H64"/>
      <c r="I64"/>
      <c r="J64"/>
      <c r="K64"/>
      <c r="L64"/>
      <c r="M64"/>
      <c r="N64"/>
    </row>
    <row r="65" spans="2:14" ht="14.6" x14ac:dyDescent="0.4">
      <c r="B65"/>
      <c r="C65"/>
      <c r="D65"/>
      <c r="E65"/>
      <c r="F65"/>
      <c r="G65"/>
      <c r="H65"/>
      <c r="I65"/>
      <c r="J65"/>
      <c r="K65"/>
      <c r="L65"/>
      <c r="M65"/>
      <c r="N65"/>
    </row>
    <row r="66" spans="2:14" ht="14.6" x14ac:dyDescent="0.4">
      <c r="B66"/>
      <c r="C66"/>
      <c r="D66"/>
      <c r="E66"/>
      <c r="F66"/>
      <c r="G66"/>
      <c r="H66"/>
      <c r="I66"/>
      <c r="J66"/>
      <c r="K66"/>
      <c r="L66"/>
      <c r="M66"/>
      <c r="N66"/>
    </row>
    <row r="67" spans="2:14" ht="14.6" x14ac:dyDescent="0.4">
      <c r="B67"/>
      <c r="C67"/>
      <c r="D67"/>
      <c r="E67"/>
      <c r="F67"/>
      <c r="G67"/>
      <c r="H67"/>
      <c r="I67"/>
      <c r="J67"/>
      <c r="K67"/>
      <c r="L67"/>
      <c r="M67"/>
      <c r="N67"/>
    </row>
    <row r="68" spans="2:14" ht="14.6" x14ac:dyDescent="0.4">
      <c r="B68"/>
      <c r="C68"/>
      <c r="D68"/>
      <c r="E68"/>
      <c r="F68"/>
      <c r="G68"/>
      <c r="H68"/>
      <c r="I68"/>
      <c r="J68"/>
      <c r="K68"/>
      <c r="L68"/>
      <c r="M68"/>
      <c r="N68"/>
    </row>
    <row r="69" spans="2:14" ht="14.6" x14ac:dyDescent="0.4">
      <c r="B69"/>
      <c r="C69"/>
      <c r="D69"/>
      <c r="E69"/>
      <c r="F69"/>
      <c r="G69"/>
      <c r="H69"/>
      <c r="I69"/>
      <c r="J69"/>
      <c r="K69"/>
      <c r="L69"/>
      <c r="M69"/>
      <c r="N69"/>
    </row>
    <row r="70" spans="2:14" ht="14.6" x14ac:dyDescent="0.4">
      <c r="B70"/>
      <c r="C70"/>
      <c r="D70"/>
      <c r="E70"/>
      <c r="F70"/>
      <c r="G70"/>
      <c r="H70"/>
      <c r="I70"/>
      <c r="J70"/>
      <c r="K70"/>
      <c r="L70"/>
      <c r="M70"/>
      <c r="N70"/>
    </row>
    <row r="71" spans="2:14" ht="14.6" x14ac:dyDescent="0.4">
      <c r="B71"/>
      <c r="C71"/>
      <c r="D71"/>
      <c r="E71"/>
      <c r="F71"/>
      <c r="G71"/>
      <c r="H71"/>
      <c r="I71"/>
      <c r="J71"/>
      <c r="K71"/>
      <c r="L71"/>
      <c r="M71"/>
      <c r="N71"/>
    </row>
    <row r="72" spans="2:14" ht="14.6" x14ac:dyDescent="0.4">
      <c r="B72"/>
      <c r="C72"/>
      <c r="D72"/>
      <c r="E72"/>
      <c r="F72"/>
      <c r="G72"/>
      <c r="H72"/>
      <c r="I72"/>
      <c r="J72"/>
      <c r="K72"/>
      <c r="L72"/>
      <c r="M72"/>
      <c r="N72"/>
    </row>
    <row r="73" spans="2:14" ht="14.6" x14ac:dyDescent="0.4">
      <c r="B73"/>
      <c r="C73"/>
      <c r="D73"/>
      <c r="E73"/>
      <c r="F73"/>
      <c r="G73"/>
      <c r="H73"/>
      <c r="I73"/>
      <c r="J73"/>
      <c r="K73"/>
      <c r="L73"/>
      <c r="M73"/>
      <c r="N73"/>
    </row>
    <row r="74" spans="2:14" ht="14.6" x14ac:dyDescent="0.4">
      <c r="B74"/>
      <c r="C74"/>
      <c r="D74"/>
      <c r="E74"/>
      <c r="F74"/>
      <c r="G74"/>
      <c r="H74"/>
      <c r="I74"/>
      <c r="J74"/>
      <c r="K74"/>
      <c r="L74"/>
      <c r="M74"/>
      <c r="N74"/>
    </row>
    <row r="75" spans="2:14" ht="14.6" x14ac:dyDescent="0.4">
      <c r="B75"/>
      <c r="C75"/>
      <c r="D75"/>
      <c r="E75"/>
      <c r="F75"/>
      <c r="G75"/>
      <c r="H75"/>
      <c r="I75"/>
      <c r="J75"/>
      <c r="K75"/>
      <c r="L75"/>
      <c r="M75"/>
      <c r="N75"/>
    </row>
    <row r="76" spans="2:14" ht="14.6" x14ac:dyDescent="0.4">
      <c r="B76"/>
      <c r="C76"/>
      <c r="D76"/>
      <c r="E76"/>
      <c r="F76"/>
      <c r="G76"/>
      <c r="H76"/>
      <c r="I76"/>
      <c r="J76"/>
      <c r="K76"/>
      <c r="L76"/>
      <c r="M76"/>
      <c r="N76"/>
    </row>
    <row r="77" spans="2:14" ht="14.6" x14ac:dyDescent="0.4">
      <c r="B77"/>
      <c r="C77"/>
      <c r="D77"/>
      <c r="E77"/>
      <c r="F77"/>
      <c r="G77"/>
      <c r="H77"/>
      <c r="I77"/>
      <c r="J77"/>
      <c r="K77"/>
      <c r="L77"/>
      <c r="M77"/>
      <c r="N77"/>
    </row>
    <row r="78" spans="2:14" ht="14.6" x14ac:dyDescent="0.4">
      <c r="B78"/>
      <c r="C78"/>
      <c r="D78"/>
      <c r="E78"/>
      <c r="F78"/>
      <c r="G78"/>
      <c r="H78"/>
      <c r="I78"/>
      <c r="J78"/>
      <c r="K78"/>
      <c r="L78"/>
      <c r="M78"/>
      <c r="N78"/>
    </row>
    <row r="79" spans="2:14" ht="14.6" x14ac:dyDescent="0.4">
      <c r="B79"/>
      <c r="C79"/>
      <c r="D79"/>
      <c r="E79"/>
      <c r="F79"/>
      <c r="G79"/>
      <c r="H79"/>
      <c r="I79"/>
      <c r="J79"/>
      <c r="K79"/>
      <c r="L79"/>
      <c r="M79"/>
      <c r="N79"/>
    </row>
    <row r="80" spans="2:14" ht="14.6" x14ac:dyDescent="0.4">
      <c r="B80"/>
      <c r="C80"/>
      <c r="D80"/>
      <c r="E80"/>
      <c r="F80"/>
      <c r="G80"/>
      <c r="H80"/>
      <c r="I80"/>
      <c r="J80"/>
      <c r="K80"/>
      <c r="L80"/>
      <c r="M80"/>
      <c r="N80"/>
    </row>
    <row r="81" spans="2:14" ht="14.6" x14ac:dyDescent="0.4">
      <c r="B81"/>
      <c r="C81"/>
      <c r="D81"/>
      <c r="E81"/>
      <c r="F81"/>
      <c r="G81"/>
      <c r="H81"/>
      <c r="I81"/>
      <c r="J81"/>
      <c r="K81"/>
      <c r="L81"/>
      <c r="M81"/>
      <c r="N81"/>
    </row>
    <row r="82" spans="2:14" ht="14.6" x14ac:dyDescent="0.4">
      <c r="B82"/>
      <c r="C82"/>
      <c r="D82"/>
      <c r="E82"/>
      <c r="F82"/>
      <c r="G82"/>
      <c r="H82"/>
      <c r="I82"/>
      <c r="J82"/>
      <c r="K82"/>
      <c r="L82"/>
      <c r="M82"/>
      <c r="N82"/>
    </row>
    <row r="83" spans="2:14" ht="14.6" x14ac:dyDescent="0.4">
      <c r="B83"/>
      <c r="C83"/>
      <c r="D83"/>
      <c r="E83"/>
      <c r="F83"/>
      <c r="G83"/>
      <c r="H83"/>
      <c r="I83"/>
      <c r="J83"/>
      <c r="K83"/>
      <c r="L83"/>
      <c r="M83"/>
      <c r="N83"/>
    </row>
    <row r="84" spans="2:14" ht="14.6" x14ac:dyDescent="0.4">
      <c r="B84"/>
      <c r="C84"/>
      <c r="D84"/>
      <c r="E84"/>
      <c r="F84"/>
      <c r="G84"/>
      <c r="H84"/>
      <c r="I84"/>
      <c r="J84"/>
      <c r="K84"/>
      <c r="L84"/>
      <c r="M84"/>
      <c r="N84"/>
    </row>
    <row r="85" spans="2:14" ht="14.6" x14ac:dyDescent="0.4">
      <c r="B85"/>
      <c r="C85"/>
      <c r="D85"/>
      <c r="E85"/>
      <c r="F85"/>
      <c r="G85"/>
      <c r="H85"/>
      <c r="I85"/>
      <c r="J85"/>
      <c r="K85"/>
      <c r="L85"/>
      <c r="M85"/>
      <c r="N85"/>
    </row>
    <row r="86" spans="2:14" ht="14.6" x14ac:dyDescent="0.4">
      <c r="B86"/>
      <c r="C86"/>
      <c r="D86"/>
      <c r="E86"/>
      <c r="F86"/>
      <c r="G86"/>
      <c r="H86"/>
      <c r="I86"/>
      <c r="J86"/>
      <c r="K86"/>
      <c r="L86"/>
      <c r="M86"/>
      <c r="N86"/>
    </row>
    <row r="87" spans="2:14" ht="14.6" x14ac:dyDescent="0.4">
      <c r="B87"/>
      <c r="C87"/>
      <c r="D87"/>
      <c r="E87"/>
      <c r="F87"/>
      <c r="G87"/>
      <c r="H87"/>
      <c r="I87"/>
      <c r="J87"/>
      <c r="K87"/>
      <c r="L87"/>
      <c r="M87"/>
      <c r="N87"/>
    </row>
    <row r="88" spans="2:14" ht="14.6" x14ac:dyDescent="0.4">
      <c r="B88"/>
      <c r="C88"/>
      <c r="D88"/>
      <c r="E88"/>
      <c r="F88"/>
      <c r="G88"/>
      <c r="H88"/>
      <c r="I88"/>
      <c r="J88"/>
      <c r="K88"/>
      <c r="L88"/>
      <c r="M88"/>
      <c r="N88"/>
    </row>
    <row r="89" spans="2:14" ht="14.6" x14ac:dyDescent="0.4">
      <c r="B89"/>
      <c r="C89"/>
      <c r="D89"/>
      <c r="E89"/>
      <c r="F89"/>
      <c r="G89"/>
      <c r="H89"/>
      <c r="I89"/>
      <c r="J89"/>
      <c r="K89"/>
      <c r="L89"/>
      <c r="M89"/>
      <c r="N89"/>
    </row>
    <row r="90" spans="2:14" ht="14.6" x14ac:dyDescent="0.4">
      <c r="B90"/>
      <c r="C90"/>
      <c r="D90"/>
      <c r="E90"/>
      <c r="F90"/>
      <c r="G90"/>
      <c r="H90"/>
      <c r="I90"/>
      <c r="J90"/>
      <c r="K90"/>
      <c r="L90"/>
      <c r="M90"/>
      <c r="N90"/>
    </row>
    <row r="91" spans="2:14" ht="14.6" x14ac:dyDescent="0.4">
      <c r="B91"/>
      <c r="C91"/>
      <c r="D91"/>
      <c r="E91"/>
      <c r="F91"/>
      <c r="G91"/>
      <c r="H91"/>
      <c r="I91"/>
      <c r="J91"/>
      <c r="K91"/>
      <c r="L91"/>
      <c r="M91"/>
      <c r="N91"/>
    </row>
    <row r="92" spans="2:14" ht="14.6" x14ac:dyDescent="0.4">
      <c r="B92"/>
      <c r="C92"/>
      <c r="D92"/>
      <c r="E92"/>
      <c r="F92"/>
      <c r="G92"/>
      <c r="H92"/>
      <c r="I92"/>
      <c r="J92"/>
      <c r="K92"/>
      <c r="L92"/>
      <c r="M92"/>
      <c r="N92"/>
    </row>
    <row r="93" spans="2:14" ht="14.6" x14ac:dyDescent="0.4">
      <c r="B93"/>
      <c r="C93"/>
      <c r="D93"/>
      <c r="E93"/>
      <c r="F93"/>
      <c r="G93"/>
      <c r="H93"/>
      <c r="I93"/>
      <c r="J93"/>
      <c r="K93"/>
      <c r="L93"/>
      <c r="M93"/>
      <c r="N93"/>
    </row>
    <row r="94" spans="2:14" ht="14.6" x14ac:dyDescent="0.4">
      <c r="B94"/>
      <c r="C94"/>
      <c r="D94"/>
      <c r="E94"/>
      <c r="F94"/>
      <c r="G94"/>
      <c r="H94"/>
      <c r="I94"/>
      <c r="J94"/>
      <c r="K94"/>
      <c r="L94"/>
      <c r="M94"/>
      <c r="N94"/>
    </row>
    <row r="95" spans="2:14" ht="14.6" x14ac:dyDescent="0.4">
      <c r="B95"/>
      <c r="C95"/>
      <c r="D95"/>
      <c r="E95"/>
      <c r="F95"/>
      <c r="G95"/>
      <c r="H95"/>
      <c r="I95"/>
      <c r="J95"/>
      <c r="K95"/>
      <c r="L95"/>
      <c r="M95"/>
      <c r="N95"/>
    </row>
    <row r="96" spans="2:14" ht="14.6" x14ac:dyDescent="0.4">
      <c r="B96"/>
      <c r="C96"/>
      <c r="D96"/>
      <c r="E96"/>
      <c r="F96"/>
      <c r="G96"/>
      <c r="H96"/>
      <c r="I96"/>
      <c r="J96"/>
      <c r="K96"/>
      <c r="L96"/>
      <c r="M96"/>
      <c r="N96"/>
    </row>
    <row r="97" spans="2:14" ht="14.6" x14ac:dyDescent="0.4">
      <c r="B97"/>
      <c r="C97"/>
      <c r="D97"/>
      <c r="E97"/>
      <c r="F97"/>
      <c r="G97"/>
      <c r="H97"/>
      <c r="I97"/>
      <c r="J97"/>
      <c r="K97"/>
      <c r="L97"/>
      <c r="M97"/>
      <c r="N97"/>
    </row>
    <row r="98" spans="2:14" ht="14.6" x14ac:dyDescent="0.4">
      <c r="B98"/>
      <c r="C98"/>
      <c r="D98"/>
      <c r="E98"/>
      <c r="F98"/>
      <c r="G98"/>
      <c r="H98"/>
      <c r="I98"/>
      <c r="J98"/>
      <c r="K98"/>
      <c r="L98"/>
      <c r="M98"/>
      <c r="N98"/>
    </row>
    <row r="99" spans="2:14" ht="14.6" x14ac:dyDescent="0.4">
      <c r="B99"/>
      <c r="C99"/>
      <c r="D99"/>
      <c r="E99"/>
      <c r="F99"/>
      <c r="G99"/>
      <c r="H99"/>
      <c r="I99"/>
      <c r="J99"/>
      <c r="K99"/>
      <c r="L99"/>
      <c r="M99"/>
      <c r="N99"/>
    </row>
    <row r="100" spans="2:14" ht="14.6" x14ac:dyDescent="0.4">
      <c r="B100"/>
      <c r="C100"/>
      <c r="D100"/>
      <c r="E100"/>
      <c r="F100"/>
      <c r="G100"/>
      <c r="H100"/>
      <c r="I100"/>
      <c r="J100"/>
      <c r="K100"/>
      <c r="L100"/>
      <c r="M100"/>
      <c r="N100"/>
    </row>
    <row r="101" spans="2:14" ht="14.6" x14ac:dyDescent="0.4">
      <c r="B101"/>
      <c r="C101"/>
      <c r="D101"/>
      <c r="E101"/>
      <c r="F101"/>
      <c r="G101"/>
      <c r="H101"/>
      <c r="I101"/>
      <c r="J101"/>
      <c r="K101"/>
      <c r="L101"/>
      <c r="M101"/>
      <c r="N101"/>
    </row>
    <row r="102" spans="2:14" ht="14.6" x14ac:dyDescent="0.4">
      <c r="B102"/>
      <c r="C102"/>
      <c r="D102"/>
      <c r="E102"/>
      <c r="F102"/>
      <c r="G102"/>
      <c r="H102"/>
      <c r="I102"/>
      <c r="J102"/>
      <c r="K102"/>
      <c r="L102"/>
      <c r="M102"/>
      <c r="N102"/>
    </row>
    <row r="103" spans="2:14" ht="14.6" x14ac:dyDescent="0.4">
      <c r="B103"/>
      <c r="C103"/>
      <c r="D103"/>
      <c r="E103"/>
      <c r="F103"/>
      <c r="G103"/>
      <c r="H103"/>
      <c r="I103"/>
      <c r="J103"/>
      <c r="K103"/>
      <c r="L103"/>
      <c r="M103"/>
      <c r="N103"/>
    </row>
    <row r="104" spans="2:14" ht="14.6" x14ac:dyDescent="0.4">
      <c r="B104"/>
      <c r="C104"/>
      <c r="D104"/>
      <c r="E104"/>
      <c r="F104"/>
      <c r="G104"/>
      <c r="H104"/>
      <c r="I104"/>
      <c r="J104"/>
      <c r="K104"/>
      <c r="L104"/>
      <c r="M104"/>
      <c r="N104"/>
    </row>
    <row r="105" spans="2:14" ht="14.6" x14ac:dyDescent="0.4">
      <c r="B105"/>
      <c r="C105"/>
      <c r="D105"/>
      <c r="E105"/>
      <c r="F105"/>
      <c r="G105"/>
      <c r="H105"/>
      <c r="I105"/>
      <c r="J105"/>
      <c r="K105"/>
      <c r="L105"/>
      <c r="M105"/>
      <c r="N105"/>
    </row>
    <row r="106" spans="2:14" ht="14.6" x14ac:dyDescent="0.4">
      <c r="B106"/>
      <c r="C106"/>
      <c r="D106"/>
      <c r="E106"/>
      <c r="F106"/>
      <c r="G106"/>
      <c r="H106"/>
      <c r="I106"/>
      <c r="J106"/>
      <c r="K106"/>
      <c r="L106"/>
      <c r="M106"/>
      <c r="N106"/>
    </row>
    <row r="107" spans="2:14" ht="14.6" x14ac:dyDescent="0.4">
      <c r="B107"/>
      <c r="C107"/>
      <c r="D107"/>
      <c r="E107"/>
      <c r="F107"/>
      <c r="G107"/>
      <c r="H107"/>
      <c r="I107"/>
      <c r="J107"/>
      <c r="K107"/>
      <c r="L107"/>
      <c r="M107"/>
      <c r="N107"/>
    </row>
    <row r="108" spans="2:14" ht="14.6" x14ac:dyDescent="0.4">
      <c r="B108"/>
      <c r="C108"/>
      <c r="D108"/>
      <c r="E108"/>
      <c r="F108"/>
      <c r="G108"/>
      <c r="H108"/>
      <c r="I108"/>
      <c r="J108"/>
      <c r="K108"/>
      <c r="L108"/>
      <c r="M108"/>
      <c r="N108"/>
    </row>
    <row r="109" spans="2:14" ht="14.6" x14ac:dyDescent="0.4">
      <c r="B109"/>
      <c r="C109"/>
      <c r="D109"/>
      <c r="E109"/>
      <c r="F109"/>
      <c r="G109"/>
      <c r="H109"/>
      <c r="I109"/>
      <c r="J109"/>
      <c r="K109"/>
      <c r="L109"/>
      <c r="M109"/>
      <c r="N109"/>
    </row>
    <row r="110" spans="2:14" ht="14.6" x14ac:dyDescent="0.4">
      <c r="B110"/>
      <c r="C110"/>
      <c r="D110"/>
      <c r="E110"/>
      <c r="F110"/>
      <c r="G110"/>
      <c r="H110"/>
      <c r="I110"/>
      <c r="J110"/>
      <c r="K110"/>
      <c r="L110"/>
      <c r="M110"/>
      <c r="N110"/>
    </row>
    <row r="111" spans="2:14" ht="14.6" x14ac:dyDescent="0.4">
      <c r="B111"/>
      <c r="C111"/>
      <c r="D111"/>
      <c r="E111"/>
      <c r="F111"/>
      <c r="G111"/>
      <c r="H111"/>
      <c r="I111"/>
      <c r="J111"/>
      <c r="K111"/>
      <c r="L111"/>
      <c r="M111"/>
      <c r="N111"/>
    </row>
    <row r="112" spans="2:14" ht="14.6" x14ac:dyDescent="0.4">
      <c r="B112"/>
      <c r="C112"/>
      <c r="D112"/>
      <c r="E112"/>
      <c r="F112"/>
      <c r="G112"/>
      <c r="H112"/>
      <c r="I112"/>
      <c r="J112"/>
      <c r="K112"/>
      <c r="L112"/>
      <c r="M112"/>
      <c r="N112"/>
    </row>
    <row r="113" spans="2:14" ht="14.6" x14ac:dyDescent="0.4">
      <c r="B113"/>
      <c r="C113"/>
      <c r="D113"/>
      <c r="E113"/>
      <c r="F113"/>
      <c r="G113"/>
      <c r="H113"/>
      <c r="I113"/>
      <c r="J113"/>
      <c r="K113"/>
      <c r="L113"/>
      <c r="M113"/>
      <c r="N113"/>
    </row>
    <row r="114" spans="2:14" ht="14.6" x14ac:dyDescent="0.4">
      <c r="B114"/>
      <c r="C114"/>
      <c r="D114"/>
      <c r="E114"/>
      <c r="F114"/>
      <c r="G114"/>
      <c r="H114"/>
      <c r="I114"/>
      <c r="J114"/>
      <c r="K114"/>
      <c r="L114"/>
      <c r="M114"/>
      <c r="N114"/>
    </row>
    <row r="115" spans="2:14" ht="14.6" x14ac:dyDescent="0.4">
      <c r="B115"/>
      <c r="C115"/>
      <c r="D115"/>
      <c r="E115"/>
      <c r="F115"/>
      <c r="G115"/>
      <c r="H115"/>
      <c r="I115"/>
      <c r="J115"/>
      <c r="K115"/>
      <c r="L115"/>
      <c r="M115"/>
      <c r="N115"/>
    </row>
    <row r="116" spans="2:14" ht="14.6" x14ac:dyDescent="0.4">
      <c r="B116"/>
      <c r="C116"/>
      <c r="D116"/>
      <c r="E116"/>
      <c r="F116"/>
      <c r="G116"/>
      <c r="H116"/>
      <c r="I116"/>
      <c r="J116"/>
      <c r="K116"/>
      <c r="L116"/>
      <c r="M116"/>
      <c r="N116"/>
    </row>
    <row r="117" spans="2:14" ht="14.6" x14ac:dyDescent="0.4">
      <c r="B117"/>
      <c r="C117"/>
      <c r="D117"/>
      <c r="E117"/>
      <c r="F117"/>
      <c r="G117"/>
      <c r="H117"/>
      <c r="I117"/>
      <c r="J117"/>
      <c r="K117"/>
      <c r="L117"/>
      <c r="M117"/>
      <c r="N117"/>
    </row>
    <row r="118" spans="2:14" ht="14.6" x14ac:dyDescent="0.4">
      <c r="B118"/>
      <c r="C118"/>
      <c r="D118"/>
      <c r="E118"/>
      <c r="F118"/>
      <c r="G118"/>
      <c r="H118"/>
      <c r="I118"/>
      <c r="J118"/>
      <c r="K118"/>
      <c r="L118"/>
      <c r="M118"/>
      <c r="N118"/>
    </row>
    <row r="119" spans="2:14" ht="14.6" x14ac:dyDescent="0.4">
      <c r="B119"/>
      <c r="C119"/>
      <c r="D119"/>
      <c r="E119"/>
      <c r="F119"/>
      <c r="G119"/>
      <c r="H119"/>
      <c r="I119"/>
      <c r="J119"/>
      <c r="K119"/>
      <c r="L119"/>
      <c r="M119"/>
      <c r="N119"/>
    </row>
    <row r="120" spans="2:14" ht="14.6" x14ac:dyDescent="0.4">
      <c r="B120"/>
      <c r="C120"/>
      <c r="D120"/>
      <c r="E120"/>
      <c r="F120"/>
      <c r="G120"/>
      <c r="H120"/>
      <c r="I120"/>
      <c r="J120"/>
      <c r="K120"/>
      <c r="L120"/>
      <c r="M120"/>
      <c r="N120"/>
    </row>
    <row r="121" spans="2:14" ht="14.6" x14ac:dyDescent="0.4">
      <c r="B121"/>
      <c r="C121"/>
      <c r="D121"/>
      <c r="E121"/>
      <c r="F121"/>
      <c r="G121"/>
      <c r="H121"/>
      <c r="I121"/>
      <c r="J121"/>
      <c r="K121"/>
      <c r="L121"/>
      <c r="M121"/>
      <c r="N121"/>
    </row>
    <row r="122" spans="2:14" ht="14.6" x14ac:dyDescent="0.4">
      <c r="B122"/>
      <c r="C122"/>
      <c r="D122"/>
      <c r="E122"/>
      <c r="F122"/>
      <c r="G122"/>
      <c r="H122"/>
      <c r="I122"/>
      <c r="J122"/>
      <c r="K122"/>
      <c r="L122"/>
      <c r="M122"/>
      <c r="N122"/>
    </row>
    <row r="123" spans="2:14" ht="14.6" x14ac:dyDescent="0.4">
      <c r="B123"/>
      <c r="C123"/>
      <c r="D123"/>
      <c r="E123"/>
      <c r="F123"/>
      <c r="G123"/>
      <c r="H123"/>
      <c r="I123"/>
      <c r="J123"/>
      <c r="K123"/>
      <c r="L123"/>
      <c r="M123"/>
      <c r="N123"/>
    </row>
    <row r="124" spans="2:14" ht="14.6" x14ac:dyDescent="0.4">
      <c r="B124"/>
      <c r="C124"/>
      <c r="D124"/>
      <c r="E124"/>
      <c r="F124"/>
      <c r="G124"/>
      <c r="H124"/>
      <c r="I124"/>
      <c r="J124"/>
      <c r="K124"/>
      <c r="L124"/>
      <c r="M124"/>
      <c r="N124"/>
    </row>
    <row r="125" spans="2:14" ht="14.6" x14ac:dyDescent="0.4">
      <c r="B125"/>
      <c r="C125"/>
      <c r="D125"/>
      <c r="E125"/>
      <c r="F125"/>
      <c r="G125"/>
      <c r="H125"/>
      <c r="I125"/>
      <c r="J125"/>
      <c r="K125"/>
      <c r="L125"/>
      <c r="M125"/>
      <c r="N125"/>
    </row>
    <row r="126" spans="2:14" ht="14.6" x14ac:dyDescent="0.4">
      <c r="B126"/>
      <c r="C126"/>
      <c r="D126"/>
      <c r="E126"/>
      <c r="F126"/>
      <c r="G126"/>
      <c r="H126"/>
      <c r="I126"/>
      <c r="J126"/>
      <c r="K126"/>
      <c r="L126"/>
      <c r="M126"/>
      <c r="N126"/>
    </row>
    <row r="127" spans="2:14" ht="14.6" x14ac:dyDescent="0.4">
      <c r="B127"/>
      <c r="C127"/>
      <c r="D127"/>
      <c r="E127"/>
      <c r="F127"/>
      <c r="G127"/>
      <c r="H127"/>
      <c r="I127"/>
      <c r="J127"/>
      <c r="K127"/>
      <c r="L127"/>
      <c r="M127"/>
      <c r="N127"/>
    </row>
    <row r="128" spans="2:14" ht="14.6" x14ac:dyDescent="0.4">
      <c r="B128"/>
      <c r="C128"/>
      <c r="D128"/>
      <c r="E128"/>
      <c r="F128"/>
      <c r="G128"/>
      <c r="H128"/>
      <c r="I128"/>
      <c r="J128"/>
      <c r="K128"/>
      <c r="L128"/>
      <c r="M128"/>
      <c r="N128"/>
    </row>
    <row r="129" spans="2:14" ht="14.6" x14ac:dyDescent="0.4">
      <c r="B129"/>
      <c r="C129"/>
      <c r="D129"/>
      <c r="E129"/>
      <c r="F129"/>
      <c r="G129"/>
      <c r="H129"/>
      <c r="I129"/>
      <c r="J129"/>
      <c r="K129"/>
      <c r="L129"/>
      <c r="M129"/>
      <c r="N129"/>
    </row>
    <row r="130" spans="2:14" ht="14.6" x14ac:dyDescent="0.4">
      <c r="B130"/>
      <c r="C130"/>
      <c r="D130"/>
      <c r="E130"/>
      <c r="F130"/>
      <c r="G130"/>
      <c r="H130"/>
      <c r="I130"/>
      <c r="J130"/>
      <c r="K130"/>
      <c r="L130"/>
      <c r="M130"/>
      <c r="N130"/>
    </row>
    <row r="131" spans="2:14" ht="14.6" x14ac:dyDescent="0.4">
      <c r="B131"/>
      <c r="C131"/>
      <c r="D131"/>
      <c r="E131"/>
      <c r="F131"/>
      <c r="G131"/>
      <c r="H131"/>
      <c r="I131"/>
      <c r="J131"/>
      <c r="K131"/>
      <c r="L131"/>
      <c r="M131"/>
      <c r="N131"/>
    </row>
    <row r="132" spans="2:14" ht="14.6" x14ac:dyDescent="0.4">
      <c r="B132"/>
      <c r="C132"/>
      <c r="D132"/>
      <c r="E132"/>
      <c r="F132"/>
      <c r="G132"/>
      <c r="H132"/>
      <c r="I132"/>
      <c r="J132"/>
      <c r="K132"/>
      <c r="L132"/>
      <c r="M132"/>
      <c r="N132"/>
    </row>
    <row r="133" spans="2:14" ht="14.6" x14ac:dyDescent="0.4">
      <c r="B133"/>
      <c r="C133"/>
      <c r="D133"/>
      <c r="E133"/>
      <c r="F133"/>
      <c r="G133"/>
      <c r="H133"/>
      <c r="I133"/>
      <c r="J133"/>
      <c r="K133"/>
      <c r="L133"/>
      <c r="M133"/>
      <c r="N133"/>
    </row>
    <row r="134" spans="2:14" ht="14.6" x14ac:dyDescent="0.4">
      <c r="B134"/>
      <c r="C134"/>
      <c r="D134"/>
      <c r="E134"/>
      <c r="F134"/>
      <c r="G134"/>
      <c r="H134"/>
      <c r="I134"/>
      <c r="J134"/>
      <c r="K134"/>
      <c r="L134"/>
      <c r="M134"/>
      <c r="N134"/>
    </row>
    <row r="135" spans="2:14" ht="14.6" x14ac:dyDescent="0.4">
      <c r="B135"/>
      <c r="C135"/>
      <c r="D135"/>
      <c r="E135"/>
      <c r="F135"/>
      <c r="G135"/>
      <c r="H135"/>
      <c r="I135"/>
      <c r="J135"/>
      <c r="K135"/>
      <c r="L135"/>
      <c r="M135"/>
      <c r="N135"/>
    </row>
    <row r="136" spans="2:14" ht="14.6" x14ac:dyDescent="0.4">
      <c r="B136"/>
      <c r="C136"/>
      <c r="D136"/>
      <c r="E136"/>
      <c r="F136"/>
      <c r="G136"/>
      <c r="H136"/>
      <c r="I136"/>
      <c r="J136"/>
      <c r="K136"/>
      <c r="L136"/>
      <c r="M136"/>
      <c r="N136"/>
    </row>
    <row r="137" spans="2:14" ht="14.6" x14ac:dyDescent="0.4">
      <c r="B137"/>
      <c r="C137"/>
      <c r="D137"/>
      <c r="E137"/>
      <c r="F137"/>
      <c r="G137"/>
      <c r="H137"/>
      <c r="I137"/>
      <c r="J137"/>
      <c r="K137"/>
      <c r="L137"/>
      <c r="M137"/>
      <c r="N137"/>
    </row>
    <row r="138" spans="2:14" ht="14.6" x14ac:dyDescent="0.4">
      <c r="B138"/>
      <c r="C138"/>
      <c r="D138"/>
      <c r="E138"/>
      <c r="F138"/>
      <c r="G138"/>
      <c r="H138"/>
      <c r="I138"/>
      <c r="J138"/>
      <c r="K138"/>
      <c r="L138"/>
      <c r="M138"/>
      <c r="N138"/>
    </row>
    <row r="139" spans="2:14" ht="14.6" x14ac:dyDescent="0.4">
      <c r="B139"/>
      <c r="C139"/>
      <c r="D139"/>
      <c r="E139"/>
      <c r="F139"/>
      <c r="G139"/>
      <c r="H139"/>
      <c r="I139"/>
      <c r="J139"/>
      <c r="K139"/>
      <c r="L139"/>
      <c r="M139"/>
      <c r="N139"/>
    </row>
    <row r="140" spans="2:14" ht="14.6" x14ac:dyDescent="0.4">
      <c r="B140"/>
      <c r="C140"/>
      <c r="D140"/>
      <c r="E140"/>
      <c r="F140"/>
      <c r="G140"/>
      <c r="H140"/>
      <c r="I140"/>
      <c r="J140"/>
      <c r="K140"/>
      <c r="L140"/>
      <c r="M140"/>
      <c r="N140"/>
    </row>
    <row r="141" spans="2:14" ht="14.6" x14ac:dyDescent="0.4">
      <c r="B141"/>
      <c r="C141"/>
      <c r="D141"/>
      <c r="E141"/>
      <c r="F141"/>
      <c r="G141"/>
      <c r="H141"/>
      <c r="I141"/>
      <c r="J141"/>
      <c r="K141"/>
      <c r="L141"/>
      <c r="M141"/>
      <c r="N141"/>
    </row>
    <row r="142" spans="2:14" ht="14.6" x14ac:dyDescent="0.4">
      <c r="B142"/>
      <c r="C142"/>
      <c r="D142"/>
      <c r="E142"/>
      <c r="F142"/>
      <c r="G142"/>
      <c r="H142"/>
      <c r="I142"/>
      <c r="J142"/>
      <c r="K142"/>
      <c r="L142"/>
      <c r="M142"/>
      <c r="N142"/>
    </row>
    <row r="143" spans="2:14" ht="14.6" x14ac:dyDescent="0.4">
      <c r="B143"/>
      <c r="C143"/>
      <c r="D143"/>
      <c r="E143"/>
      <c r="F143"/>
      <c r="G143"/>
      <c r="H143"/>
      <c r="I143"/>
      <c r="J143"/>
      <c r="K143"/>
      <c r="L143"/>
      <c r="M143"/>
      <c r="N143"/>
    </row>
    <row r="144" spans="2:14" ht="14.6" x14ac:dyDescent="0.4">
      <c r="B144"/>
      <c r="C144"/>
      <c r="D144"/>
      <c r="E144"/>
      <c r="F144"/>
      <c r="G144"/>
      <c r="H144"/>
      <c r="I144"/>
      <c r="J144"/>
      <c r="K144"/>
      <c r="L144"/>
      <c r="M144"/>
      <c r="N144"/>
    </row>
    <row r="145" spans="2:14" ht="14.6" x14ac:dyDescent="0.4">
      <c r="B145"/>
      <c r="C145"/>
      <c r="D145"/>
      <c r="E145"/>
      <c r="F145"/>
      <c r="G145"/>
      <c r="H145"/>
      <c r="I145"/>
      <c r="J145"/>
      <c r="K145"/>
      <c r="L145"/>
      <c r="M145"/>
      <c r="N145"/>
    </row>
    <row r="146" spans="2:14" ht="14.6" x14ac:dyDescent="0.4">
      <c r="B146"/>
      <c r="C146"/>
      <c r="D146"/>
      <c r="E146"/>
      <c r="F146"/>
      <c r="G146"/>
      <c r="H146"/>
      <c r="I146"/>
      <c r="J146"/>
      <c r="K146"/>
      <c r="L146"/>
      <c r="M146"/>
      <c r="N146"/>
    </row>
    <row r="147" spans="2:14" ht="14.6" x14ac:dyDescent="0.4">
      <c r="B147"/>
      <c r="C147"/>
      <c r="D147"/>
      <c r="E147"/>
      <c r="F147"/>
      <c r="G147"/>
      <c r="H147"/>
      <c r="I147"/>
      <c r="J147"/>
      <c r="K147"/>
      <c r="L147"/>
      <c r="M147"/>
      <c r="N147"/>
    </row>
    <row r="148" spans="2:14" ht="14.6" x14ac:dyDescent="0.4">
      <c r="B148"/>
      <c r="C148"/>
      <c r="D148"/>
      <c r="E148"/>
      <c r="F148"/>
      <c r="G148"/>
      <c r="H148"/>
      <c r="I148"/>
      <c r="J148"/>
      <c r="K148"/>
      <c r="L148"/>
      <c r="M148"/>
      <c r="N148"/>
    </row>
    <row r="149" spans="2:14" ht="14.6" x14ac:dyDescent="0.4">
      <c r="B149"/>
      <c r="C149"/>
      <c r="D149"/>
      <c r="E149"/>
      <c r="F149"/>
      <c r="G149"/>
      <c r="H149"/>
      <c r="I149"/>
      <c r="J149"/>
      <c r="K149"/>
      <c r="L149"/>
      <c r="M149"/>
      <c r="N149"/>
    </row>
    <row r="150" spans="2:14" ht="14.6" x14ac:dyDescent="0.4">
      <c r="B150"/>
      <c r="C150"/>
      <c r="D150"/>
      <c r="E150"/>
      <c r="F150"/>
      <c r="G150"/>
      <c r="H150"/>
      <c r="I150"/>
      <c r="J150"/>
      <c r="K150"/>
      <c r="L150"/>
      <c r="M150"/>
      <c r="N150"/>
    </row>
    <row r="151" spans="2:14" ht="14.6" x14ac:dyDescent="0.4">
      <c r="B151"/>
      <c r="C151"/>
      <c r="D151"/>
      <c r="E151"/>
      <c r="F151"/>
      <c r="G151"/>
      <c r="H151"/>
      <c r="I151"/>
      <c r="J151"/>
      <c r="K151"/>
      <c r="L151"/>
      <c r="M151"/>
      <c r="N151"/>
    </row>
    <row r="152" spans="2:14" ht="14.6" x14ac:dyDescent="0.4">
      <c r="B152"/>
      <c r="C152"/>
      <c r="D152"/>
      <c r="E152"/>
      <c r="F152"/>
      <c r="G152"/>
      <c r="H152"/>
      <c r="I152"/>
      <c r="J152"/>
      <c r="K152"/>
      <c r="L152"/>
      <c r="M152"/>
      <c r="N152"/>
    </row>
    <row r="153" spans="2:14" ht="14.6" x14ac:dyDescent="0.4">
      <c r="B153"/>
      <c r="C153"/>
      <c r="D153"/>
      <c r="E153"/>
      <c r="F153"/>
      <c r="G153"/>
      <c r="H153"/>
      <c r="I153"/>
      <c r="J153"/>
      <c r="K153"/>
      <c r="L153"/>
      <c r="M153"/>
      <c r="N153"/>
    </row>
    <row r="154" spans="2:14" ht="14.6" x14ac:dyDescent="0.4">
      <c r="B154"/>
      <c r="C154"/>
      <c r="D154"/>
      <c r="E154"/>
      <c r="F154"/>
      <c r="G154"/>
      <c r="H154"/>
      <c r="I154"/>
      <c r="J154"/>
      <c r="K154"/>
      <c r="L154"/>
      <c r="M154"/>
      <c r="N154"/>
    </row>
    <row r="155" spans="2:14" ht="14.6" x14ac:dyDescent="0.4">
      <c r="B155"/>
      <c r="C155"/>
      <c r="D155"/>
      <c r="E155"/>
      <c r="F155"/>
      <c r="G155"/>
      <c r="H155"/>
      <c r="I155"/>
      <c r="J155"/>
      <c r="K155"/>
      <c r="L155"/>
      <c r="M155"/>
      <c r="N155"/>
    </row>
    <row r="156" spans="2:14" ht="14.6" x14ac:dyDescent="0.4">
      <c r="B156"/>
      <c r="C156"/>
      <c r="D156"/>
      <c r="E156"/>
      <c r="F156"/>
      <c r="G156"/>
      <c r="H156"/>
      <c r="I156"/>
      <c r="J156"/>
      <c r="K156"/>
      <c r="L156"/>
      <c r="M156"/>
      <c r="N156"/>
    </row>
    <row r="157" spans="2:14" ht="14.6" x14ac:dyDescent="0.4">
      <c r="B157"/>
      <c r="C157"/>
      <c r="D157"/>
      <c r="E157"/>
      <c r="F157"/>
      <c r="G157"/>
      <c r="H157"/>
      <c r="I157"/>
      <c r="J157"/>
      <c r="K157"/>
      <c r="L157"/>
      <c r="M157"/>
      <c r="N157"/>
    </row>
    <row r="158" spans="2:14" ht="14.6" x14ac:dyDescent="0.4">
      <c r="B158"/>
      <c r="C158"/>
      <c r="D158"/>
      <c r="E158"/>
      <c r="F158"/>
      <c r="G158"/>
      <c r="H158"/>
      <c r="I158"/>
      <c r="J158"/>
      <c r="K158"/>
      <c r="L158"/>
      <c r="M158"/>
      <c r="N158"/>
    </row>
    <row r="159" spans="2:14" ht="14.6" x14ac:dyDescent="0.4">
      <c r="B159"/>
      <c r="C159"/>
      <c r="D159"/>
      <c r="E159"/>
      <c r="F159"/>
      <c r="G159"/>
      <c r="H159"/>
      <c r="I159"/>
      <c r="J159"/>
      <c r="K159"/>
      <c r="L159"/>
      <c r="M159"/>
      <c r="N159"/>
    </row>
    <row r="160" spans="2:14" ht="14.6" x14ac:dyDescent="0.4">
      <c r="B160"/>
      <c r="C160"/>
      <c r="D160"/>
      <c r="E160"/>
      <c r="F160"/>
      <c r="G160"/>
      <c r="H160"/>
      <c r="I160"/>
      <c r="J160"/>
      <c r="K160"/>
      <c r="L160"/>
      <c r="M160"/>
      <c r="N160"/>
    </row>
    <row r="161" spans="2:14" ht="14.6" x14ac:dyDescent="0.4">
      <c r="B161"/>
      <c r="C161"/>
      <c r="D161"/>
      <c r="E161"/>
      <c r="F161"/>
      <c r="G161"/>
      <c r="H161"/>
      <c r="I161"/>
      <c r="J161"/>
      <c r="K161"/>
      <c r="L161"/>
      <c r="M161"/>
      <c r="N161"/>
    </row>
    <row r="162" spans="2:14" ht="14.6" x14ac:dyDescent="0.4">
      <c r="B162"/>
      <c r="C162"/>
      <c r="D162"/>
      <c r="E162"/>
      <c r="F162"/>
      <c r="G162"/>
      <c r="H162"/>
      <c r="I162"/>
      <c r="J162"/>
      <c r="K162"/>
      <c r="L162"/>
      <c r="M162"/>
      <c r="N162"/>
    </row>
    <row r="163" spans="2:14" ht="14.6" x14ac:dyDescent="0.4">
      <c r="B163"/>
      <c r="C163"/>
      <c r="D163"/>
      <c r="E163"/>
      <c r="F163"/>
      <c r="G163"/>
      <c r="H163"/>
      <c r="I163"/>
      <c r="J163"/>
      <c r="K163"/>
      <c r="L163"/>
      <c r="M163"/>
      <c r="N163"/>
    </row>
    <row r="164" spans="2:14" ht="14.6" x14ac:dyDescent="0.4">
      <c r="B164"/>
      <c r="C164"/>
      <c r="D164"/>
      <c r="E164"/>
      <c r="F164"/>
      <c r="G164"/>
      <c r="H164"/>
      <c r="I164"/>
      <c r="J164"/>
      <c r="K164"/>
      <c r="L164"/>
      <c r="M164"/>
      <c r="N164"/>
    </row>
    <row r="165" spans="2:14" ht="14.6" x14ac:dyDescent="0.4">
      <c r="B165"/>
      <c r="C165"/>
      <c r="D165"/>
      <c r="E165"/>
      <c r="F165"/>
      <c r="G165"/>
      <c r="H165"/>
      <c r="I165"/>
      <c r="J165"/>
      <c r="K165"/>
      <c r="L165"/>
      <c r="M165"/>
      <c r="N165"/>
    </row>
    <row r="166" spans="2:14" ht="14.6" x14ac:dyDescent="0.4">
      <c r="B166"/>
      <c r="C166"/>
      <c r="D166"/>
      <c r="E166"/>
      <c r="F166"/>
      <c r="G166"/>
      <c r="H166"/>
      <c r="I166"/>
      <c r="J166"/>
      <c r="K166"/>
      <c r="L166"/>
      <c r="M166"/>
      <c r="N166"/>
    </row>
    <row r="167" spans="2:14" ht="14.6" x14ac:dyDescent="0.4">
      <c r="B167"/>
      <c r="C167"/>
      <c r="D167"/>
      <c r="E167"/>
      <c r="F167"/>
      <c r="G167"/>
      <c r="H167"/>
      <c r="I167"/>
      <c r="J167"/>
      <c r="K167"/>
      <c r="L167"/>
      <c r="M167"/>
      <c r="N167"/>
    </row>
    <row r="168" spans="2:14" ht="14.6" x14ac:dyDescent="0.4">
      <c r="B168"/>
      <c r="C168"/>
      <c r="D168"/>
      <c r="E168"/>
      <c r="F168"/>
      <c r="G168"/>
      <c r="H168"/>
      <c r="I168"/>
      <c r="J168"/>
      <c r="K168"/>
      <c r="L168"/>
      <c r="M168"/>
      <c r="N168"/>
    </row>
    <row r="169" spans="2:14" ht="14.6" x14ac:dyDescent="0.4">
      <c r="B169"/>
      <c r="C169"/>
      <c r="D169"/>
      <c r="E169"/>
      <c r="F169"/>
      <c r="G169"/>
      <c r="H169"/>
      <c r="I169"/>
      <c r="J169"/>
      <c r="K169"/>
      <c r="L169"/>
      <c r="M169"/>
      <c r="N169"/>
    </row>
    <row r="170" spans="2:14" ht="14.6" x14ac:dyDescent="0.4">
      <c r="B170"/>
      <c r="C170"/>
      <c r="D170"/>
      <c r="E170"/>
      <c r="F170"/>
      <c r="G170"/>
      <c r="H170"/>
      <c r="I170"/>
      <c r="J170"/>
      <c r="K170"/>
      <c r="L170"/>
      <c r="M170"/>
      <c r="N170"/>
    </row>
    <row r="171" spans="2:14" ht="14.6" x14ac:dyDescent="0.4">
      <c r="B171"/>
      <c r="C171"/>
      <c r="D171"/>
      <c r="E171"/>
      <c r="F171"/>
      <c r="G171"/>
      <c r="H171"/>
      <c r="I171"/>
      <c r="J171"/>
      <c r="K171"/>
      <c r="L171"/>
      <c r="M171"/>
      <c r="N171"/>
    </row>
    <row r="172" spans="2:14" ht="14.6" x14ac:dyDescent="0.4">
      <c r="B172"/>
      <c r="C172"/>
      <c r="D172"/>
      <c r="E172"/>
      <c r="F172"/>
      <c r="G172"/>
      <c r="H172"/>
      <c r="I172"/>
      <c r="J172"/>
      <c r="K172"/>
      <c r="L172"/>
      <c r="M172"/>
      <c r="N172"/>
    </row>
    <row r="173" spans="2:14" ht="14.6" x14ac:dyDescent="0.4">
      <c r="B173"/>
      <c r="C173"/>
      <c r="D173"/>
      <c r="E173"/>
      <c r="F173"/>
      <c r="G173"/>
      <c r="H173"/>
      <c r="I173"/>
      <c r="J173"/>
      <c r="K173"/>
      <c r="L173"/>
      <c r="M173"/>
      <c r="N173"/>
    </row>
    <row r="174" spans="2:14" ht="14.6" x14ac:dyDescent="0.4">
      <c r="B174"/>
      <c r="C174"/>
      <c r="D174"/>
      <c r="E174"/>
      <c r="F174"/>
      <c r="G174"/>
      <c r="H174"/>
      <c r="I174"/>
      <c r="J174"/>
      <c r="K174"/>
      <c r="L174"/>
      <c r="M174"/>
      <c r="N174"/>
    </row>
    <row r="175" spans="2:14" ht="14.6" x14ac:dyDescent="0.4">
      <c r="B175"/>
      <c r="C175"/>
      <c r="D175"/>
      <c r="E175"/>
      <c r="F175"/>
      <c r="G175"/>
      <c r="H175"/>
      <c r="I175"/>
      <c r="J175"/>
      <c r="K175"/>
      <c r="L175"/>
      <c r="M175"/>
      <c r="N175"/>
    </row>
    <row r="176" spans="2:14" ht="14.6" x14ac:dyDescent="0.4">
      <c r="B176"/>
      <c r="C176"/>
      <c r="D176"/>
      <c r="E176"/>
      <c r="F176"/>
      <c r="G176"/>
      <c r="H176"/>
      <c r="I176"/>
      <c r="J176"/>
      <c r="K176"/>
      <c r="L176"/>
      <c r="M176"/>
      <c r="N176"/>
    </row>
    <row r="177" spans="2:14" ht="14.6" x14ac:dyDescent="0.4">
      <c r="B177"/>
      <c r="C177"/>
      <c r="D177"/>
      <c r="E177"/>
      <c r="F177"/>
      <c r="G177"/>
      <c r="H177"/>
      <c r="I177"/>
      <c r="J177"/>
      <c r="K177"/>
      <c r="L177"/>
      <c r="M177"/>
      <c r="N177"/>
    </row>
    <row r="178" spans="2:14" ht="14.6" x14ac:dyDescent="0.4">
      <c r="B178"/>
      <c r="C178"/>
      <c r="D178"/>
      <c r="E178"/>
      <c r="F178"/>
      <c r="G178"/>
      <c r="H178"/>
      <c r="I178"/>
      <c r="J178"/>
      <c r="K178"/>
      <c r="L178"/>
      <c r="M178"/>
      <c r="N178"/>
    </row>
    <row r="179" spans="2:14" ht="14.6" x14ac:dyDescent="0.4">
      <c r="B179"/>
      <c r="C179"/>
      <c r="D179"/>
      <c r="E179"/>
      <c r="F179"/>
      <c r="G179"/>
      <c r="H179"/>
      <c r="I179"/>
      <c r="J179"/>
      <c r="K179"/>
      <c r="L179"/>
      <c r="M179"/>
      <c r="N179"/>
    </row>
    <row r="180" spans="2:14" ht="14.6" x14ac:dyDescent="0.4">
      <c r="B180"/>
      <c r="C180"/>
      <c r="D180"/>
      <c r="E180"/>
      <c r="F180"/>
      <c r="G180"/>
      <c r="H180"/>
      <c r="I180"/>
      <c r="J180"/>
      <c r="K180"/>
      <c r="L180"/>
      <c r="M180"/>
      <c r="N180"/>
    </row>
    <row r="181" spans="2:14" ht="14.6" x14ac:dyDescent="0.4">
      <c r="B181"/>
      <c r="C181"/>
      <c r="D181"/>
      <c r="E181"/>
      <c r="F181"/>
      <c r="G181"/>
      <c r="H181"/>
      <c r="I181"/>
      <c r="J181"/>
      <c r="K181"/>
      <c r="L181"/>
      <c r="M181"/>
      <c r="N181"/>
    </row>
    <row r="182" spans="2:14" ht="14.6" x14ac:dyDescent="0.4">
      <c r="B182"/>
      <c r="C182"/>
      <c r="D182"/>
      <c r="E182"/>
      <c r="F182"/>
      <c r="G182"/>
      <c r="H182"/>
      <c r="I182"/>
      <c r="J182"/>
      <c r="K182"/>
      <c r="L182"/>
      <c r="M182"/>
      <c r="N182"/>
    </row>
    <row r="183" spans="2:14" ht="14.6" x14ac:dyDescent="0.4">
      <c r="B183"/>
      <c r="C183"/>
      <c r="D183"/>
      <c r="E183"/>
      <c r="F183"/>
      <c r="G183"/>
      <c r="H183"/>
      <c r="I183"/>
      <c r="J183"/>
      <c r="K183"/>
      <c r="L183"/>
      <c r="M183"/>
      <c r="N183"/>
    </row>
    <row r="184" spans="2:14" ht="14.6" x14ac:dyDescent="0.4">
      <c r="B184"/>
      <c r="C184"/>
      <c r="D184"/>
      <c r="E184"/>
      <c r="F184"/>
      <c r="G184"/>
      <c r="H184"/>
      <c r="I184"/>
      <c r="J184"/>
      <c r="K184"/>
      <c r="L184"/>
      <c r="M184"/>
      <c r="N184"/>
    </row>
    <row r="185" spans="2:14" ht="14.6" x14ac:dyDescent="0.4">
      <c r="B185"/>
      <c r="C185"/>
      <c r="D185"/>
      <c r="E185"/>
      <c r="F185"/>
      <c r="G185"/>
      <c r="H185"/>
      <c r="I185"/>
      <c r="J185"/>
      <c r="K185"/>
      <c r="L185"/>
      <c r="M185"/>
      <c r="N185"/>
    </row>
    <row r="186" spans="2:14" ht="14.6" x14ac:dyDescent="0.4">
      <c r="B186"/>
      <c r="C186"/>
      <c r="D186"/>
      <c r="E186"/>
      <c r="F186"/>
      <c r="G186"/>
      <c r="H186"/>
      <c r="I186"/>
      <c r="J186"/>
      <c r="K186"/>
      <c r="L186"/>
      <c r="M186"/>
      <c r="N186"/>
    </row>
    <row r="187" spans="2:14" ht="14.6" x14ac:dyDescent="0.4">
      <c r="B187"/>
      <c r="C187"/>
      <c r="D187"/>
      <c r="E187"/>
      <c r="F187"/>
      <c r="G187"/>
      <c r="H187"/>
      <c r="I187"/>
      <c r="J187"/>
      <c r="K187"/>
      <c r="L187"/>
      <c r="M187"/>
      <c r="N187"/>
    </row>
    <row r="188" spans="2:14" ht="14.6" x14ac:dyDescent="0.4">
      <c r="B188"/>
      <c r="C188"/>
      <c r="D188"/>
      <c r="E188"/>
      <c r="F188"/>
      <c r="G188"/>
      <c r="H188"/>
      <c r="I188"/>
      <c r="J188"/>
      <c r="K188"/>
      <c r="L188"/>
      <c r="M188"/>
      <c r="N188"/>
    </row>
    <row r="189" spans="2:14" ht="14.6" x14ac:dyDescent="0.4">
      <c r="B189"/>
      <c r="C189"/>
      <c r="D189"/>
      <c r="E189"/>
      <c r="F189"/>
      <c r="G189"/>
      <c r="H189"/>
      <c r="I189"/>
      <c r="J189"/>
      <c r="K189"/>
      <c r="L189"/>
      <c r="M189"/>
      <c r="N189"/>
    </row>
    <row r="190" spans="2:14" ht="14.6" x14ac:dyDescent="0.4">
      <c r="B190"/>
      <c r="C190"/>
      <c r="D190"/>
      <c r="E190"/>
      <c r="F190"/>
      <c r="G190" s="80"/>
      <c r="H190"/>
      <c r="I190" s="80"/>
      <c r="J190"/>
      <c r="K190"/>
      <c r="L190"/>
      <c r="M190"/>
      <c r="N190"/>
    </row>
    <row r="191" spans="2:14" ht="14.6" x14ac:dyDescent="0.4">
      <c r="B191"/>
      <c r="C191"/>
      <c r="D191"/>
      <c r="E191"/>
      <c r="F191"/>
      <c r="G191" s="80"/>
      <c r="H191"/>
      <c r="I191" s="80"/>
      <c r="J191"/>
      <c r="K191"/>
      <c r="L191"/>
      <c r="M191"/>
      <c r="N191"/>
    </row>
    <row r="192" spans="2:14" ht="14.6" x14ac:dyDescent="0.4">
      <c r="B192"/>
      <c r="C192"/>
      <c r="D192"/>
      <c r="E192"/>
      <c r="F192"/>
      <c r="G192" s="80"/>
      <c r="H192"/>
      <c r="I192" s="80"/>
      <c r="J192"/>
      <c r="K192"/>
      <c r="L192"/>
      <c r="M192"/>
      <c r="N192"/>
    </row>
    <row r="193" spans="2:14" ht="14.6" x14ac:dyDescent="0.4">
      <c r="B193"/>
      <c r="C193"/>
      <c r="D193"/>
      <c r="E193"/>
      <c r="F193"/>
      <c r="G193" s="80"/>
      <c r="H193"/>
      <c r="I193" s="80"/>
      <c r="J193"/>
      <c r="K193"/>
      <c r="L193"/>
      <c r="M193"/>
      <c r="N193"/>
    </row>
    <row r="194" spans="2:14" ht="14.6" x14ac:dyDescent="0.4">
      <c r="B194"/>
      <c r="C194"/>
      <c r="D194"/>
      <c r="E194"/>
      <c r="F194"/>
      <c r="G194" s="80"/>
      <c r="H194"/>
      <c r="I194" s="80"/>
      <c r="J194"/>
      <c r="K194"/>
      <c r="L194"/>
      <c r="M194"/>
      <c r="N194"/>
    </row>
    <row r="195" spans="2:14" ht="14.6" x14ac:dyDescent="0.4">
      <c r="B195"/>
      <c r="C195"/>
      <c r="D195"/>
      <c r="E195"/>
      <c r="F195"/>
      <c r="G195" s="80"/>
      <c r="H195"/>
      <c r="I195" s="80"/>
      <c r="J195"/>
      <c r="K195"/>
      <c r="L195"/>
      <c r="M195"/>
      <c r="N195"/>
    </row>
    <row r="196" spans="2:14" ht="14.6" x14ac:dyDescent="0.4">
      <c r="B196"/>
      <c r="C196"/>
      <c r="D196"/>
      <c r="E196"/>
      <c r="F196"/>
      <c r="G196" s="80"/>
      <c r="H196"/>
      <c r="I196" s="80"/>
      <c r="J196"/>
      <c r="K196"/>
      <c r="L196"/>
      <c r="M196"/>
      <c r="N196"/>
    </row>
    <row r="197" spans="2:14" ht="14.6" x14ac:dyDescent="0.4">
      <c r="B197"/>
      <c r="C197"/>
      <c r="D197"/>
      <c r="E197"/>
      <c r="F197"/>
      <c r="G197" s="80"/>
      <c r="H197"/>
      <c r="I197" s="80"/>
      <c r="J197"/>
      <c r="K197"/>
      <c r="L197"/>
      <c r="M197"/>
      <c r="N197"/>
    </row>
    <row r="198" spans="2:14" ht="14.6" x14ac:dyDescent="0.4">
      <c r="B198"/>
      <c r="C198"/>
      <c r="D198"/>
      <c r="E198"/>
      <c r="F198"/>
      <c r="G198" s="80"/>
      <c r="H198"/>
      <c r="I198" s="80"/>
      <c r="J198"/>
      <c r="K198"/>
      <c r="L198"/>
      <c r="M198"/>
      <c r="N198"/>
    </row>
    <row r="199" spans="2:14" ht="14.6" x14ac:dyDescent="0.4">
      <c r="B199"/>
      <c r="C199"/>
      <c r="D199"/>
      <c r="E199"/>
      <c r="F199"/>
      <c r="G199" s="80"/>
      <c r="H199"/>
      <c r="I199" s="80"/>
      <c r="J199"/>
      <c r="K199"/>
      <c r="L199"/>
      <c r="M199"/>
      <c r="N199"/>
    </row>
    <row r="200" spans="2:14" ht="14.6" x14ac:dyDescent="0.4">
      <c r="B200"/>
      <c r="C200"/>
      <c r="D200"/>
      <c r="E200"/>
      <c r="F200"/>
      <c r="G200" s="80"/>
      <c r="H200"/>
      <c r="I200" s="80"/>
      <c r="J200"/>
      <c r="K200"/>
      <c r="L200"/>
      <c r="M200"/>
      <c r="N200"/>
    </row>
    <row r="201" spans="2:14" ht="14.6" x14ac:dyDescent="0.4">
      <c r="B201"/>
      <c r="C201"/>
      <c r="D201"/>
      <c r="E201"/>
      <c r="F201"/>
      <c r="G201" s="80"/>
      <c r="H201"/>
      <c r="I201" s="80"/>
      <c r="J201"/>
      <c r="K201"/>
      <c r="L201"/>
      <c r="M201"/>
      <c r="N201"/>
    </row>
    <row r="202" spans="2:14" ht="14.6" x14ac:dyDescent="0.4">
      <c r="B202"/>
      <c r="C202"/>
      <c r="D202"/>
      <c r="E202"/>
      <c r="F202"/>
      <c r="G202" s="80"/>
      <c r="H202"/>
      <c r="I202" s="80"/>
      <c r="J202"/>
      <c r="K202"/>
      <c r="L202"/>
      <c r="M202"/>
      <c r="N202"/>
    </row>
    <row r="203" spans="2:14" ht="14.6" x14ac:dyDescent="0.4">
      <c r="B203"/>
      <c r="C203"/>
      <c r="D203"/>
      <c r="E203"/>
      <c r="F203"/>
      <c r="G203" s="80"/>
      <c r="H203"/>
      <c r="I203" s="80"/>
      <c r="J203"/>
      <c r="K203"/>
      <c r="L203"/>
      <c r="M203"/>
      <c r="N203"/>
    </row>
    <row r="204" spans="2:14" ht="14.6" x14ac:dyDescent="0.4">
      <c r="B204"/>
      <c r="C204"/>
      <c r="D204"/>
      <c r="E204"/>
      <c r="F204"/>
      <c r="G204" s="80"/>
      <c r="H204"/>
      <c r="I204" s="80"/>
      <c r="J204"/>
      <c r="K204"/>
      <c r="L204"/>
      <c r="M204"/>
      <c r="N204"/>
    </row>
    <row r="205" spans="2:14" ht="14.6" x14ac:dyDescent="0.4">
      <c r="B205"/>
      <c r="C205"/>
      <c r="D205"/>
      <c r="E205"/>
      <c r="F205"/>
      <c r="G205" s="80"/>
      <c r="H205"/>
      <c r="I205" s="80"/>
      <c r="J205"/>
      <c r="K205"/>
      <c r="L205"/>
      <c r="M205"/>
      <c r="N205"/>
    </row>
    <row r="206" spans="2:14" ht="14.6" x14ac:dyDescent="0.4">
      <c r="B206"/>
      <c r="C206"/>
      <c r="D206"/>
      <c r="E206"/>
      <c r="F206"/>
      <c r="G206" s="80"/>
      <c r="H206"/>
      <c r="I206" s="80"/>
      <c r="J206"/>
      <c r="K206"/>
      <c r="L206"/>
      <c r="M206"/>
      <c r="N206"/>
    </row>
    <row r="207" spans="2:14" ht="14.6" x14ac:dyDescent="0.4">
      <c r="B207"/>
      <c r="C207"/>
      <c r="D207"/>
      <c r="E207"/>
      <c r="F207"/>
      <c r="G207" s="80"/>
      <c r="H207"/>
      <c r="I207" s="80"/>
      <c r="J207"/>
      <c r="K207"/>
      <c r="L207"/>
      <c r="M207"/>
      <c r="N207"/>
    </row>
    <row r="208" spans="2:14" ht="14.6" x14ac:dyDescent="0.4">
      <c r="B208"/>
      <c r="C208"/>
      <c r="D208"/>
      <c r="E208"/>
      <c r="F208"/>
      <c r="G208" s="80"/>
      <c r="H208"/>
      <c r="I208" s="80"/>
      <c r="J208"/>
      <c r="K208"/>
      <c r="L208"/>
      <c r="M208"/>
      <c r="N208"/>
    </row>
    <row r="209" spans="2:14" ht="14.6" x14ac:dyDescent="0.4">
      <c r="B209"/>
      <c r="C209"/>
      <c r="D209"/>
      <c r="E209"/>
      <c r="F209"/>
      <c r="G209" s="80"/>
      <c r="H209"/>
      <c r="I209" s="80"/>
      <c r="J209"/>
      <c r="K209"/>
      <c r="L209"/>
      <c r="M209"/>
      <c r="N209"/>
    </row>
    <row r="210" spans="2:14" ht="14.6" x14ac:dyDescent="0.4">
      <c r="B210"/>
      <c r="C210"/>
      <c r="D210"/>
      <c r="E210"/>
      <c r="F210"/>
      <c r="G210" s="80"/>
      <c r="H210"/>
      <c r="I210" s="80"/>
      <c r="J210"/>
      <c r="K210"/>
      <c r="L210"/>
      <c r="M210"/>
      <c r="N210"/>
    </row>
    <row r="211" spans="2:14" ht="14.6" x14ac:dyDescent="0.4">
      <c r="B211"/>
      <c r="C211"/>
      <c r="D211"/>
      <c r="E211"/>
      <c r="F211"/>
      <c r="G211" s="80"/>
      <c r="H211"/>
      <c r="I211" s="80"/>
      <c r="J211"/>
      <c r="K211"/>
      <c r="L211"/>
      <c r="M211"/>
      <c r="N211"/>
    </row>
    <row r="212" spans="2:14" ht="14.6" x14ac:dyDescent="0.4">
      <c r="B212"/>
      <c r="C212"/>
      <c r="D212"/>
      <c r="E212"/>
      <c r="F212"/>
      <c r="G212" s="80"/>
      <c r="H212"/>
      <c r="I212" s="80"/>
      <c r="J212"/>
      <c r="K212"/>
      <c r="L212"/>
      <c r="M212"/>
      <c r="N212"/>
    </row>
    <row r="213" spans="2:14" ht="14.6" x14ac:dyDescent="0.4">
      <c r="B213"/>
      <c r="C213"/>
      <c r="D213"/>
      <c r="E213"/>
      <c r="F213"/>
      <c r="G213" s="80"/>
      <c r="H213"/>
      <c r="I213" s="80"/>
      <c r="J213"/>
      <c r="K213"/>
      <c r="L213"/>
      <c r="M213"/>
      <c r="N213"/>
    </row>
    <row r="214" spans="2:14" ht="14.6" x14ac:dyDescent="0.4">
      <c r="B214"/>
      <c r="C214"/>
      <c r="D214"/>
      <c r="E214"/>
      <c r="F214"/>
      <c r="G214" s="80"/>
      <c r="H214"/>
      <c r="I214" s="80"/>
      <c r="J214"/>
      <c r="K214"/>
      <c r="L214"/>
      <c r="M214"/>
      <c r="N214"/>
    </row>
    <row r="215" spans="2:14" ht="14.6" x14ac:dyDescent="0.4">
      <c r="B215"/>
      <c r="C215"/>
      <c r="D215"/>
      <c r="E215" s="29"/>
      <c r="F215"/>
      <c r="G215" s="80"/>
      <c r="H215"/>
      <c r="I215" s="80"/>
      <c r="J215"/>
      <c r="K215"/>
      <c r="L215"/>
      <c r="M215"/>
      <c r="N215"/>
    </row>
    <row r="216" spans="2:14" ht="14.6" x14ac:dyDescent="0.4">
      <c r="B216"/>
      <c r="C216"/>
      <c r="D216"/>
      <c r="E216" s="29"/>
      <c r="F216"/>
      <c r="G216" s="80"/>
      <c r="H216"/>
      <c r="I216" s="80"/>
      <c r="J216"/>
      <c r="K216"/>
      <c r="L216"/>
      <c r="M216"/>
      <c r="N216"/>
    </row>
    <row r="217" spans="2:14" ht="14.6" x14ac:dyDescent="0.4">
      <c r="B217"/>
      <c r="C217"/>
      <c r="D217"/>
      <c r="E217" s="29"/>
      <c r="F217"/>
      <c r="G217" s="80"/>
      <c r="H217"/>
      <c r="I217" s="80"/>
      <c r="J217"/>
      <c r="K217"/>
      <c r="L217"/>
      <c r="M217"/>
      <c r="N217"/>
    </row>
    <row r="218" spans="2:14" ht="14.6" x14ac:dyDescent="0.4">
      <c r="B218"/>
      <c r="C218"/>
      <c r="D218"/>
      <c r="E218" s="29"/>
      <c r="F218"/>
      <c r="G218" s="80"/>
      <c r="H218"/>
      <c r="I218" s="80"/>
      <c r="J218"/>
      <c r="K218"/>
      <c r="L218"/>
      <c r="M218"/>
      <c r="N218"/>
    </row>
    <row r="219" spans="2:14" ht="14.6" x14ac:dyDescent="0.4">
      <c r="B219"/>
      <c r="C219"/>
      <c r="D219"/>
      <c r="E219" s="29"/>
      <c r="F219"/>
      <c r="G219" s="80"/>
      <c r="H219"/>
      <c r="I219" s="80"/>
      <c r="J219"/>
      <c r="K219"/>
      <c r="L219"/>
      <c r="M219"/>
      <c r="N219"/>
    </row>
    <row r="220" spans="2:14" ht="14.6" x14ac:dyDescent="0.4">
      <c r="B220"/>
      <c r="C220"/>
      <c r="D220"/>
      <c r="E220" s="29"/>
      <c r="F220"/>
      <c r="G220" s="80"/>
      <c r="H220"/>
      <c r="I220" s="80"/>
      <c r="J220"/>
      <c r="K220"/>
      <c r="L220"/>
      <c r="M220"/>
      <c r="N220"/>
    </row>
    <row r="221" spans="2:14" ht="14.6" x14ac:dyDescent="0.4">
      <c r="B221"/>
      <c r="C221"/>
      <c r="D221"/>
      <c r="E221" s="29"/>
      <c r="F221"/>
      <c r="G221" s="80"/>
      <c r="H221"/>
      <c r="I221" s="80"/>
      <c r="J221"/>
      <c r="K221"/>
      <c r="L221"/>
      <c r="M221"/>
      <c r="N221"/>
    </row>
    <row r="222" spans="2:14" ht="14.6" x14ac:dyDescent="0.4">
      <c r="B222"/>
      <c r="C222"/>
      <c r="D222"/>
      <c r="E222" s="29"/>
      <c r="F222"/>
      <c r="G222" s="80"/>
      <c r="H222"/>
      <c r="I222" s="80"/>
      <c r="J222"/>
      <c r="K222"/>
      <c r="L222"/>
      <c r="M222"/>
      <c r="N222"/>
    </row>
    <row r="223" spans="2:14" ht="14.6" x14ac:dyDescent="0.4">
      <c r="B223"/>
      <c r="C223"/>
      <c r="D223"/>
      <c r="E223" s="29"/>
      <c r="F223"/>
      <c r="G223" s="80"/>
      <c r="H223"/>
      <c r="I223" s="80"/>
      <c r="J223"/>
      <c r="K223"/>
      <c r="L223"/>
      <c r="M223"/>
      <c r="N223"/>
    </row>
    <row r="224" spans="2:14" ht="14.6" x14ac:dyDescent="0.4">
      <c r="B224"/>
      <c r="C224"/>
      <c r="D224"/>
      <c r="E224" s="29"/>
      <c r="F224"/>
      <c r="G224" s="80"/>
      <c r="H224"/>
      <c r="I224" s="80"/>
      <c r="J224"/>
      <c r="K224"/>
      <c r="L224"/>
      <c r="M224"/>
      <c r="N224"/>
    </row>
    <row r="225" spans="2:14" ht="14.6" x14ac:dyDescent="0.4">
      <c r="B225"/>
      <c r="C225"/>
      <c r="D225"/>
      <c r="E225" s="29"/>
      <c r="F225"/>
      <c r="G225" s="80"/>
      <c r="H225"/>
      <c r="I225" s="80"/>
      <c r="J225"/>
      <c r="K225"/>
      <c r="L225"/>
      <c r="M225"/>
      <c r="N225"/>
    </row>
    <row r="226" spans="2:14" ht="14.6" x14ac:dyDescent="0.4">
      <c r="B226"/>
      <c r="C226"/>
      <c r="D226"/>
      <c r="E226" s="29"/>
      <c r="F226"/>
      <c r="G226" s="80"/>
      <c r="H226"/>
      <c r="I226" s="80"/>
      <c r="J226"/>
      <c r="K226"/>
      <c r="L226"/>
      <c r="M226"/>
      <c r="N226"/>
    </row>
    <row r="227" spans="2:14" ht="14.6" x14ac:dyDescent="0.4">
      <c r="B227"/>
      <c r="C227"/>
      <c r="D227"/>
      <c r="E227" s="29"/>
      <c r="F227"/>
      <c r="G227" s="80"/>
      <c r="H227"/>
      <c r="I227" s="80"/>
      <c r="J227"/>
      <c r="K227"/>
      <c r="L227"/>
      <c r="M227"/>
      <c r="N227"/>
    </row>
    <row r="228" spans="2:14" ht="14.6" x14ac:dyDescent="0.4">
      <c r="B228"/>
      <c r="C228"/>
      <c r="D228"/>
      <c r="E228" s="29"/>
      <c r="F228"/>
      <c r="G228" s="80"/>
      <c r="H228"/>
      <c r="I228" s="80"/>
      <c r="J228"/>
      <c r="K228"/>
      <c r="L228"/>
      <c r="M228"/>
      <c r="N228"/>
    </row>
    <row r="229" spans="2:14" ht="14.6" x14ac:dyDescent="0.4">
      <c r="B229"/>
      <c r="C229"/>
      <c r="D229"/>
      <c r="E229" s="29"/>
      <c r="F229"/>
      <c r="G229" s="80"/>
      <c r="H229"/>
      <c r="I229" s="80"/>
      <c r="J229"/>
      <c r="K229"/>
      <c r="L229"/>
      <c r="M229"/>
      <c r="N229"/>
    </row>
    <row r="230" spans="2:14" ht="14.6" x14ac:dyDescent="0.4">
      <c r="B230"/>
      <c r="C230"/>
      <c r="D230"/>
      <c r="E230" s="29"/>
      <c r="F230"/>
      <c r="G230" s="80"/>
      <c r="H230"/>
      <c r="I230" s="80"/>
      <c r="J230"/>
      <c r="K230"/>
      <c r="L230"/>
      <c r="M230"/>
      <c r="N230"/>
    </row>
    <row r="231" spans="2:14" ht="14.6" x14ac:dyDescent="0.4">
      <c r="B231"/>
      <c r="C231"/>
      <c r="D231"/>
      <c r="E231" s="29"/>
      <c r="F231"/>
      <c r="G231" s="80"/>
      <c r="H231"/>
      <c r="I231" s="80"/>
      <c r="J231"/>
      <c r="K231"/>
      <c r="L231"/>
      <c r="M231"/>
      <c r="N231"/>
    </row>
    <row r="232" spans="2:14" ht="14.6" x14ac:dyDescent="0.4">
      <c r="B232"/>
      <c r="C232"/>
      <c r="D232"/>
      <c r="E232" s="29"/>
      <c r="F232"/>
      <c r="G232" s="80"/>
      <c r="H232"/>
      <c r="I232" s="80"/>
      <c r="J232"/>
      <c r="K232"/>
      <c r="L232"/>
      <c r="M232"/>
      <c r="N232"/>
    </row>
    <row r="233" spans="2:14" ht="14.6" x14ac:dyDescent="0.4">
      <c r="B233"/>
      <c r="C233"/>
      <c r="D233"/>
      <c r="E233" s="29"/>
      <c r="F233"/>
      <c r="G233" s="80"/>
      <c r="H233"/>
      <c r="I233" s="80"/>
      <c r="J233"/>
      <c r="K233"/>
      <c r="L233"/>
      <c r="M233"/>
      <c r="N233"/>
    </row>
    <row r="234" spans="2:14" ht="14.6" x14ac:dyDescent="0.4">
      <c r="B234"/>
      <c r="C234"/>
      <c r="D234"/>
      <c r="E234" s="29"/>
      <c r="F234"/>
      <c r="G234" s="80"/>
      <c r="H234"/>
      <c r="I234" s="80"/>
      <c r="J234"/>
      <c r="K234"/>
      <c r="L234"/>
      <c r="M234"/>
      <c r="N234"/>
    </row>
    <row r="235" spans="2:14" ht="14.6" x14ac:dyDescent="0.4">
      <c r="B235"/>
      <c r="C235"/>
      <c r="D235"/>
      <c r="E235" s="29"/>
      <c r="F235"/>
      <c r="G235" s="80"/>
      <c r="H235"/>
      <c r="I235" s="80"/>
      <c r="J235"/>
      <c r="K235"/>
      <c r="L235"/>
      <c r="M235"/>
      <c r="N235"/>
    </row>
    <row r="236" spans="2:14" ht="14.6" x14ac:dyDescent="0.4">
      <c r="B236"/>
      <c r="C236"/>
      <c r="D236"/>
      <c r="E236" s="29"/>
      <c r="F236"/>
      <c r="G236" s="80"/>
      <c r="H236"/>
      <c r="I236" s="80"/>
      <c r="J236"/>
      <c r="K236"/>
      <c r="L236"/>
      <c r="M236"/>
      <c r="N236"/>
    </row>
    <row r="237" spans="2:14" ht="14.6" x14ac:dyDescent="0.4">
      <c r="B237"/>
      <c r="C237"/>
      <c r="D237"/>
      <c r="E237" s="29"/>
      <c r="F237"/>
      <c r="G237" s="80"/>
      <c r="H237"/>
      <c r="I237" s="80"/>
      <c r="J237"/>
      <c r="K237"/>
      <c r="L237"/>
      <c r="M237"/>
      <c r="N237"/>
    </row>
    <row r="238" spans="2:14" ht="14.6" x14ac:dyDescent="0.4">
      <c r="B238"/>
      <c r="C238"/>
      <c r="D238"/>
      <c r="E238" s="29"/>
      <c r="F238"/>
      <c r="G238" s="80"/>
      <c r="H238"/>
      <c r="I238" s="80"/>
      <c r="J238"/>
      <c r="K238"/>
      <c r="L238"/>
      <c r="M238"/>
      <c r="N238"/>
    </row>
    <row r="239" spans="2:14" ht="14.6" x14ac:dyDescent="0.4">
      <c r="B239"/>
      <c r="C239"/>
      <c r="D239"/>
      <c r="E239" s="29"/>
      <c r="F239"/>
      <c r="G239" s="80"/>
      <c r="H239"/>
      <c r="I239" s="80"/>
      <c r="J239"/>
      <c r="K239"/>
      <c r="L239"/>
      <c r="M239"/>
      <c r="N239"/>
    </row>
    <row r="240" spans="2:14" ht="14.6" x14ac:dyDescent="0.4">
      <c r="B240"/>
      <c r="C240"/>
      <c r="D240"/>
      <c r="E240" s="29"/>
      <c r="F240"/>
      <c r="G240" s="80"/>
      <c r="H240"/>
      <c r="I240" s="80"/>
      <c r="J240"/>
      <c r="K240"/>
      <c r="L240"/>
      <c r="M240"/>
      <c r="N240"/>
    </row>
    <row r="241" spans="2:14" ht="14.6" x14ac:dyDescent="0.4">
      <c r="B241"/>
      <c r="C241"/>
      <c r="D241"/>
      <c r="E241" s="29"/>
      <c r="F241"/>
      <c r="G241" s="80"/>
      <c r="H241"/>
      <c r="I241" s="80"/>
      <c r="J241"/>
      <c r="K241"/>
      <c r="L241"/>
      <c r="M241"/>
      <c r="N241"/>
    </row>
    <row r="242" spans="2:14" ht="14.6" x14ac:dyDescent="0.4">
      <c r="B242"/>
      <c r="C242"/>
      <c r="D242"/>
      <c r="E242" s="29"/>
      <c r="F242"/>
      <c r="G242" s="80"/>
      <c r="H242"/>
      <c r="I242" s="80"/>
      <c r="J242"/>
      <c r="K242"/>
      <c r="L242"/>
      <c r="M242"/>
      <c r="N242"/>
    </row>
    <row r="243" spans="2:14" ht="14.6" x14ac:dyDescent="0.4">
      <c r="B243"/>
      <c r="C243"/>
      <c r="D243"/>
      <c r="E243" s="29"/>
      <c r="F243"/>
      <c r="G243" s="80"/>
      <c r="H243"/>
      <c r="I243" s="80"/>
      <c r="J243"/>
      <c r="K243"/>
      <c r="L243"/>
      <c r="M243"/>
      <c r="N243"/>
    </row>
    <row r="244" spans="2:14" ht="14.6" x14ac:dyDescent="0.4">
      <c r="B244"/>
      <c r="C244"/>
      <c r="D244"/>
      <c r="E244" s="29"/>
      <c r="F244"/>
      <c r="G244" s="80"/>
      <c r="H244"/>
      <c r="I244" s="80"/>
      <c r="J244"/>
      <c r="K244"/>
      <c r="L244"/>
      <c r="M244"/>
      <c r="N244"/>
    </row>
    <row r="245" spans="2:14" ht="14.6" x14ac:dyDescent="0.4">
      <c r="B245"/>
      <c r="C245"/>
      <c r="D245"/>
      <c r="E245" s="29"/>
      <c r="F245"/>
      <c r="G245" s="80"/>
      <c r="H245"/>
      <c r="I245" s="80"/>
      <c r="J245"/>
      <c r="K245"/>
      <c r="L245"/>
      <c r="M245"/>
      <c r="N245"/>
    </row>
    <row r="246" spans="2:14" ht="14.6" x14ac:dyDescent="0.4">
      <c r="B246"/>
      <c r="C246"/>
      <c r="D246"/>
      <c r="E246" s="29"/>
      <c r="F246"/>
      <c r="G246" s="80"/>
      <c r="H246"/>
      <c r="I246" s="80"/>
      <c r="J246"/>
      <c r="K246"/>
      <c r="L246"/>
      <c r="M246"/>
      <c r="N246"/>
    </row>
    <row r="247" spans="2:14" ht="14.6" x14ac:dyDescent="0.4">
      <c r="B247"/>
      <c r="C247"/>
      <c r="D247"/>
      <c r="E247" s="29"/>
      <c r="F247"/>
      <c r="G247" s="80"/>
      <c r="H247"/>
      <c r="I247" s="80"/>
      <c r="J247"/>
      <c r="K247"/>
      <c r="L247"/>
      <c r="M247"/>
      <c r="N247"/>
    </row>
    <row r="248" spans="2:14" ht="14.6" x14ac:dyDescent="0.4">
      <c r="B248"/>
      <c r="C248"/>
      <c r="D248"/>
      <c r="E248" s="29"/>
      <c r="F248"/>
      <c r="G248" s="80"/>
      <c r="H248"/>
      <c r="I248" s="80"/>
      <c r="J248"/>
      <c r="K248"/>
      <c r="L248"/>
      <c r="M248"/>
      <c r="N248"/>
    </row>
    <row r="249" spans="2:14" ht="14.6" x14ac:dyDescent="0.4">
      <c r="B249"/>
      <c r="C249"/>
      <c r="D249"/>
      <c r="E249" s="29"/>
      <c r="F249"/>
      <c r="G249" s="80"/>
      <c r="H249"/>
      <c r="I249" s="80"/>
      <c r="J249"/>
      <c r="K249"/>
      <c r="L249"/>
      <c r="M249"/>
      <c r="N249"/>
    </row>
    <row r="250" spans="2:14" ht="14.6" x14ac:dyDescent="0.4">
      <c r="B250"/>
      <c r="C250"/>
      <c r="D250"/>
      <c r="E250" s="29"/>
      <c r="F250"/>
      <c r="G250" s="80"/>
      <c r="H250"/>
      <c r="I250" s="80"/>
      <c r="J250"/>
      <c r="K250"/>
      <c r="L250"/>
      <c r="M250"/>
      <c r="N250"/>
    </row>
    <row r="251" spans="2:14" ht="14.6" x14ac:dyDescent="0.4">
      <c r="B251"/>
      <c r="C251"/>
      <c r="D251"/>
      <c r="E251" s="29"/>
      <c r="F251"/>
      <c r="G251" s="80"/>
      <c r="H251"/>
      <c r="I251" s="80"/>
      <c r="J251"/>
      <c r="K251"/>
      <c r="L251"/>
      <c r="M251"/>
      <c r="N251"/>
    </row>
    <row r="252" spans="2:14" ht="14.6" x14ac:dyDescent="0.4">
      <c r="B252"/>
      <c r="C252"/>
      <c r="D252"/>
      <c r="E252" s="29"/>
      <c r="F252"/>
      <c r="G252" s="80"/>
      <c r="H252"/>
      <c r="I252" s="80"/>
      <c r="J252"/>
      <c r="K252"/>
      <c r="L252"/>
      <c r="M252"/>
      <c r="N252"/>
    </row>
    <row r="253" spans="2:14" ht="14.6" x14ac:dyDescent="0.4">
      <c r="B253"/>
      <c r="C253"/>
      <c r="D253"/>
      <c r="E253" s="29"/>
      <c r="F253"/>
      <c r="G253" s="80"/>
      <c r="H253"/>
      <c r="I253" s="80"/>
      <c r="J253"/>
      <c r="K253"/>
      <c r="L253"/>
      <c r="M253"/>
      <c r="N253"/>
    </row>
    <row r="254" spans="2:14" ht="14.6" x14ac:dyDescent="0.4">
      <c r="B254"/>
      <c r="C254"/>
      <c r="D254"/>
      <c r="E254" s="29"/>
      <c r="F254"/>
      <c r="G254" s="80"/>
      <c r="H254"/>
      <c r="I254" s="80"/>
      <c r="J254"/>
      <c r="K254"/>
      <c r="L254"/>
      <c r="M254"/>
      <c r="N254"/>
    </row>
    <row r="255" spans="2:14" ht="14.6" x14ac:dyDescent="0.4">
      <c r="B255"/>
      <c r="C255"/>
      <c r="D255"/>
      <c r="E255" s="29"/>
      <c r="F255"/>
      <c r="G255" s="80"/>
      <c r="H255"/>
      <c r="I255" s="80"/>
      <c r="J255"/>
      <c r="K255"/>
      <c r="L255"/>
      <c r="M255"/>
      <c r="N255"/>
    </row>
    <row r="256" spans="2:14" ht="14.6" x14ac:dyDescent="0.4">
      <c r="B256"/>
      <c r="C256"/>
      <c r="D256"/>
      <c r="E256" s="29"/>
      <c r="F256"/>
      <c r="G256" s="80"/>
      <c r="H256"/>
      <c r="I256" s="80"/>
      <c r="J256"/>
      <c r="K256"/>
      <c r="L256"/>
      <c r="M256"/>
      <c r="N256"/>
    </row>
    <row r="257" spans="2:14" ht="14.6" x14ac:dyDescent="0.4">
      <c r="B257"/>
      <c r="C257"/>
      <c r="D257"/>
      <c r="E257" s="29"/>
      <c r="F257"/>
      <c r="G257" s="80"/>
      <c r="H257"/>
      <c r="I257" s="80"/>
      <c r="J257"/>
      <c r="K257"/>
      <c r="L257"/>
      <c r="M257"/>
      <c r="N257"/>
    </row>
    <row r="258" spans="2:14" ht="14.6" x14ac:dyDescent="0.4">
      <c r="B258"/>
      <c r="C258"/>
      <c r="D258"/>
      <c r="E258" s="29"/>
      <c r="F258"/>
      <c r="G258" s="80"/>
      <c r="H258"/>
      <c r="I258" s="80"/>
      <c r="J258"/>
      <c r="K258"/>
      <c r="L258"/>
      <c r="M258"/>
      <c r="N258"/>
    </row>
    <row r="259" spans="2:14" ht="14.6" x14ac:dyDescent="0.4">
      <c r="B259"/>
      <c r="C259"/>
      <c r="D259"/>
      <c r="E259" s="29"/>
      <c r="F259"/>
      <c r="G259" s="80"/>
      <c r="H259"/>
      <c r="I259" s="80"/>
      <c r="J259"/>
      <c r="K259"/>
      <c r="L259"/>
      <c r="M259"/>
      <c r="N259"/>
    </row>
    <row r="260" spans="2:14" ht="14.6" x14ac:dyDescent="0.4">
      <c r="B260"/>
      <c r="C260"/>
      <c r="D260"/>
      <c r="E260" s="29"/>
      <c r="F260"/>
      <c r="G260" s="80"/>
      <c r="H260"/>
      <c r="I260" s="80"/>
      <c r="J260"/>
      <c r="K260"/>
      <c r="L260"/>
      <c r="M260"/>
      <c r="N260"/>
    </row>
    <row r="261" spans="2:14" ht="14.6" x14ac:dyDescent="0.4">
      <c r="B261"/>
      <c r="C261"/>
      <c r="D261"/>
      <c r="E261" s="29"/>
      <c r="F261"/>
      <c r="G261" s="80"/>
      <c r="H261"/>
      <c r="I261" s="80"/>
      <c r="J261"/>
      <c r="K261"/>
      <c r="L261"/>
      <c r="M261"/>
      <c r="N261"/>
    </row>
    <row r="262" spans="2:14" ht="14.6" x14ac:dyDescent="0.4">
      <c r="B262"/>
      <c r="C262"/>
      <c r="D262"/>
      <c r="E262" s="29"/>
      <c r="F262"/>
      <c r="G262" s="80"/>
      <c r="H262"/>
      <c r="I262" s="80"/>
      <c r="J262"/>
      <c r="K262"/>
      <c r="L262"/>
      <c r="M262"/>
      <c r="N262"/>
    </row>
    <row r="263" spans="2:14" ht="14.6" x14ac:dyDescent="0.4">
      <c r="B263"/>
      <c r="C263"/>
      <c r="D263"/>
      <c r="E263" s="29"/>
      <c r="F263"/>
      <c r="G263" s="80"/>
      <c r="H263"/>
      <c r="I263" s="80"/>
      <c r="J263"/>
      <c r="K263"/>
      <c r="L263"/>
      <c r="M263"/>
      <c r="N263"/>
    </row>
    <row r="264" spans="2:14" ht="14.6" x14ac:dyDescent="0.4">
      <c r="B264"/>
      <c r="C264"/>
      <c r="D264"/>
      <c r="E264" s="29"/>
      <c r="F264"/>
      <c r="G264" s="80"/>
      <c r="H264"/>
      <c r="I264" s="80"/>
      <c r="J264"/>
      <c r="K264"/>
      <c r="L264"/>
      <c r="M264"/>
      <c r="N264"/>
    </row>
    <row r="265" spans="2:14" ht="14.6" x14ac:dyDescent="0.4">
      <c r="B265"/>
      <c r="C265"/>
      <c r="D265"/>
      <c r="E265" s="29"/>
      <c r="F265"/>
      <c r="G265" s="80"/>
      <c r="H265"/>
      <c r="I265" s="80"/>
      <c r="J265"/>
      <c r="K265"/>
      <c r="L265"/>
      <c r="M265"/>
      <c r="N265"/>
    </row>
    <row r="266" spans="2:14" ht="14.6" x14ac:dyDescent="0.4">
      <c r="B266"/>
      <c r="C266"/>
      <c r="D266"/>
      <c r="E266" s="29"/>
      <c r="F266"/>
      <c r="G266" s="80"/>
      <c r="H266"/>
      <c r="I266" s="80"/>
      <c r="J266"/>
      <c r="K266"/>
      <c r="L266"/>
      <c r="M266"/>
      <c r="N266"/>
    </row>
    <row r="267" spans="2:14" ht="14.6" x14ac:dyDescent="0.4">
      <c r="B267"/>
      <c r="C267"/>
      <c r="D267"/>
      <c r="E267" s="29"/>
      <c r="F267"/>
      <c r="G267" s="80"/>
      <c r="H267"/>
      <c r="I267" s="80"/>
      <c r="J267"/>
      <c r="K267"/>
      <c r="L267"/>
      <c r="M267"/>
      <c r="N267"/>
    </row>
    <row r="268" spans="2:14" ht="14.6" x14ac:dyDescent="0.4">
      <c r="B268"/>
      <c r="C268"/>
      <c r="D268"/>
      <c r="E268" s="29"/>
      <c r="F268"/>
      <c r="G268" s="80"/>
      <c r="H268"/>
      <c r="I268" s="80"/>
      <c r="J268"/>
      <c r="K268"/>
      <c r="L268"/>
      <c r="M268"/>
      <c r="N268"/>
    </row>
    <row r="269" spans="2:14" ht="14.6" x14ac:dyDescent="0.4">
      <c r="B269"/>
      <c r="C269"/>
      <c r="D269"/>
      <c r="E269" s="29"/>
      <c r="F269"/>
      <c r="G269" s="80"/>
      <c r="H269"/>
      <c r="I269" s="80"/>
      <c r="J269"/>
      <c r="K269"/>
      <c r="L269"/>
      <c r="M269"/>
      <c r="N269"/>
    </row>
    <row r="270" spans="2:14" ht="14.6" x14ac:dyDescent="0.4">
      <c r="B270"/>
      <c r="C270"/>
      <c r="D270"/>
      <c r="E270" s="29"/>
      <c r="F270"/>
      <c r="G270" s="80"/>
      <c r="H270"/>
      <c r="I270" s="80"/>
      <c r="J270"/>
      <c r="K270"/>
      <c r="L270"/>
      <c r="M270"/>
      <c r="N270"/>
    </row>
    <row r="271" spans="2:14" ht="14.6" x14ac:dyDescent="0.4">
      <c r="B271"/>
      <c r="C271"/>
      <c r="D271"/>
      <c r="E271" s="29"/>
      <c r="F271"/>
      <c r="G271" s="80"/>
      <c r="H271"/>
      <c r="I271" s="80"/>
      <c r="J271"/>
      <c r="K271"/>
      <c r="L271"/>
      <c r="M271"/>
      <c r="N271"/>
    </row>
    <row r="272" spans="2:14" ht="14.6" x14ac:dyDescent="0.4">
      <c r="B272"/>
      <c r="C272"/>
      <c r="D272"/>
      <c r="E272" s="29"/>
      <c r="F272"/>
      <c r="G272" s="80"/>
      <c r="H272"/>
      <c r="I272" s="80"/>
      <c r="J272"/>
      <c r="K272"/>
      <c r="L272"/>
      <c r="M272"/>
      <c r="N272"/>
    </row>
    <row r="273" spans="2:14" ht="14.6" x14ac:dyDescent="0.4">
      <c r="B273"/>
      <c r="C273"/>
      <c r="D273"/>
      <c r="E273" s="29"/>
      <c r="F273"/>
      <c r="G273" s="80"/>
      <c r="H273"/>
      <c r="I273" s="80"/>
      <c r="J273"/>
      <c r="K273"/>
      <c r="L273"/>
      <c r="M273"/>
      <c r="N273"/>
    </row>
    <row r="274" spans="2:14" ht="14.6" x14ac:dyDescent="0.4">
      <c r="B274"/>
      <c r="C274"/>
      <c r="D274"/>
      <c r="E274" s="29"/>
      <c r="F274"/>
      <c r="G274" s="80"/>
      <c r="H274"/>
      <c r="I274" s="80"/>
      <c r="J274"/>
      <c r="K274"/>
      <c r="L274"/>
      <c r="M274"/>
      <c r="N274"/>
    </row>
    <row r="275" spans="2:14" ht="14.6" x14ac:dyDescent="0.4">
      <c r="B275"/>
      <c r="C275"/>
      <c r="D275"/>
      <c r="E275" s="29"/>
      <c r="F275"/>
      <c r="G275" s="80"/>
      <c r="H275"/>
      <c r="I275" s="80"/>
      <c r="J275"/>
      <c r="K275"/>
      <c r="L275"/>
      <c r="M275"/>
      <c r="N275"/>
    </row>
    <row r="276" spans="2:14" ht="14.6" x14ac:dyDescent="0.4">
      <c r="B276"/>
      <c r="C276"/>
      <c r="D276"/>
      <c r="E276" s="29"/>
      <c r="F276"/>
      <c r="G276" s="80"/>
      <c r="H276"/>
      <c r="I276" s="80"/>
      <c r="J276"/>
      <c r="K276"/>
      <c r="L276"/>
      <c r="M276"/>
      <c r="N276"/>
    </row>
    <row r="277" spans="2:14" ht="14.6" x14ac:dyDescent="0.4">
      <c r="B277"/>
      <c r="C277"/>
      <c r="D277"/>
      <c r="E277" s="29"/>
      <c r="F277"/>
      <c r="G277" s="80"/>
      <c r="H277"/>
      <c r="I277" s="80"/>
      <c r="J277"/>
      <c r="K277"/>
      <c r="L277"/>
      <c r="M277"/>
      <c r="N277"/>
    </row>
    <row r="278" spans="2:14" ht="14.6" x14ac:dyDescent="0.4">
      <c r="B278"/>
      <c r="C278"/>
      <c r="D278"/>
      <c r="E278" s="29"/>
      <c r="F278"/>
      <c r="G278" s="80"/>
      <c r="H278"/>
      <c r="I278" s="80"/>
      <c r="J278"/>
      <c r="K278"/>
      <c r="L278"/>
      <c r="M278"/>
      <c r="N278"/>
    </row>
    <row r="279" spans="2:14" ht="14.6" x14ac:dyDescent="0.4">
      <c r="B279"/>
      <c r="C279"/>
      <c r="D279"/>
      <c r="E279" s="29"/>
      <c r="F279"/>
      <c r="G279" s="80"/>
      <c r="H279"/>
      <c r="I279" s="80"/>
      <c r="J279"/>
      <c r="K279"/>
      <c r="L279"/>
      <c r="M279"/>
      <c r="N279"/>
    </row>
    <row r="280" spans="2:14" ht="14.6" x14ac:dyDescent="0.4">
      <c r="B280"/>
      <c r="C280"/>
      <c r="D280"/>
      <c r="E280" s="29"/>
      <c r="F280"/>
      <c r="G280" s="80"/>
      <c r="H280"/>
      <c r="I280" s="80"/>
      <c r="J280"/>
      <c r="K280"/>
      <c r="L280"/>
      <c r="M280"/>
      <c r="N280"/>
    </row>
    <row r="281" spans="2:14" ht="14.6" x14ac:dyDescent="0.4">
      <c r="B281"/>
      <c r="C281"/>
      <c r="D281"/>
      <c r="E281" s="29"/>
      <c r="F281"/>
      <c r="G281" s="80"/>
      <c r="H281"/>
      <c r="I281" s="80"/>
      <c r="J281"/>
      <c r="K281"/>
      <c r="L281"/>
      <c r="M281"/>
      <c r="N281"/>
    </row>
    <row r="282" spans="2:14" ht="14.6" x14ac:dyDescent="0.4">
      <c r="B282"/>
      <c r="C282"/>
      <c r="D282"/>
      <c r="E282" s="29"/>
      <c r="F282"/>
      <c r="G282" s="80"/>
      <c r="H282"/>
      <c r="I282" s="80"/>
      <c r="J282"/>
      <c r="K282"/>
      <c r="L282"/>
      <c r="M282"/>
      <c r="N282"/>
    </row>
    <row r="283" spans="2:14" ht="14.6" x14ac:dyDescent="0.4">
      <c r="B283"/>
      <c r="C283"/>
      <c r="D283"/>
      <c r="E283" s="29"/>
      <c r="F283"/>
      <c r="G283" s="80"/>
      <c r="H283"/>
      <c r="I283" s="80"/>
      <c r="J283"/>
      <c r="K283"/>
      <c r="L283"/>
      <c r="M283"/>
      <c r="N283"/>
    </row>
    <row r="284" spans="2:14" ht="14.6" x14ac:dyDescent="0.4">
      <c r="B284"/>
      <c r="C284"/>
      <c r="D284"/>
      <c r="E284" s="29"/>
      <c r="F284"/>
      <c r="G284" s="80"/>
      <c r="H284"/>
      <c r="I284" s="80"/>
      <c r="J284"/>
      <c r="K284"/>
      <c r="L284"/>
      <c r="M284"/>
      <c r="N284"/>
    </row>
    <row r="285" spans="2:14" ht="14.6" x14ac:dyDescent="0.4">
      <c r="B285"/>
      <c r="C285"/>
      <c r="D285"/>
      <c r="E285" s="29"/>
      <c r="F285"/>
      <c r="G285" s="80"/>
      <c r="H285"/>
      <c r="I285" s="80"/>
      <c r="J285"/>
      <c r="K285"/>
      <c r="L285"/>
      <c r="M285"/>
      <c r="N285"/>
    </row>
    <row r="286" spans="2:14" ht="14.6" x14ac:dyDescent="0.4">
      <c r="B286"/>
      <c r="C286"/>
      <c r="D286"/>
      <c r="E286" s="29"/>
      <c r="F286"/>
      <c r="G286" s="80"/>
      <c r="H286"/>
      <c r="I286" s="80"/>
      <c r="J286"/>
      <c r="K286"/>
      <c r="L286"/>
      <c r="M286"/>
      <c r="N286"/>
    </row>
    <row r="287" spans="2:14" ht="14.6" x14ac:dyDescent="0.4">
      <c r="B287"/>
      <c r="C287"/>
      <c r="D287"/>
      <c r="E287" s="29"/>
      <c r="F287"/>
      <c r="G287" s="80"/>
      <c r="H287"/>
      <c r="I287" s="80"/>
      <c r="J287"/>
      <c r="K287"/>
      <c r="L287"/>
      <c r="M287"/>
      <c r="N287"/>
    </row>
    <row r="288" spans="2:14" ht="14.6" x14ac:dyDescent="0.4">
      <c r="B288"/>
      <c r="C288"/>
      <c r="D288"/>
      <c r="E288" s="29"/>
      <c r="F288"/>
      <c r="G288" s="80"/>
      <c r="H288"/>
      <c r="I288" s="80"/>
      <c r="J288"/>
      <c r="K288"/>
      <c r="L288"/>
      <c r="M288"/>
      <c r="N288"/>
    </row>
    <row r="289" spans="2:14" ht="14.6" x14ac:dyDescent="0.4">
      <c r="B289"/>
      <c r="C289"/>
      <c r="D289"/>
      <c r="E289" s="29"/>
      <c r="F289"/>
      <c r="G289" s="80"/>
      <c r="H289"/>
      <c r="I289" s="80"/>
      <c r="J289"/>
      <c r="K289"/>
      <c r="L289"/>
      <c r="M289"/>
      <c r="N289"/>
    </row>
    <row r="290" spans="2:14" ht="14.6" x14ac:dyDescent="0.4">
      <c r="B290"/>
      <c r="C290"/>
      <c r="D290"/>
      <c r="E290" s="29"/>
      <c r="F290"/>
      <c r="G290" s="80"/>
      <c r="H290"/>
      <c r="I290" s="80"/>
      <c r="J290"/>
      <c r="K290"/>
      <c r="L290"/>
      <c r="M290"/>
      <c r="N290"/>
    </row>
    <row r="291" spans="2:14" ht="14.6" x14ac:dyDescent="0.4">
      <c r="B291"/>
      <c r="C291"/>
      <c r="D291"/>
      <c r="E291" s="29"/>
      <c r="F291"/>
      <c r="G291" s="80"/>
      <c r="H291"/>
      <c r="I291" s="80"/>
      <c r="J291"/>
      <c r="K291"/>
      <c r="L291"/>
      <c r="M291"/>
      <c r="N291"/>
    </row>
    <row r="292" spans="2:14" ht="14.6" x14ac:dyDescent="0.4">
      <c r="B292"/>
      <c r="C292"/>
      <c r="D292"/>
      <c r="E292" s="29"/>
      <c r="F292"/>
      <c r="G292" s="80"/>
      <c r="H292"/>
      <c r="I292" s="80"/>
      <c r="J292"/>
      <c r="K292"/>
      <c r="L292"/>
      <c r="M292"/>
      <c r="N292"/>
    </row>
    <row r="293" spans="2:14" ht="14.6" x14ac:dyDescent="0.4">
      <c r="B293"/>
      <c r="C293"/>
      <c r="D293"/>
      <c r="E293" s="29"/>
      <c r="F293"/>
      <c r="G293" s="80"/>
      <c r="H293"/>
      <c r="I293" s="80"/>
      <c r="J293"/>
      <c r="K293"/>
      <c r="L293"/>
      <c r="M293"/>
      <c r="N293"/>
    </row>
    <row r="294" spans="2:14" ht="14.6" x14ac:dyDescent="0.4">
      <c r="B294"/>
      <c r="C294"/>
      <c r="D294"/>
      <c r="E294" s="29"/>
      <c r="F294"/>
      <c r="G294" s="80"/>
      <c r="H294"/>
      <c r="I294" s="80"/>
      <c r="J294"/>
      <c r="K294"/>
      <c r="L294"/>
      <c r="M294"/>
      <c r="N294"/>
    </row>
    <row r="295" spans="2:14" ht="14.6" x14ac:dyDescent="0.4">
      <c r="B295"/>
      <c r="C295"/>
      <c r="D295"/>
      <c r="E295" s="29"/>
      <c r="F295"/>
      <c r="G295" s="80"/>
      <c r="H295"/>
      <c r="I295" s="80"/>
      <c r="J295"/>
      <c r="K295"/>
      <c r="L295"/>
      <c r="M295"/>
      <c r="N295"/>
    </row>
    <row r="296" spans="2:14" ht="14.6" x14ac:dyDescent="0.4">
      <c r="B296"/>
      <c r="C296"/>
      <c r="D296"/>
      <c r="E296" s="29"/>
      <c r="F296"/>
      <c r="G296" s="80"/>
      <c r="H296"/>
      <c r="I296" s="80"/>
      <c r="J296"/>
      <c r="K296"/>
      <c r="L296"/>
      <c r="M296"/>
      <c r="N296"/>
    </row>
    <row r="297" spans="2:14" ht="14.6" x14ac:dyDescent="0.4">
      <c r="B297"/>
      <c r="C297"/>
      <c r="D297"/>
      <c r="E297" s="29"/>
      <c r="F297"/>
      <c r="G297" s="80"/>
      <c r="H297"/>
      <c r="I297" s="80"/>
      <c r="J297"/>
      <c r="K297"/>
      <c r="L297"/>
      <c r="M297"/>
      <c r="N297"/>
    </row>
    <row r="298" spans="2:14" ht="14.6" x14ac:dyDescent="0.4">
      <c r="B298"/>
      <c r="C298"/>
      <c r="D298"/>
      <c r="E298" s="29"/>
      <c r="F298"/>
      <c r="G298" s="80"/>
      <c r="H298"/>
      <c r="I298" s="80"/>
      <c r="J298"/>
      <c r="K298"/>
      <c r="L298"/>
      <c r="M298"/>
      <c r="N298"/>
    </row>
    <row r="299" spans="2:14" ht="14.6" x14ac:dyDescent="0.4">
      <c r="B299"/>
      <c r="C299"/>
      <c r="D299"/>
      <c r="E299" s="29"/>
      <c r="F299"/>
      <c r="G299" s="80"/>
      <c r="H299"/>
      <c r="I299" s="80"/>
      <c r="J299"/>
      <c r="K299"/>
      <c r="L299"/>
      <c r="M299"/>
      <c r="N299"/>
    </row>
    <row r="300" spans="2:14" ht="14.6" x14ac:dyDescent="0.4">
      <c r="B300"/>
      <c r="C300"/>
      <c r="D300"/>
      <c r="E300" s="29"/>
      <c r="F300"/>
      <c r="G300" s="80"/>
      <c r="H300"/>
      <c r="I300" s="80"/>
      <c r="J300"/>
      <c r="K300"/>
      <c r="L300"/>
      <c r="M300"/>
      <c r="N300"/>
    </row>
    <row r="301" spans="2:14" ht="14.6" x14ac:dyDescent="0.4">
      <c r="B301"/>
      <c r="C301"/>
      <c r="D301"/>
      <c r="E301" s="29"/>
      <c r="F301"/>
      <c r="G301" s="80"/>
      <c r="H301"/>
      <c r="I301" s="80"/>
      <c r="J301"/>
      <c r="K301"/>
      <c r="L301"/>
      <c r="M301"/>
      <c r="N301"/>
    </row>
    <row r="302" spans="2:14" ht="14.6" x14ac:dyDescent="0.4">
      <c r="B302"/>
      <c r="C302"/>
      <c r="D302"/>
      <c r="E302" s="29"/>
      <c r="F302"/>
      <c r="G302" s="80"/>
      <c r="H302"/>
      <c r="I302" s="80"/>
      <c r="J302"/>
      <c r="K302"/>
      <c r="L302"/>
      <c r="M302"/>
      <c r="N302"/>
    </row>
    <row r="303" spans="2:14" ht="14.6" x14ac:dyDescent="0.4">
      <c r="B303"/>
      <c r="C303"/>
      <c r="D303"/>
      <c r="E303" s="29"/>
      <c r="F303"/>
      <c r="G303" s="80"/>
      <c r="H303"/>
      <c r="I303" s="80"/>
      <c r="J303"/>
      <c r="K303"/>
      <c r="L303"/>
      <c r="M303"/>
      <c r="N303"/>
    </row>
    <row r="304" spans="2:14" ht="14.6" x14ac:dyDescent="0.4">
      <c r="B304"/>
      <c r="C304"/>
      <c r="D304"/>
      <c r="E304" s="29"/>
      <c r="F304"/>
      <c r="G304" s="80"/>
      <c r="H304"/>
      <c r="I304" s="80"/>
      <c r="J304"/>
      <c r="K304"/>
      <c r="L304"/>
      <c r="M304"/>
      <c r="N304"/>
    </row>
    <row r="305" spans="2:14" ht="14.6" x14ac:dyDescent="0.4">
      <c r="B305"/>
      <c r="C305"/>
      <c r="D305"/>
      <c r="E305" s="29"/>
      <c r="F305"/>
      <c r="G305" s="80"/>
      <c r="H305"/>
      <c r="I305" s="80"/>
      <c r="J305"/>
      <c r="K305"/>
      <c r="L305"/>
      <c r="M305"/>
      <c r="N305"/>
    </row>
    <row r="306" spans="2:14" ht="14.6" x14ac:dyDescent="0.4">
      <c r="B306"/>
      <c r="C306"/>
      <c r="D306"/>
      <c r="E306" s="29"/>
      <c r="F306"/>
      <c r="G306" s="80"/>
      <c r="H306"/>
      <c r="I306" s="80"/>
      <c r="J306"/>
      <c r="K306"/>
      <c r="L306"/>
      <c r="M306"/>
      <c r="N306"/>
    </row>
    <row r="307" spans="2:14" ht="14.6" x14ac:dyDescent="0.4">
      <c r="B307"/>
      <c r="C307"/>
      <c r="D307"/>
      <c r="E307" s="29"/>
      <c r="F307"/>
      <c r="G307" s="80"/>
      <c r="H307"/>
      <c r="I307" s="80"/>
      <c r="J307"/>
      <c r="K307"/>
      <c r="L307"/>
      <c r="M307"/>
      <c r="N307"/>
    </row>
    <row r="308" spans="2:14" ht="14.6" x14ac:dyDescent="0.4">
      <c r="B308"/>
      <c r="C308"/>
      <c r="D308"/>
      <c r="E308" s="29"/>
      <c r="F308"/>
      <c r="G308" s="80"/>
      <c r="H308"/>
      <c r="I308" s="80"/>
      <c r="J308"/>
      <c r="K308"/>
      <c r="L308"/>
      <c r="M308"/>
      <c r="N308"/>
    </row>
    <row r="309" spans="2:14" ht="14.6" x14ac:dyDescent="0.4">
      <c r="B309"/>
      <c r="C309"/>
      <c r="D309"/>
      <c r="E309" s="29"/>
      <c r="F309"/>
      <c r="G309" s="80"/>
      <c r="H309"/>
      <c r="I309" s="80"/>
      <c r="J309"/>
      <c r="K309"/>
      <c r="L309"/>
      <c r="M309"/>
      <c r="N309"/>
    </row>
    <row r="310" spans="2:14" ht="14.6" x14ac:dyDescent="0.4">
      <c r="B310"/>
      <c r="C310"/>
      <c r="D310"/>
      <c r="E310" s="29"/>
      <c r="F310"/>
      <c r="G310" s="80"/>
      <c r="H310"/>
      <c r="I310" s="80"/>
      <c r="J310"/>
      <c r="K310"/>
      <c r="L310"/>
      <c r="M310"/>
      <c r="N310"/>
    </row>
    <row r="311" spans="2:14" ht="14.6" x14ac:dyDescent="0.4">
      <c r="B311"/>
      <c r="C311"/>
      <c r="D311"/>
      <c r="E311" s="29"/>
      <c r="F311"/>
      <c r="G311" s="80"/>
      <c r="H311"/>
      <c r="I311" s="80"/>
      <c r="J311"/>
      <c r="K311"/>
      <c r="L311"/>
      <c r="M311"/>
      <c r="N311"/>
    </row>
    <row r="312" spans="2:14" ht="14.6" x14ac:dyDescent="0.4">
      <c r="B312"/>
      <c r="C312"/>
      <c r="D312"/>
      <c r="E312" s="29"/>
      <c r="F312"/>
      <c r="G312" s="80"/>
      <c r="H312"/>
      <c r="I312" s="80"/>
      <c r="J312"/>
      <c r="K312"/>
      <c r="L312"/>
      <c r="M312"/>
      <c r="N312"/>
    </row>
    <row r="313" spans="2:14" ht="14.6" x14ac:dyDescent="0.4">
      <c r="B313"/>
      <c r="C313"/>
      <c r="D313"/>
      <c r="E313" s="29"/>
      <c r="F313"/>
      <c r="G313" s="80"/>
      <c r="H313"/>
      <c r="I313" s="80"/>
      <c r="J313"/>
      <c r="K313"/>
      <c r="L313"/>
      <c r="M313"/>
      <c r="N313"/>
    </row>
    <row r="314" spans="2:14" ht="14.6" x14ac:dyDescent="0.4">
      <c r="B314"/>
      <c r="C314"/>
      <c r="D314"/>
      <c r="E314" s="29"/>
      <c r="F314"/>
      <c r="G314" s="80"/>
      <c r="H314"/>
      <c r="I314" s="80"/>
      <c r="J314"/>
      <c r="K314"/>
      <c r="L314"/>
      <c r="M314"/>
      <c r="N314"/>
    </row>
    <row r="315" spans="2:14" ht="14.6" x14ac:dyDescent="0.4">
      <c r="B315"/>
      <c r="C315"/>
      <c r="D315"/>
      <c r="E315" s="29"/>
      <c r="F315"/>
      <c r="G315" s="80"/>
      <c r="H315"/>
      <c r="I315" s="80"/>
      <c r="J315"/>
      <c r="K315"/>
      <c r="L315"/>
      <c r="M315"/>
      <c r="N315"/>
    </row>
    <row r="316" spans="2:14" ht="14.6" x14ac:dyDescent="0.4">
      <c r="B316"/>
      <c r="C316"/>
      <c r="D316"/>
      <c r="E316" s="29"/>
      <c r="F316"/>
      <c r="G316" s="80"/>
      <c r="H316"/>
      <c r="I316" s="80"/>
      <c r="J316"/>
      <c r="K316"/>
      <c r="L316"/>
      <c r="M316"/>
      <c r="N316"/>
    </row>
    <row r="317" spans="2:14" ht="14.6" x14ac:dyDescent="0.4">
      <c r="B317"/>
      <c r="C317"/>
      <c r="D317"/>
      <c r="E317" s="29"/>
      <c r="F317"/>
      <c r="G317" s="80"/>
      <c r="H317"/>
      <c r="I317" s="80"/>
      <c r="J317"/>
      <c r="K317"/>
      <c r="L317"/>
      <c r="M317"/>
      <c r="N317"/>
    </row>
    <row r="318" spans="2:14" ht="14.6" x14ac:dyDescent="0.4">
      <c r="B318"/>
      <c r="C318"/>
      <c r="D318"/>
      <c r="E318" s="29"/>
      <c r="F318"/>
      <c r="G318" s="80"/>
      <c r="H318"/>
      <c r="I318" s="80"/>
      <c r="J318"/>
      <c r="K318"/>
      <c r="L318"/>
      <c r="M318"/>
      <c r="N318"/>
    </row>
    <row r="319" spans="2:14" ht="14.6" x14ac:dyDescent="0.4">
      <c r="B319"/>
      <c r="C319"/>
      <c r="D319"/>
      <c r="E319" s="29"/>
      <c r="F319"/>
      <c r="G319" s="80"/>
      <c r="H319"/>
      <c r="I319" s="80"/>
      <c r="J319"/>
      <c r="K319"/>
      <c r="L319"/>
      <c r="M319"/>
      <c r="N319"/>
    </row>
    <row r="320" spans="2:14" ht="14.6" x14ac:dyDescent="0.4">
      <c r="B320"/>
      <c r="C320"/>
      <c r="D320"/>
      <c r="E320" s="29"/>
      <c r="F320"/>
      <c r="G320" s="80"/>
      <c r="H320"/>
      <c r="I320" s="80"/>
      <c r="J320"/>
      <c r="K320"/>
      <c r="L320"/>
      <c r="M320"/>
      <c r="N320"/>
    </row>
    <row r="321" spans="2:14" ht="14.6" x14ac:dyDescent="0.4">
      <c r="B321"/>
      <c r="C321"/>
      <c r="D321"/>
      <c r="E321" s="29"/>
      <c r="F321"/>
      <c r="G321" s="80"/>
      <c r="H321"/>
      <c r="I321" s="80"/>
      <c r="J321"/>
      <c r="K321"/>
      <c r="L321"/>
      <c r="M321"/>
      <c r="N321"/>
    </row>
    <row r="322" spans="2:14" ht="14.6" x14ac:dyDescent="0.4">
      <c r="B322"/>
      <c r="C322"/>
      <c r="D322"/>
      <c r="E322" s="29"/>
      <c r="F322"/>
      <c r="G322" s="80"/>
      <c r="H322"/>
      <c r="I322" s="80"/>
      <c r="J322"/>
      <c r="K322"/>
      <c r="L322"/>
      <c r="M322"/>
      <c r="N322"/>
    </row>
    <row r="323" spans="2:14" ht="14.6" x14ac:dyDescent="0.4">
      <c r="B323"/>
      <c r="C323"/>
      <c r="D323"/>
      <c r="E323" s="29"/>
      <c r="F323"/>
      <c r="G323" s="80"/>
      <c r="H323"/>
      <c r="I323" s="80"/>
      <c r="J323"/>
      <c r="K323"/>
      <c r="L323"/>
      <c r="M323"/>
      <c r="N323"/>
    </row>
    <row r="324" spans="2:14" ht="14.6" x14ac:dyDescent="0.4">
      <c r="B324"/>
      <c r="C324"/>
      <c r="D324"/>
      <c r="E324" s="29"/>
      <c r="F324"/>
      <c r="G324" s="80"/>
      <c r="H324"/>
      <c r="I324" s="80"/>
      <c r="J324"/>
      <c r="K324"/>
      <c r="L324"/>
      <c r="M324"/>
      <c r="N324"/>
    </row>
    <row r="325" spans="2:14" ht="14.6" x14ac:dyDescent="0.4">
      <c r="B325"/>
      <c r="C325"/>
      <c r="D325"/>
      <c r="E325" s="29"/>
      <c r="F325"/>
      <c r="G325" s="80"/>
      <c r="H325"/>
      <c r="I325" s="80"/>
      <c r="J325"/>
      <c r="K325"/>
      <c r="L325"/>
      <c r="M325"/>
      <c r="N325"/>
    </row>
    <row r="326" spans="2:14" ht="14.6" x14ac:dyDescent="0.4">
      <c r="B326"/>
      <c r="C326"/>
      <c r="D326"/>
      <c r="E326" s="29"/>
      <c r="F326"/>
      <c r="G326" s="80"/>
      <c r="H326"/>
      <c r="I326" s="80"/>
      <c r="J326"/>
      <c r="K326"/>
      <c r="L326"/>
      <c r="M326"/>
      <c r="N326"/>
    </row>
    <row r="327" spans="2:14" ht="14.6" x14ac:dyDescent="0.4">
      <c r="B327"/>
      <c r="C327"/>
      <c r="D327"/>
      <c r="E327" s="29"/>
      <c r="F327"/>
      <c r="G327" s="80"/>
      <c r="H327"/>
      <c r="I327" s="80"/>
      <c r="J327"/>
      <c r="K327"/>
      <c r="L327"/>
      <c r="M327"/>
      <c r="N327"/>
    </row>
    <row r="328" spans="2:14" ht="14.6" x14ac:dyDescent="0.4">
      <c r="B328"/>
      <c r="C328"/>
      <c r="D328"/>
      <c r="E328" s="29"/>
      <c r="F328"/>
      <c r="G328" s="80"/>
      <c r="H328"/>
      <c r="I328" s="80"/>
      <c r="J328"/>
      <c r="K328"/>
      <c r="L328"/>
      <c r="M328"/>
      <c r="N328"/>
    </row>
    <row r="329" spans="2:14" ht="14.6" x14ac:dyDescent="0.4">
      <c r="B329"/>
      <c r="C329"/>
      <c r="D329"/>
      <c r="E329" s="29"/>
      <c r="F329"/>
      <c r="G329" s="80"/>
      <c r="H329"/>
      <c r="I329" s="80"/>
      <c r="J329"/>
      <c r="K329"/>
      <c r="L329"/>
      <c r="M329"/>
      <c r="N329"/>
    </row>
    <row r="330" spans="2:14" ht="14.6" x14ac:dyDescent="0.4">
      <c r="B330"/>
      <c r="C330"/>
      <c r="D330"/>
      <c r="E330" s="29"/>
      <c r="F330"/>
      <c r="G330" s="80"/>
      <c r="H330"/>
      <c r="I330" s="80"/>
      <c r="J330"/>
      <c r="K330"/>
      <c r="L330"/>
      <c r="M330"/>
      <c r="N330"/>
    </row>
    <row r="331" spans="2:14" ht="14.6" x14ac:dyDescent="0.4">
      <c r="B331"/>
      <c r="C331"/>
      <c r="D331"/>
      <c r="E331" s="29"/>
      <c r="F331"/>
      <c r="G331" s="80"/>
      <c r="H331"/>
      <c r="I331" s="80"/>
      <c r="J331"/>
      <c r="K331"/>
      <c r="L331"/>
      <c r="M331"/>
      <c r="N331"/>
    </row>
    <row r="332" spans="2:14" ht="14.6" x14ac:dyDescent="0.4">
      <c r="B332"/>
      <c r="C332"/>
      <c r="D332"/>
      <c r="E332" s="29"/>
      <c r="F332"/>
      <c r="G332" s="80"/>
      <c r="H332"/>
      <c r="I332" s="80"/>
      <c r="J332"/>
      <c r="K332"/>
      <c r="L332"/>
      <c r="M332"/>
      <c r="N332"/>
    </row>
    <row r="333" spans="2:14" ht="14.6" x14ac:dyDescent="0.4">
      <c r="B333"/>
      <c r="C333"/>
      <c r="D333"/>
      <c r="E333" s="29"/>
      <c r="F333"/>
      <c r="G333" s="80"/>
      <c r="H333"/>
      <c r="I333" s="80"/>
      <c r="J333"/>
      <c r="K333"/>
      <c r="L333"/>
      <c r="M333"/>
      <c r="N333"/>
    </row>
    <row r="334" spans="2:14" ht="14.6" x14ac:dyDescent="0.4">
      <c r="B334"/>
      <c r="C334"/>
      <c r="D334"/>
      <c r="E334" s="29"/>
      <c r="F334"/>
      <c r="G334" s="80"/>
      <c r="H334"/>
      <c r="I334" s="80"/>
      <c r="J334"/>
      <c r="K334"/>
      <c r="L334"/>
      <c r="M334"/>
      <c r="N334"/>
    </row>
    <row r="335" spans="2:14" ht="14.6" x14ac:dyDescent="0.4">
      <c r="B335"/>
      <c r="C335"/>
      <c r="D335"/>
      <c r="E335" s="29"/>
      <c r="F335"/>
      <c r="G335" s="80"/>
      <c r="H335"/>
      <c r="I335" s="80"/>
      <c r="J335"/>
      <c r="K335"/>
      <c r="L335"/>
      <c r="M335"/>
      <c r="N335"/>
    </row>
    <row r="336" spans="2:14" ht="14.6" x14ac:dyDescent="0.4">
      <c r="B336"/>
      <c r="C336"/>
      <c r="D336"/>
      <c r="E336" s="29"/>
      <c r="F336"/>
      <c r="G336" s="80"/>
      <c r="H336"/>
      <c r="I336" s="80"/>
      <c r="J336"/>
      <c r="K336"/>
      <c r="L336"/>
      <c r="M336"/>
      <c r="N336"/>
    </row>
    <row r="337" spans="2:14" ht="14.6" x14ac:dyDescent="0.4">
      <c r="B337"/>
      <c r="C337"/>
      <c r="D337"/>
      <c r="E337" s="29"/>
      <c r="F337"/>
      <c r="G337" s="80"/>
      <c r="H337"/>
      <c r="I337" s="80"/>
      <c r="J337"/>
      <c r="K337"/>
      <c r="L337"/>
      <c r="M337"/>
      <c r="N337"/>
    </row>
    <row r="338" spans="2:14" ht="14.6" x14ac:dyDescent="0.4">
      <c r="B338"/>
      <c r="C338"/>
      <c r="D338"/>
      <c r="E338" s="29"/>
      <c r="F338"/>
      <c r="G338" s="80"/>
      <c r="H338"/>
      <c r="I338" s="80"/>
      <c r="J338"/>
      <c r="K338"/>
      <c r="L338"/>
      <c r="M338"/>
      <c r="N338"/>
    </row>
    <row r="339" spans="2:14" ht="14.6" x14ac:dyDescent="0.4">
      <c r="B339"/>
      <c r="C339"/>
      <c r="D339"/>
      <c r="E339" s="29"/>
      <c r="F339"/>
      <c r="G339" s="80"/>
      <c r="H339"/>
      <c r="I339" s="80"/>
      <c r="J339"/>
      <c r="K339"/>
      <c r="L339"/>
      <c r="M339"/>
      <c r="N339"/>
    </row>
    <row r="340" spans="2:14" ht="14.6" x14ac:dyDescent="0.4">
      <c r="B340"/>
      <c r="C340"/>
      <c r="D340"/>
      <c r="E340" s="29"/>
      <c r="F340"/>
      <c r="G340" s="80"/>
      <c r="H340"/>
      <c r="I340" s="80"/>
      <c r="J340"/>
      <c r="K340"/>
      <c r="L340"/>
      <c r="M340"/>
      <c r="N340"/>
    </row>
    <row r="341" spans="2:14" ht="14.6" x14ac:dyDescent="0.4">
      <c r="B341"/>
      <c r="C341"/>
      <c r="D341"/>
      <c r="E341" s="29"/>
      <c r="F341"/>
      <c r="G341" s="80"/>
      <c r="H341"/>
      <c r="I341" s="80"/>
      <c r="J341"/>
      <c r="K341"/>
      <c r="L341"/>
      <c r="M341"/>
      <c r="N341"/>
    </row>
    <row r="342" spans="2:14" ht="14.6" x14ac:dyDescent="0.4">
      <c r="B342"/>
      <c r="C342"/>
      <c r="D342"/>
      <c r="E342" s="29"/>
      <c r="F342"/>
      <c r="G342" s="80"/>
      <c r="H342"/>
      <c r="I342" s="80"/>
      <c r="J342"/>
      <c r="K342"/>
      <c r="L342"/>
      <c r="M342"/>
      <c r="N342"/>
    </row>
    <row r="343" spans="2:14" ht="14.6" x14ac:dyDescent="0.4">
      <c r="B343"/>
      <c r="C343"/>
      <c r="D343"/>
      <c r="E343" s="29"/>
      <c r="F343"/>
      <c r="G343" s="80"/>
      <c r="H343"/>
      <c r="I343" s="80"/>
      <c r="J343"/>
      <c r="K343"/>
      <c r="L343"/>
      <c r="M343"/>
      <c r="N343"/>
    </row>
    <row r="344" spans="2:14" ht="14.6" x14ac:dyDescent="0.4">
      <c r="B344"/>
      <c r="C344"/>
      <c r="D344"/>
      <c r="E344" s="29"/>
      <c r="F344"/>
      <c r="G344" s="80"/>
      <c r="H344"/>
      <c r="I344" s="80"/>
      <c r="J344"/>
      <c r="K344"/>
      <c r="L344"/>
      <c r="M344"/>
      <c r="N344"/>
    </row>
    <row r="345" spans="2:14" ht="14.6" x14ac:dyDescent="0.4">
      <c r="B345"/>
      <c r="C345"/>
      <c r="D345"/>
      <c r="E345" s="29"/>
      <c r="F345"/>
      <c r="G345" s="80"/>
      <c r="H345"/>
      <c r="I345" s="80"/>
      <c r="J345"/>
      <c r="K345"/>
      <c r="L345"/>
      <c r="M345"/>
      <c r="N345"/>
    </row>
    <row r="346" spans="2:14" ht="14.6" x14ac:dyDescent="0.4">
      <c r="B346"/>
      <c r="C346"/>
      <c r="D346"/>
      <c r="E346" s="29"/>
      <c r="F346"/>
      <c r="G346" s="80"/>
      <c r="H346"/>
      <c r="I346" s="80"/>
      <c r="J346"/>
      <c r="K346"/>
      <c r="L346"/>
      <c r="M346"/>
      <c r="N346"/>
    </row>
    <row r="347" spans="2:14" ht="14.6" x14ac:dyDescent="0.4">
      <c r="B347"/>
      <c r="C347"/>
      <c r="D347"/>
      <c r="E347" s="29"/>
      <c r="F347"/>
      <c r="G347" s="80"/>
      <c r="H347"/>
      <c r="I347" s="80"/>
      <c r="J347"/>
      <c r="K347"/>
      <c r="L347"/>
      <c r="M347"/>
      <c r="N347"/>
    </row>
    <row r="348" spans="2:14" ht="14.6" x14ac:dyDescent="0.4">
      <c r="B348"/>
      <c r="C348"/>
      <c r="D348"/>
      <c r="E348" s="29"/>
      <c r="F348"/>
      <c r="G348" s="80"/>
      <c r="H348"/>
      <c r="I348" s="80"/>
      <c r="J348"/>
      <c r="K348"/>
      <c r="L348"/>
      <c r="M348"/>
      <c r="N348"/>
    </row>
    <row r="349" spans="2:14" ht="14.6" x14ac:dyDescent="0.4">
      <c r="B349"/>
      <c r="C349"/>
      <c r="D349"/>
      <c r="E349" s="29"/>
      <c r="F349"/>
      <c r="G349" s="80"/>
      <c r="H349"/>
      <c r="I349" s="80"/>
      <c r="J349"/>
      <c r="K349"/>
      <c r="L349"/>
      <c r="M349"/>
      <c r="N349"/>
    </row>
    <row r="350" spans="2:14" ht="14.6" x14ac:dyDescent="0.4">
      <c r="B350"/>
      <c r="C350"/>
      <c r="D350"/>
      <c r="E350" s="29"/>
      <c r="F350"/>
      <c r="G350" s="80"/>
      <c r="H350"/>
      <c r="I350" s="80"/>
      <c r="J350"/>
      <c r="K350"/>
      <c r="L350"/>
      <c r="M350"/>
      <c r="N350"/>
    </row>
    <row r="351" spans="2:14" ht="14.6" x14ac:dyDescent="0.4">
      <c r="B351"/>
      <c r="C351"/>
      <c r="D351"/>
      <c r="E351" s="29"/>
      <c r="F351"/>
      <c r="G351" s="80"/>
      <c r="H351"/>
      <c r="I351" s="80"/>
      <c r="J351"/>
      <c r="K351"/>
      <c r="L351"/>
      <c r="M351"/>
      <c r="N351"/>
    </row>
    <row r="352" spans="2:14" ht="14.6" x14ac:dyDescent="0.4">
      <c r="B352"/>
      <c r="C352"/>
      <c r="D352"/>
      <c r="E352" s="29"/>
      <c r="F352"/>
      <c r="G352" s="80"/>
      <c r="H352"/>
      <c r="I352" s="80"/>
      <c r="J352"/>
      <c r="K352"/>
      <c r="L352"/>
      <c r="M352"/>
      <c r="N352"/>
    </row>
    <row r="353" spans="2:14" ht="14.6" x14ac:dyDescent="0.4">
      <c r="B353"/>
      <c r="C353"/>
      <c r="D353"/>
      <c r="E353" s="29"/>
      <c r="F353"/>
      <c r="G353" s="80"/>
      <c r="H353"/>
      <c r="I353" s="80"/>
      <c r="J353"/>
      <c r="K353"/>
      <c r="L353"/>
      <c r="M353"/>
      <c r="N353"/>
    </row>
    <row r="354" spans="2:14" ht="14.6" x14ac:dyDescent="0.4">
      <c r="B354"/>
      <c r="C354"/>
      <c r="D354"/>
      <c r="E354" s="29"/>
      <c r="F354"/>
      <c r="G354" s="80"/>
      <c r="H354"/>
      <c r="I354" s="80"/>
      <c r="J354"/>
      <c r="K354"/>
      <c r="L354"/>
      <c r="M354"/>
      <c r="N354"/>
    </row>
    <row r="355" spans="2:14" ht="14.6" x14ac:dyDescent="0.4">
      <c r="B355"/>
      <c r="C355"/>
      <c r="D355"/>
      <c r="E355" s="29"/>
      <c r="F355"/>
      <c r="G355" s="80"/>
      <c r="H355"/>
      <c r="I355" s="80"/>
      <c r="J355"/>
      <c r="K355"/>
      <c r="L355"/>
      <c r="M355"/>
      <c r="N355"/>
    </row>
    <row r="356" spans="2:14" ht="14.6" x14ac:dyDescent="0.4">
      <c r="B356"/>
      <c r="C356"/>
      <c r="D356"/>
      <c r="E356" s="29"/>
      <c r="F356"/>
      <c r="G356" s="80"/>
      <c r="H356"/>
      <c r="I356" s="80"/>
      <c r="J356"/>
      <c r="K356"/>
      <c r="L356"/>
      <c r="M356"/>
      <c r="N356"/>
    </row>
    <row r="357" spans="2:14" ht="14.6" x14ac:dyDescent="0.4">
      <c r="B357"/>
      <c r="C357"/>
      <c r="D357"/>
      <c r="E357" s="29"/>
      <c r="F357"/>
      <c r="G357" s="80"/>
      <c r="H357"/>
      <c r="I357" s="80"/>
      <c r="J357"/>
      <c r="K357"/>
      <c r="L357"/>
      <c r="M357"/>
      <c r="N357"/>
    </row>
    <row r="358" spans="2:14" ht="14.6" x14ac:dyDescent="0.4">
      <c r="B358"/>
      <c r="C358"/>
      <c r="D358"/>
      <c r="E358" s="29"/>
      <c r="F358"/>
      <c r="G358" s="80"/>
      <c r="H358"/>
      <c r="I358" s="80"/>
      <c r="J358"/>
      <c r="K358"/>
      <c r="L358"/>
      <c r="M358"/>
      <c r="N358"/>
    </row>
    <row r="359" spans="2:14" ht="14.6" x14ac:dyDescent="0.4">
      <c r="B359"/>
      <c r="C359"/>
      <c r="D359"/>
      <c r="E359" s="29"/>
      <c r="F359"/>
      <c r="G359" s="80"/>
      <c r="H359"/>
      <c r="I359" s="80"/>
      <c r="J359"/>
      <c r="K359"/>
      <c r="L359"/>
      <c r="M359"/>
      <c r="N359"/>
    </row>
    <row r="360" spans="2:14" ht="14.6" x14ac:dyDescent="0.4">
      <c r="B360"/>
      <c r="C360"/>
      <c r="D360"/>
      <c r="E360" s="29"/>
      <c r="F360"/>
      <c r="G360" s="80"/>
      <c r="H360"/>
      <c r="I360" s="80"/>
      <c r="J360"/>
      <c r="K360"/>
      <c r="L360"/>
      <c r="M360"/>
      <c r="N360"/>
    </row>
    <row r="361" spans="2:14" ht="14.6" x14ac:dyDescent="0.4">
      <c r="B361"/>
      <c r="C361"/>
      <c r="D361"/>
      <c r="E361" s="29"/>
      <c r="F361"/>
      <c r="G361" s="80"/>
      <c r="H361"/>
      <c r="I361" s="80"/>
      <c r="J361"/>
      <c r="K361"/>
      <c r="L361"/>
      <c r="M361"/>
      <c r="N361"/>
    </row>
    <row r="362" spans="2:14" ht="14.6" x14ac:dyDescent="0.4">
      <c r="B362"/>
      <c r="C362"/>
      <c r="D362"/>
      <c r="E362" s="29"/>
      <c r="F362"/>
      <c r="G362" s="80"/>
      <c r="H362"/>
      <c r="I362" s="80"/>
      <c r="J362"/>
      <c r="K362"/>
      <c r="L362"/>
      <c r="M362"/>
      <c r="N362"/>
    </row>
    <row r="363" spans="2:14" ht="14.6" x14ac:dyDescent="0.4">
      <c r="B363"/>
      <c r="C363"/>
      <c r="D363"/>
      <c r="E363" s="29"/>
      <c r="F363"/>
      <c r="G363" s="80"/>
      <c r="H363"/>
      <c r="I363" s="80"/>
      <c r="J363"/>
      <c r="K363"/>
      <c r="L363"/>
      <c r="M363"/>
      <c r="N363"/>
    </row>
    <row r="364" spans="2:14" ht="14.6" x14ac:dyDescent="0.4">
      <c r="B364"/>
      <c r="C364"/>
      <c r="D364"/>
      <c r="E364" s="29"/>
      <c r="F364"/>
      <c r="G364" s="80"/>
      <c r="H364"/>
      <c r="I364" s="80"/>
      <c r="J364"/>
      <c r="K364"/>
      <c r="L364"/>
      <c r="M364"/>
      <c r="N364"/>
    </row>
    <row r="365" spans="2:14" ht="14.6" x14ac:dyDescent="0.4">
      <c r="B365"/>
      <c r="C365"/>
      <c r="D365"/>
      <c r="E365" s="29"/>
      <c r="F365"/>
      <c r="G365" s="80"/>
      <c r="H365"/>
      <c r="I365" s="80"/>
      <c r="J365"/>
      <c r="K365"/>
      <c r="L365"/>
      <c r="M365"/>
      <c r="N365"/>
    </row>
    <row r="366" spans="2:14" ht="14.6" x14ac:dyDescent="0.4">
      <c r="B366"/>
      <c r="C366"/>
      <c r="D366"/>
      <c r="E366" s="29"/>
      <c r="F366"/>
      <c r="G366" s="80"/>
      <c r="H366"/>
      <c r="I366" s="80"/>
      <c r="J366"/>
      <c r="K366"/>
      <c r="L366"/>
      <c r="M366"/>
      <c r="N366"/>
    </row>
    <row r="367" spans="2:14" ht="14.6" x14ac:dyDescent="0.4">
      <c r="B367"/>
      <c r="C367"/>
      <c r="D367"/>
      <c r="E367" s="29"/>
      <c r="F367"/>
      <c r="G367" s="80"/>
      <c r="H367"/>
      <c r="I367" s="80"/>
      <c r="J367"/>
      <c r="K367"/>
      <c r="L367"/>
      <c r="M367"/>
      <c r="N367"/>
    </row>
    <row r="368" spans="2:14" ht="14.6" x14ac:dyDescent="0.4">
      <c r="B368"/>
      <c r="C368"/>
      <c r="D368"/>
      <c r="E368" s="29"/>
      <c r="F368"/>
      <c r="G368" s="80"/>
      <c r="H368"/>
      <c r="I368" s="80"/>
      <c r="J368"/>
      <c r="K368"/>
      <c r="L368"/>
      <c r="M368"/>
      <c r="N368"/>
    </row>
    <row r="369" spans="2:14" ht="14.6" x14ac:dyDescent="0.4">
      <c r="B369"/>
      <c r="C369"/>
      <c r="D369"/>
      <c r="E369" s="29"/>
      <c r="F369"/>
      <c r="G369" s="80"/>
      <c r="H369"/>
      <c r="I369" s="80"/>
      <c r="J369"/>
      <c r="K369"/>
      <c r="L369"/>
      <c r="M369"/>
      <c r="N369"/>
    </row>
    <row r="370" spans="2:14" ht="14.6" x14ac:dyDescent="0.4">
      <c r="B370"/>
      <c r="C370"/>
      <c r="D370"/>
      <c r="E370" s="29"/>
      <c r="F370"/>
      <c r="G370" s="80"/>
      <c r="H370"/>
      <c r="I370" s="80"/>
      <c r="J370"/>
      <c r="K370"/>
      <c r="L370"/>
      <c r="M370"/>
      <c r="N370"/>
    </row>
    <row r="371" spans="2:14" ht="14.6" x14ac:dyDescent="0.4">
      <c r="B371"/>
      <c r="C371"/>
      <c r="D371"/>
      <c r="E371" s="29"/>
      <c r="F371"/>
      <c r="G371" s="80"/>
      <c r="H371"/>
      <c r="I371" s="80"/>
      <c r="J371"/>
      <c r="K371"/>
      <c r="L371"/>
      <c r="M371"/>
      <c r="N371"/>
    </row>
    <row r="372" spans="2:14" ht="14.6" x14ac:dyDescent="0.4">
      <c r="B372"/>
      <c r="C372"/>
      <c r="D372"/>
      <c r="E372" s="29"/>
      <c r="F372"/>
      <c r="G372" s="80"/>
      <c r="H372"/>
      <c r="I372" s="80"/>
      <c r="J372"/>
      <c r="K372"/>
      <c r="L372"/>
      <c r="M372"/>
      <c r="N372"/>
    </row>
    <row r="373" spans="2:14" ht="14.6" x14ac:dyDescent="0.4">
      <c r="B373"/>
      <c r="C373"/>
      <c r="D373"/>
      <c r="E373" s="29"/>
      <c r="F373"/>
      <c r="G373" s="80"/>
      <c r="H373"/>
      <c r="I373" s="80"/>
      <c r="J373"/>
      <c r="K373"/>
      <c r="L373"/>
      <c r="M373"/>
      <c r="N373"/>
    </row>
    <row r="374" spans="2:14" ht="14.6" x14ac:dyDescent="0.4">
      <c r="B374"/>
      <c r="C374"/>
      <c r="D374"/>
      <c r="E374" s="29"/>
      <c r="F374"/>
      <c r="G374" s="80"/>
      <c r="H374"/>
      <c r="I374" s="80"/>
      <c r="J374"/>
      <c r="K374"/>
      <c r="L374"/>
      <c r="M374"/>
      <c r="N374"/>
    </row>
    <row r="375" spans="2:14" ht="14.6" x14ac:dyDescent="0.4">
      <c r="B375"/>
      <c r="C375"/>
      <c r="D375"/>
      <c r="E375" s="29"/>
      <c r="F375"/>
      <c r="G375" s="80"/>
      <c r="H375"/>
      <c r="I375" s="80"/>
      <c r="J375"/>
      <c r="K375"/>
      <c r="L375"/>
      <c r="M375"/>
      <c r="N375"/>
    </row>
    <row r="376" spans="2:14" ht="14.6" x14ac:dyDescent="0.4">
      <c r="B376"/>
      <c r="C376"/>
      <c r="D376"/>
      <c r="E376" s="29"/>
      <c r="F376"/>
      <c r="G376" s="80"/>
      <c r="H376"/>
      <c r="I376" s="80"/>
      <c r="J376"/>
      <c r="K376"/>
      <c r="L376"/>
      <c r="M376"/>
      <c r="N376"/>
    </row>
    <row r="377" spans="2:14" ht="14.6" x14ac:dyDescent="0.4">
      <c r="B377"/>
      <c r="C377"/>
      <c r="D377"/>
      <c r="E377" s="29"/>
      <c r="F377"/>
      <c r="G377" s="80"/>
      <c r="H377"/>
      <c r="I377" s="80"/>
      <c r="J377"/>
      <c r="K377"/>
      <c r="L377"/>
      <c r="M377"/>
      <c r="N377"/>
    </row>
    <row r="378" spans="2:14" ht="14.6" x14ac:dyDescent="0.4">
      <c r="B378"/>
      <c r="C378"/>
      <c r="D378"/>
      <c r="E378" s="29"/>
      <c r="F378"/>
      <c r="G378" s="80"/>
      <c r="H378"/>
      <c r="I378" s="80"/>
      <c r="J378"/>
      <c r="K378"/>
      <c r="L378"/>
      <c r="M378"/>
      <c r="N378"/>
    </row>
    <row r="379" spans="2:14" ht="14.6" x14ac:dyDescent="0.4">
      <c r="B379"/>
      <c r="C379"/>
      <c r="D379"/>
      <c r="E379" s="29"/>
      <c r="F379"/>
      <c r="G379" s="80"/>
      <c r="H379"/>
      <c r="I379" s="80"/>
      <c r="J379"/>
      <c r="K379"/>
      <c r="L379"/>
      <c r="M379"/>
      <c r="N379"/>
    </row>
    <row r="380" spans="2:14" ht="14.6" x14ac:dyDescent="0.4">
      <c r="B380"/>
      <c r="C380"/>
      <c r="D380"/>
      <c r="E380" s="29"/>
      <c r="F380"/>
      <c r="G380" s="80"/>
      <c r="H380"/>
      <c r="I380" s="80"/>
      <c r="J380"/>
      <c r="K380"/>
      <c r="L380"/>
      <c r="M380"/>
      <c r="N380"/>
    </row>
    <row r="381" spans="2:14" ht="14.6" x14ac:dyDescent="0.4">
      <c r="B381"/>
      <c r="C381"/>
      <c r="D381"/>
      <c r="E381" s="29"/>
      <c r="F381"/>
      <c r="G381" s="80"/>
      <c r="H381"/>
      <c r="I381" s="80"/>
      <c r="J381"/>
      <c r="K381"/>
      <c r="L381"/>
      <c r="M381"/>
      <c r="N381"/>
    </row>
    <row r="382" spans="2:14" ht="14.6" x14ac:dyDescent="0.4">
      <c r="B382"/>
      <c r="C382"/>
      <c r="D382"/>
      <c r="E382" s="29"/>
      <c r="F382"/>
      <c r="G382" s="80"/>
      <c r="H382"/>
      <c r="I382" s="80"/>
      <c r="J382"/>
      <c r="K382"/>
      <c r="L382"/>
      <c r="M382"/>
      <c r="N382"/>
    </row>
    <row r="383" spans="2:14" ht="14.6" x14ac:dyDescent="0.4">
      <c r="B383"/>
      <c r="C383"/>
      <c r="D383"/>
      <c r="E383" s="29"/>
      <c r="F383"/>
      <c r="G383" s="80"/>
      <c r="H383"/>
      <c r="I383" s="80"/>
      <c r="J383"/>
      <c r="K383"/>
      <c r="L383"/>
      <c r="M383"/>
      <c r="N383"/>
    </row>
    <row r="384" spans="2:14" ht="14.6" x14ac:dyDescent="0.4">
      <c r="B384"/>
      <c r="C384"/>
      <c r="D384"/>
      <c r="E384" s="29"/>
      <c r="F384"/>
      <c r="G384" s="80"/>
      <c r="H384"/>
      <c r="I384" s="80"/>
      <c r="J384"/>
      <c r="K384"/>
      <c r="L384"/>
      <c r="M384"/>
      <c r="N384"/>
    </row>
    <row r="385" spans="2:14" ht="14.6" x14ac:dyDescent="0.4">
      <c r="B385"/>
      <c r="C385"/>
      <c r="D385"/>
      <c r="E385" s="29"/>
      <c r="F385"/>
      <c r="G385" s="80"/>
      <c r="H385"/>
      <c r="I385" s="80"/>
      <c r="J385"/>
      <c r="K385"/>
      <c r="L385"/>
      <c r="M385"/>
      <c r="N385"/>
    </row>
    <row r="386" spans="2:14" ht="14.6" x14ac:dyDescent="0.4">
      <c r="B386"/>
      <c r="C386"/>
      <c r="D386"/>
      <c r="E386" s="29"/>
      <c r="F386"/>
      <c r="G386" s="80"/>
      <c r="H386"/>
      <c r="I386" s="80"/>
      <c r="J386"/>
      <c r="K386"/>
      <c r="L386"/>
      <c r="M386"/>
      <c r="N386"/>
    </row>
    <row r="387" spans="2:14" ht="14.6" x14ac:dyDescent="0.4">
      <c r="B387"/>
      <c r="C387"/>
      <c r="D387"/>
      <c r="E387" s="29"/>
      <c r="F387"/>
      <c r="G387" s="80"/>
      <c r="H387"/>
      <c r="I387" s="80"/>
      <c r="J387"/>
      <c r="K387"/>
      <c r="L387"/>
      <c r="M387"/>
      <c r="N387"/>
    </row>
    <row r="388" spans="2:14" ht="14.6" x14ac:dyDescent="0.4">
      <c r="B388"/>
      <c r="C388"/>
      <c r="D388"/>
      <c r="E388" s="29"/>
      <c r="F388"/>
      <c r="G388" s="80"/>
      <c r="H388"/>
      <c r="I388" s="80"/>
      <c r="J388"/>
      <c r="K388"/>
      <c r="L388"/>
      <c r="M388"/>
      <c r="N388"/>
    </row>
    <row r="389" spans="2:14" ht="14.6" x14ac:dyDescent="0.4">
      <c r="B389"/>
      <c r="C389"/>
      <c r="D389"/>
      <c r="E389" s="29"/>
      <c r="F389"/>
      <c r="G389" s="80"/>
      <c r="H389"/>
      <c r="I389" s="80"/>
      <c r="J389"/>
      <c r="K389"/>
      <c r="L389"/>
      <c r="M389"/>
      <c r="N389"/>
    </row>
    <row r="390" spans="2:14" ht="14.6" x14ac:dyDescent="0.4">
      <c r="B390"/>
      <c r="C390"/>
      <c r="D390"/>
      <c r="E390" s="29"/>
      <c r="F390"/>
      <c r="G390" s="80"/>
      <c r="H390"/>
      <c r="I390" s="80"/>
      <c r="J390"/>
      <c r="K390"/>
      <c r="L390"/>
      <c r="M390"/>
      <c r="N390"/>
    </row>
    <row r="391" spans="2:14" ht="14.6" x14ac:dyDescent="0.4">
      <c r="B391"/>
      <c r="C391"/>
      <c r="D391"/>
      <c r="E391" s="29"/>
      <c r="F391"/>
      <c r="G391" s="80"/>
      <c r="H391"/>
      <c r="I391" s="80"/>
      <c r="J391"/>
      <c r="K391"/>
      <c r="L391"/>
      <c r="M391"/>
      <c r="N391"/>
    </row>
    <row r="392" spans="2:14" ht="14.6" x14ac:dyDescent="0.4">
      <c r="B392"/>
      <c r="C392"/>
      <c r="D392"/>
      <c r="E392" s="29"/>
      <c r="F392"/>
      <c r="G392" s="80"/>
      <c r="H392"/>
      <c r="I392" s="80"/>
      <c r="J392"/>
      <c r="K392"/>
      <c r="L392"/>
      <c r="M392"/>
      <c r="N392"/>
    </row>
    <row r="393" spans="2:14" ht="14.6" x14ac:dyDescent="0.4">
      <c r="B393"/>
      <c r="C393"/>
      <c r="D393"/>
      <c r="E393" s="29"/>
      <c r="F393"/>
      <c r="G393" s="80"/>
      <c r="H393"/>
      <c r="I393" s="80"/>
      <c r="J393"/>
      <c r="K393"/>
      <c r="L393"/>
      <c r="M393"/>
      <c r="N393"/>
    </row>
    <row r="394" spans="2:14" ht="14.6" x14ac:dyDescent="0.4">
      <c r="B394"/>
      <c r="C394"/>
      <c r="D394"/>
      <c r="E394" s="29"/>
      <c r="F394"/>
      <c r="G394" s="80"/>
      <c r="H394"/>
      <c r="I394" s="80"/>
      <c r="J394"/>
      <c r="K394"/>
      <c r="L394"/>
      <c r="M394"/>
      <c r="N394"/>
    </row>
    <row r="395" spans="2:14" ht="14.6" x14ac:dyDescent="0.4">
      <c r="B395"/>
      <c r="C395"/>
      <c r="D395"/>
      <c r="E395" s="29"/>
      <c r="F395"/>
      <c r="G395" s="80"/>
      <c r="H395"/>
      <c r="I395" s="80"/>
      <c r="J395"/>
      <c r="K395"/>
      <c r="L395"/>
      <c r="M395"/>
      <c r="N395"/>
    </row>
    <row r="396" spans="2:14" ht="14.6" x14ac:dyDescent="0.4">
      <c r="B396"/>
      <c r="C396"/>
      <c r="D396"/>
      <c r="E396" s="29"/>
      <c r="F396"/>
      <c r="G396" s="80"/>
      <c r="H396"/>
      <c r="I396" s="80"/>
      <c r="J396"/>
      <c r="K396"/>
      <c r="L396"/>
      <c r="M396"/>
      <c r="N396"/>
    </row>
    <row r="397" spans="2:14" ht="14.6" x14ac:dyDescent="0.4">
      <c r="B397"/>
      <c r="C397"/>
      <c r="D397"/>
      <c r="E397" s="29"/>
      <c r="F397"/>
      <c r="G397" s="80"/>
      <c r="H397"/>
      <c r="I397" s="80"/>
      <c r="J397"/>
      <c r="K397"/>
      <c r="L397"/>
      <c r="M397"/>
      <c r="N397"/>
    </row>
    <row r="398" spans="2:14" ht="14.6" x14ac:dyDescent="0.4">
      <c r="B398"/>
      <c r="C398"/>
      <c r="D398"/>
      <c r="E398" s="29"/>
      <c r="F398"/>
      <c r="G398" s="80"/>
      <c r="H398"/>
      <c r="I398" s="80"/>
      <c r="J398"/>
      <c r="K398"/>
      <c r="L398"/>
      <c r="M398"/>
      <c r="N398"/>
    </row>
    <row r="399" spans="2:14" ht="14.6" x14ac:dyDescent="0.4">
      <c r="B399"/>
      <c r="C399"/>
      <c r="D399"/>
      <c r="E399" s="29"/>
      <c r="F399"/>
      <c r="G399" s="80"/>
      <c r="H399"/>
      <c r="I399" s="80"/>
      <c r="J399"/>
      <c r="K399"/>
      <c r="L399"/>
      <c r="M399"/>
      <c r="N399"/>
    </row>
    <row r="400" spans="2:14" ht="14.6" x14ac:dyDescent="0.4">
      <c r="B400"/>
      <c r="C400"/>
      <c r="D400"/>
      <c r="E400" s="29"/>
      <c r="F400"/>
      <c r="G400" s="80"/>
      <c r="H400"/>
      <c r="I400" s="80"/>
      <c r="J400"/>
      <c r="K400"/>
      <c r="L400"/>
      <c r="M400"/>
      <c r="N400"/>
    </row>
    <row r="401" spans="2:14" ht="14.6" x14ac:dyDescent="0.4">
      <c r="B401"/>
      <c r="C401"/>
      <c r="D401"/>
      <c r="E401" s="29"/>
      <c r="F401"/>
      <c r="G401" s="80"/>
      <c r="H401"/>
      <c r="I401" s="80"/>
      <c r="J401"/>
      <c r="K401"/>
      <c r="L401"/>
      <c r="M401"/>
      <c r="N401"/>
    </row>
    <row r="402" spans="2:14" ht="14.6" x14ac:dyDescent="0.4">
      <c r="B402"/>
      <c r="C402"/>
      <c r="D402"/>
      <c r="E402" s="29"/>
      <c r="F402"/>
      <c r="G402" s="80"/>
      <c r="H402"/>
      <c r="I402" s="80"/>
      <c r="J402"/>
      <c r="K402"/>
      <c r="L402"/>
      <c r="M402"/>
      <c r="N402"/>
    </row>
    <row r="403" spans="2:14" ht="14.6" x14ac:dyDescent="0.4">
      <c r="B403"/>
      <c r="C403"/>
      <c r="D403"/>
      <c r="E403" s="29"/>
      <c r="F403"/>
      <c r="G403" s="80"/>
      <c r="H403"/>
      <c r="I403" s="80"/>
      <c r="J403"/>
      <c r="K403"/>
      <c r="L403"/>
      <c r="M403"/>
      <c r="N403"/>
    </row>
    <row r="404" spans="2:14" ht="14.6" x14ac:dyDescent="0.4">
      <c r="B404"/>
      <c r="C404"/>
      <c r="D404"/>
      <c r="E404" s="29"/>
      <c r="F404"/>
      <c r="G404" s="80"/>
      <c r="H404"/>
      <c r="I404" s="80"/>
      <c r="J404"/>
      <c r="K404"/>
      <c r="L404"/>
      <c r="M404"/>
      <c r="N404"/>
    </row>
    <row r="405" spans="2:14" ht="14.6" x14ac:dyDescent="0.4">
      <c r="B405"/>
      <c r="C405"/>
      <c r="D405"/>
      <c r="E405" s="29"/>
      <c r="F405"/>
      <c r="G405" s="80"/>
      <c r="H405"/>
      <c r="I405" s="80"/>
      <c r="J405"/>
      <c r="K405"/>
      <c r="L405"/>
      <c r="M405"/>
      <c r="N405"/>
    </row>
    <row r="406" spans="2:14" ht="14.6" x14ac:dyDescent="0.4">
      <c r="B406"/>
      <c r="C406"/>
      <c r="D406"/>
      <c r="E406" s="29"/>
      <c r="F406"/>
      <c r="G406" s="80"/>
      <c r="H406"/>
      <c r="I406" s="80"/>
      <c r="J406"/>
      <c r="K406"/>
      <c r="L406"/>
      <c r="M406"/>
      <c r="N406"/>
    </row>
    <row r="407" spans="2:14" ht="14.6" x14ac:dyDescent="0.4">
      <c r="B407"/>
      <c r="C407"/>
      <c r="D407"/>
      <c r="E407" s="29"/>
      <c r="F407"/>
      <c r="G407" s="80"/>
      <c r="H407"/>
      <c r="I407" s="80"/>
      <c r="J407"/>
      <c r="K407"/>
      <c r="L407"/>
      <c r="M407"/>
      <c r="N407"/>
    </row>
    <row r="408" spans="2:14" ht="14.6" x14ac:dyDescent="0.4">
      <c r="B408"/>
      <c r="C408"/>
      <c r="D408"/>
      <c r="E408" s="29"/>
      <c r="F408"/>
      <c r="G408" s="80"/>
      <c r="H408"/>
      <c r="I408" s="80"/>
      <c r="J408"/>
      <c r="K408"/>
      <c r="L408"/>
      <c r="M408"/>
      <c r="N408"/>
    </row>
    <row r="409" spans="2:14" ht="14.6" x14ac:dyDescent="0.4">
      <c r="B409"/>
      <c r="C409"/>
      <c r="D409"/>
      <c r="E409" s="29"/>
      <c r="F409"/>
      <c r="G409" s="80"/>
      <c r="H409"/>
      <c r="I409" s="80"/>
      <c r="J409"/>
      <c r="K409"/>
      <c r="L409"/>
      <c r="M409"/>
      <c r="N409"/>
    </row>
    <row r="410" spans="2:14" ht="14.6" x14ac:dyDescent="0.4">
      <c r="B410"/>
      <c r="C410"/>
      <c r="D410"/>
      <c r="E410" s="29"/>
      <c r="F410"/>
      <c r="G410" s="80"/>
      <c r="H410"/>
      <c r="I410" s="80"/>
      <c r="J410"/>
      <c r="K410"/>
      <c r="L410"/>
      <c r="M410"/>
      <c r="N410"/>
    </row>
    <row r="411" spans="2:14" ht="14.6" x14ac:dyDescent="0.4">
      <c r="B411"/>
      <c r="C411"/>
      <c r="D411"/>
      <c r="E411" s="29"/>
      <c r="F411"/>
      <c r="G411" s="80"/>
      <c r="H411"/>
      <c r="I411" s="80"/>
      <c r="J411"/>
      <c r="K411"/>
      <c r="L411"/>
      <c r="M411"/>
      <c r="N411"/>
    </row>
    <row r="412" spans="2:14" ht="14.6" x14ac:dyDescent="0.4">
      <c r="B412"/>
      <c r="C412"/>
      <c r="D412"/>
      <c r="E412" s="29"/>
      <c r="F412"/>
      <c r="G412" s="80"/>
      <c r="H412"/>
      <c r="I412" s="80"/>
      <c r="J412"/>
      <c r="K412"/>
      <c r="L412"/>
      <c r="M412"/>
      <c r="N412"/>
    </row>
    <row r="413" spans="2:14" ht="14.6" x14ac:dyDescent="0.4">
      <c r="B413"/>
      <c r="C413"/>
      <c r="D413"/>
      <c r="E413" s="29"/>
      <c r="F413"/>
      <c r="G413" s="80"/>
      <c r="H413"/>
      <c r="I413" s="80"/>
      <c r="J413"/>
      <c r="K413"/>
      <c r="L413"/>
      <c r="M413"/>
      <c r="N413"/>
    </row>
    <row r="414" spans="2:14" ht="14.6" x14ac:dyDescent="0.4">
      <c r="B414"/>
      <c r="C414"/>
      <c r="D414"/>
      <c r="E414" s="29"/>
      <c r="F414"/>
      <c r="G414" s="80"/>
      <c r="H414"/>
      <c r="I414" s="80"/>
      <c r="J414"/>
      <c r="K414"/>
      <c r="L414"/>
      <c r="M414"/>
      <c r="N414"/>
    </row>
    <row r="415" spans="2:14" ht="14.6" x14ac:dyDescent="0.4">
      <c r="B415"/>
      <c r="C415"/>
      <c r="D415"/>
      <c r="E415" s="29"/>
      <c r="F415"/>
      <c r="G415" s="80"/>
      <c r="H415"/>
      <c r="I415" s="80"/>
      <c r="J415"/>
      <c r="K415"/>
      <c r="L415"/>
      <c r="M415"/>
      <c r="N415"/>
    </row>
    <row r="416" spans="2:14" ht="14.6" x14ac:dyDescent="0.4">
      <c r="B416"/>
      <c r="C416"/>
      <c r="D416"/>
      <c r="E416" s="29"/>
      <c r="F416"/>
      <c r="G416" s="80"/>
      <c r="H416"/>
      <c r="I416" s="80"/>
      <c r="J416"/>
      <c r="K416"/>
      <c r="L416"/>
      <c r="M416"/>
      <c r="N416"/>
    </row>
    <row r="417" spans="2:14" ht="14.6" x14ac:dyDescent="0.4">
      <c r="B417"/>
      <c r="C417"/>
      <c r="D417"/>
      <c r="E417" s="29"/>
      <c r="F417"/>
      <c r="G417" s="80"/>
      <c r="H417"/>
      <c r="I417" s="80"/>
      <c r="J417"/>
      <c r="K417"/>
      <c r="L417"/>
      <c r="M417"/>
      <c r="N417"/>
    </row>
    <row r="418" spans="2:14" ht="14.6" x14ac:dyDescent="0.4">
      <c r="B418"/>
      <c r="C418"/>
      <c r="D418"/>
      <c r="E418" s="29"/>
      <c r="F418"/>
      <c r="G418" s="80"/>
      <c r="H418"/>
      <c r="I418" s="80"/>
      <c r="J418"/>
      <c r="K418"/>
      <c r="L418"/>
      <c r="M418"/>
      <c r="N418"/>
    </row>
    <row r="419" spans="2:14" ht="14.6" x14ac:dyDescent="0.4">
      <c r="B419"/>
      <c r="C419"/>
      <c r="D419"/>
      <c r="E419" s="29"/>
      <c r="F419"/>
      <c r="G419" s="80"/>
      <c r="H419"/>
      <c r="I419" s="80"/>
      <c r="J419"/>
      <c r="K419"/>
      <c r="L419"/>
      <c r="M419"/>
      <c r="N419"/>
    </row>
    <row r="420" spans="2:14" ht="14.6" x14ac:dyDescent="0.4">
      <c r="B420"/>
      <c r="C420"/>
      <c r="D420"/>
      <c r="E420" s="29"/>
      <c r="F420"/>
      <c r="G420" s="80"/>
      <c r="H420"/>
      <c r="I420" s="80"/>
      <c r="J420"/>
      <c r="K420"/>
      <c r="L420"/>
      <c r="M420"/>
      <c r="N420"/>
    </row>
    <row r="421" spans="2:14" ht="14.6" x14ac:dyDescent="0.4">
      <c r="B421"/>
      <c r="C421"/>
      <c r="D421"/>
      <c r="E421" s="29"/>
      <c r="F421"/>
      <c r="G421" s="80"/>
      <c r="H421"/>
      <c r="I421" s="80"/>
      <c r="J421"/>
      <c r="K421"/>
      <c r="L421"/>
      <c r="M421"/>
      <c r="N421"/>
    </row>
    <row r="422" spans="2:14" ht="14.6" x14ac:dyDescent="0.4">
      <c r="B422"/>
      <c r="C422"/>
      <c r="D422"/>
      <c r="E422" s="29"/>
      <c r="F422"/>
      <c r="G422" s="80"/>
      <c r="H422"/>
      <c r="I422" s="80"/>
      <c r="J422"/>
      <c r="K422"/>
      <c r="L422"/>
      <c r="M422"/>
      <c r="N422"/>
    </row>
    <row r="423" spans="2:14" ht="14.6" x14ac:dyDescent="0.4">
      <c r="B423"/>
      <c r="C423"/>
      <c r="D423"/>
      <c r="E423" s="29"/>
      <c r="F423"/>
      <c r="G423" s="80"/>
      <c r="H423"/>
      <c r="I423" s="80"/>
      <c r="J423"/>
      <c r="K423"/>
      <c r="L423"/>
      <c r="M423"/>
      <c r="N423"/>
    </row>
    <row r="424" spans="2:14" ht="14.6" x14ac:dyDescent="0.4">
      <c r="B424"/>
      <c r="C424"/>
      <c r="D424"/>
      <c r="E424" s="29"/>
      <c r="F424"/>
      <c r="G424" s="80"/>
      <c r="H424"/>
      <c r="I424" s="80"/>
      <c r="J424"/>
      <c r="K424"/>
      <c r="L424"/>
      <c r="M424"/>
      <c r="N424"/>
    </row>
    <row r="425" spans="2:14" ht="14.6" x14ac:dyDescent="0.4">
      <c r="B425"/>
      <c r="C425"/>
      <c r="D425"/>
      <c r="E425" s="29"/>
      <c r="F425"/>
      <c r="G425" s="80"/>
      <c r="H425"/>
      <c r="I425" s="80"/>
      <c r="J425"/>
      <c r="K425"/>
      <c r="L425"/>
      <c r="M425"/>
      <c r="N425"/>
    </row>
    <row r="426" spans="2:14" ht="14.6" x14ac:dyDescent="0.4">
      <c r="B426"/>
      <c r="C426"/>
      <c r="D426"/>
      <c r="E426" s="29"/>
      <c r="F426"/>
      <c r="G426" s="80"/>
      <c r="H426"/>
      <c r="I426" s="80"/>
      <c r="J426"/>
      <c r="K426"/>
      <c r="L426"/>
      <c r="M426"/>
      <c r="N426"/>
    </row>
    <row r="427" spans="2:14" ht="14.6" x14ac:dyDescent="0.4">
      <c r="B427"/>
      <c r="C427"/>
      <c r="D427"/>
      <c r="E427" s="29"/>
      <c r="F427"/>
      <c r="G427" s="80"/>
      <c r="H427"/>
      <c r="I427" s="80"/>
      <c r="J427"/>
      <c r="K427"/>
      <c r="L427"/>
      <c r="M427"/>
      <c r="N427"/>
    </row>
    <row r="428" spans="2:14" ht="14.6" x14ac:dyDescent="0.4">
      <c r="B428"/>
      <c r="C428"/>
      <c r="D428"/>
      <c r="E428" s="29"/>
      <c r="F428"/>
      <c r="G428" s="80"/>
      <c r="H428"/>
      <c r="I428" s="80"/>
      <c r="J428"/>
      <c r="K428"/>
      <c r="L428"/>
      <c r="M428"/>
      <c r="N428"/>
    </row>
    <row r="429" spans="2:14" ht="14.6" x14ac:dyDescent="0.4">
      <c r="B429"/>
      <c r="C429"/>
      <c r="D429"/>
      <c r="E429" s="29"/>
      <c r="F429"/>
      <c r="G429" s="80"/>
      <c r="H429"/>
      <c r="I429" s="80"/>
      <c r="J429"/>
      <c r="K429"/>
      <c r="L429"/>
      <c r="M429"/>
      <c r="N429"/>
    </row>
    <row r="430" spans="2:14" ht="14.6" x14ac:dyDescent="0.4">
      <c r="B430"/>
      <c r="C430"/>
      <c r="D430"/>
      <c r="E430" s="29"/>
      <c r="F430"/>
      <c r="G430" s="80"/>
      <c r="H430"/>
      <c r="I430" s="80"/>
      <c r="J430"/>
      <c r="K430"/>
      <c r="L430"/>
      <c r="M430"/>
      <c r="N430"/>
    </row>
    <row r="431" spans="2:14" ht="14.6" x14ac:dyDescent="0.4">
      <c r="B431"/>
      <c r="C431"/>
      <c r="D431"/>
      <c r="E431" s="29"/>
      <c r="F431"/>
      <c r="G431" s="80"/>
      <c r="H431"/>
      <c r="I431" s="80"/>
      <c r="J431"/>
      <c r="K431"/>
      <c r="L431"/>
      <c r="M431"/>
      <c r="N431"/>
    </row>
    <row r="432" spans="2:14" ht="14.6" x14ac:dyDescent="0.4">
      <c r="B432"/>
      <c r="C432"/>
      <c r="D432"/>
      <c r="E432" s="29"/>
      <c r="F432"/>
      <c r="G432" s="80"/>
      <c r="H432"/>
      <c r="I432" s="80"/>
      <c r="J432"/>
      <c r="K432"/>
      <c r="L432"/>
      <c r="M432"/>
      <c r="N432"/>
    </row>
    <row r="433" spans="2:14" ht="14.6" x14ac:dyDescent="0.4">
      <c r="B433"/>
      <c r="C433"/>
      <c r="D433"/>
      <c r="E433" s="29"/>
      <c r="F433"/>
      <c r="G433" s="80"/>
      <c r="H433"/>
      <c r="I433" s="80"/>
      <c r="J433"/>
      <c r="K433"/>
      <c r="L433"/>
      <c r="M433"/>
      <c r="N433"/>
    </row>
    <row r="434" spans="2:14" ht="14.6" x14ac:dyDescent="0.4">
      <c r="B434"/>
      <c r="C434"/>
      <c r="D434"/>
      <c r="E434" s="29"/>
      <c r="F434"/>
      <c r="G434" s="80"/>
      <c r="H434"/>
      <c r="I434" s="80"/>
      <c r="J434"/>
      <c r="K434"/>
      <c r="L434"/>
      <c r="M434"/>
      <c r="N434"/>
    </row>
    <row r="435" spans="2:14" ht="14.6" x14ac:dyDescent="0.4">
      <c r="B435"/>
      <c r="C435"/>
      <c r="D435"/>
      <c r="E435" s="29"/>
      <c r="F435"/>
      <c r="G435" s="80"/>
      <c r="H435"/>
      <c r="I435" s="80"/>
      <c r="J435"/>
      <c r="K435"/>
      <c r="L435"/>
      <c r="M435"/>
      <c r="N435"/>
    </row>
    <row r="436" spans="2:14" ht="14.6" x14ac:dyDescent="0.4">
      <c r="B436"/>
      <c r="C436"/>
      <c r="D436"/>
      <c r="E436" s="29"/>
      <c r="F436"/>
      <c r="G436" s="80"/>
      <c r="H436"/>
      <c r="I436" s="80"/>
      <c r="J436"/>
      <c r="K436"/>
      <c r="L436"/>
      <c r="M436"/>
      <c r="N436"/>
    </row>
    <row r="437" spans="2:14" ht="14.6" x14ac:dyDescent="0.4">
      <c r="B437"/>
      <c r="C437"/>
      <c r="D437"/>
      <c r="E437" s="29"/>
      <c r="F437"/>
      <c r="G437" s="80"/>
      <c r="H437"/>
      <c r="I437" s="80"/>
      <c r="J437"/>
      <c r="K437"/>
      <c r="L437"/>
      <c r="M437"/>
      <c r="N437"/>
    </row>
    <row r="438" spans="2:14" ht="14.6" x14ac:dyDescent="0.4">
      <c r="B438"/>
      <c r="C438"/>
      <c r="D438"/>
      <c r="E438" s="29"/>
      <c r="F438"/>
      <c r="G438" s="80"/>
      <c r="H438"/>
      <c r="I438" s="80"/>
      <c r="J438"/>
      <c r="K438"/>
      <c r="L438"/>
      <c r="M438"/>
      <c r="N438"/>
    </row>
    <row r="439" spans="2:14" ht="14.6" x14ac:dyDescent="0.4">
      <c r="B439"/>
      <c r="C439"/>
      <c r="D439"/>
      <c r="E439" s="29"/>
      <c r="F439"/>
      <c r="G439" s="80"/>
      <c r="H439"/>
      <c r="I439" s="80"/>
      <c r="J439"/>
      <c r="K439"/>
      <c r="L439"/>
      <c r="M439"/>
      <c r="N439"/>
    </row>
    <row r="440" spans="2:14" ht="14.6" x14ac:dyDescent="0.4">
      <c r="B440"/>
      <c r="C440"/>
      <c r="D440"/>
      <c r="E440" s="29"/>
      <c r="F440"/>
      <c r="G440" s="80"/>
      <c r="H440"/>
      <c r="I440" s="80"/>
      <c r="J440"/>
      <c r="K440"/>
      <c r="L440"/>
      <c r="M440"/>
      <c r="N440"/>
    </row>
    <row r="441" spans="2:14" ht="14.6" x14ac:dyDescent="0.4">
      <c r="B441"/>
      <c r="C441"/>
      <c r="D441"/>
      <c r="E441" s="29"/>
      <c r="F441"/>
      <c r="G441" s="80"/>
      <c r="H441"/>
      <c r="I441" s="80"/>
      <c r="J441"/>
      <c r="K441"/>
      <c r="L441"/>
      <c r="M441"/>
      <c r="N441"/>
    </row>
    <row r="442" spans="2:14" ht="14.6" x14ac:dyDescent="0.4">
      <c r="B442"/>
      <c r="C442"/>
      <c r="D442"/>
      <c r="E442" s="29"/>
      <c r="F442"/>
      <c r="G442" s="80"/>
      <c r="H442"/>
      <c r="I442" s="80"/>
      <c r="J442"/>
      <c r="K442"/>
      <c r="L442"/>
      <c r="M442"/>
      <c r="N442"/>
    </row>
    <row r="443" spans="2:14" ht="14.6" x14ac:dyDescent="0.4">
      <c r="B443"/>
      <c r="C443"/>
      <c r="D443"/>
      <c r="E443" s="29"/>
      <c r="F443"/>
      <c r="G443" s="80"/>
      <c r="H443"/>
      <c r="I443" s="80"/>
      <c r="J443"/>
      <c r="K443"/>
      <c r="L443"/>
      <c r="M443"/>
      <c r="N443"/>
    </row>
    <row r="444" spans="2:14" ht="14.6" x14ac:dyDescent="0.4">
      <c r="B444"/>
      <c r="C444"/>
      <c r="D444"/>
      <c r="E444" s="29"/>
      <c r="F444"/>
      <c r="G444" s="80"/>
      <c r="H444"/>
      <c r="I444" s="80"/>
      <c r="J444"/>
      <c r="K444"/>
      <c r="L444"/>
      <c r="M444"/>
      <c r="N444"/>
    </row>
    <row r="445" spans="2:14" ht="14.6" x14ac:dyDescent="0.4">
      <c r="B445"/>
      <c r="C445"/>
      <c r="D445"/>
      <c r="E445" s="29"/>
      <c r="F445"/>
      <c r="G445" s="80"/>
      <c r="H445"/>
      <c r="I445" s="80"/>
      <c r="J445"/>
      <c r="K445"/>
      <c r="L445"/>
      <c r="M445"/>
      <c r="N445"/>
    </row>
    <row r="446" spans="2:14" ht="14.6" x14ac:dyDescent="0.4">
      <c r="B446"/>
      <c r="C446"/>
      <c r="D446"/>
      <c r="E446" s="29"/>
      <c r="F446"/>
      <c r="G446" s="80"/>
      <c r="H446"/>
      <c r="I446" s="80"/>
      <c r="J446"/>
      <c r="K446"/>
      <c r="L446"/>
      <c r="M446"/>
      <c r="N446"/>
    </row>
    <row r="447" spans="2:14" ht="14.6" x14ac:dyDescent="0.4">
      <c r="B447"/>
      <c r="C447"/>
      <c r="D447"/>
      <c r="E447" s="29"/>
      <c r="F447"/>
      <c r="G447" s="80"/>
      <c r="H447"/>
      <c r="I447" s="80"/>
      <c r="J447"/>
      <c r="K447"/>
      <c r="L447"/>
      <c r="M447"/>
      <c r="N447"/>
    </row>
    <row r="448" spans="2:14" ht="14.6" x14ac:dyDescent="0.4">
      <c r="B448"/>
      <c r="C448"/>
      <c r="D448"/>
      <c r="E448" s="29"/>
      <c r="F448"/>
      <c r="G448" s="80"/>
      <c r="H448"/>
      <c r="I448" s="80"/>
      <c r="J448"/>
      <c r="K448"/>
      <c r="L448"/>
      <c r="M448"/>
      <c r="N448"/>
    </row>
    <row r="449" spans="2:14" ht="14.6" x14ac:dyDescent="0.4">
      <c r="B449"/>
      <c r="C449"/>
      <c r="D449"/>
      <c r="E449" s="29"/>
      <c r="F449"/>
      <c r="G449" s="80"/>
      <c r="H449"/>
      <c r="I449" s="80"/>
      <c r="J449"/>
      <c r="K449"/>
      <c r="L449"/>
      <c r="M449"/>
      <c r="N449"/>
    </row>
    <row r="450" spans="2:14" ht="14.6" x14ac:dyDescent="0.4">
      <c r="B450"/>
      <c r="C450"/>
      <c r="D450"/>
      <c r="E450" s="29"/>
      <c r="F450"/>
      <c r="G450" s="80"/>
      <c r="H450"/>
      <c r="I450" s="80"/>
      <c r="J450"/>
      <c r="K450"/>
      <c r="L450"/>
      <c r="M450"/>
      <c r="N450"/>
    </row>
    <row r="451" spans="2:14" ht="14.6" x14ac:dyDescent="0.4">
      <c r="B451"/>
      <c r="C451"/>
      <c r="D451"/>
      <c r="E451" s="29"/>
      <c r="F451"/>
      <c r="G451" s="80"/>
      <c r="H451"/>
      <c r="I451" s="80"/>
      <c r="J451"/>
      <c r="K451"/>
      <c r="L451"/>
      <c r="M451"/>
      <c r="N451"/>
    </row>
    <row r="452" spans="2:14" ht="14.6" x14ac:dyDescent="0.4">
      <c r="B452"/>
      <c r="C452"/>
      <c r="D452"/>
      <c r="E452" s="29"/>
      <c r="F452"/>
      <c r="G452" s="80"/>
      <c r="H452"/>
      <c r="I452" s="80"/>
      <c r="J452"/>
      <c r="K452"/>
      <c r="L452"/>
      <c r="M452"/>
      <c r="N452"/>
    </row>
    <row r="453" spans="2:14" ht="14.6" x14ac:dyDescent="0.4">
      <c r="B453"/>
      <c r="C453"/>
      <c r="D453"/>
      <c r="E453" s="29"/>
      <c r="F453"/>
      <c r="G453" s="80"/>
      <c r="H453"/>
      <c r="I453" s="80"/>
      <c r="J453"/>
      <c r="K453"/>
      <c r="L453"/>
      <c r="M453"/>
      <c r="N453"/>
    </row>
    <row r="454" spans="2:14" ht="14.6" x14ac:dyDescent="0.4">
      <c r="B454"/>
      <c r="C454"/>
      <c r="D454"/>
      <c r="E454" s="29"/>
      <c r="F454"/>
      <c r="G454" s="80"/>
      <c r="H454"/>
      <c r="I454" s="80"/>
      <c r="J454"/>
      <c r="K454"/>
      <c r="L454"/>
      <c r="M454"/>
      <c r="N454"/>
    </row>
    <row r="455" spans="2:14" ht="14.6" x14ac:dyDescent="0.4">
      <c r="B455"/>
      <c r="C455"/>
      <c r="D455"/>
      <c r="E455" s="29"/>
      <c r="F455"/>
      <c r="G455" s="80"/>
      <c r="H455"/>
      <c r="I455" s="80"/>
      <c r="J455"/>
      <c r="K455"/>
      <c r="L455"/>
      <c r="M455"/>
      <c r="N455"/>
    </row>
    <row r="456" spans="2:14" ht="14.6" x14ac:dyDescent="0.4">
      <c r="B456"/>
      <c r="C456"/>
      <c r="D456"/>
      <c r="E456" s="29"/>
      <c r="F456"/>
      <c r="G456" s="80"/>
      <c r="H456"/>
      <c r="I456" s="80"/>
      <c r="J456"/>
      <c r="K456"/>
      <c r="L456"/>
      <c r="M456"/>
      <c r="N456"/>
    </row>
    <row r="457" spans="2:14" ht="14.6" x14ac:dyDescent="0.4">
      <c r="B457"/>
      <c r="C457"/>
      <c r="D457"/>
      <c r="E457" s="29"/>
      <c r="F457"/>
      <c r="G457" s="80"/>
      <c r="H457"/>
      <c r="I457" s="80"/>
      <c r="J457"/>
      <c r="K457"/>
      <c r="L457"/>
      <c r="M457"/>
      <c r="N457"/>
    </row>
    <row r="458" spans="2:14" ht="14.6" x14ac:dyDescent="0.4">
      <c r="B458"/>
      <c r="C458"/>
      <c r="D458"/>
      <c r="E458" s="29"/>
      <c r="F458"/>
      <c r="G458" s="80"/>
      <c r="H458"/>
      <c r="I458" s="80"/>
      <c r="J458"/>
      <c r="K458"/>
      <c r="L458"/>
      <c r="M458"/>
      <c r="N458"/>
    </row>
    <row r="459" spans="2:14" ht="14.6" x14ac:dyDescent="0.4">
      <c r="B459"/>
      <c r="C459"/>
      <c r="D459"/>
      <c r="E459" s="29"/>
      <c r="F459"/>
      <c r="G459" s="80"/>
      <c r="H459"/>
      <c r="I459" s="80"/>
      <c r="J459"/>
      <c r="K459"/>
      <c r="L459"/>
      <c r="M459"/>
      <c r="N459"/>
    </row>
    <row r="460" spans="2:14" ht="14.6" x14ac:dyDescent="0.4">
      <c r="B460"/>
      <c r="C460"/>
      <c r="D460"/>
      <c r="E460" s="29"/>
      <c r="F460"/>
      <c r="G460" s="80"/>
      <c r="H460"/>
      <c r="I460" s="80"/>
      <c r="J460"/>
      <c r="K460"/>
      <c r="L460"/>
      <c r="M460"/>
      <c r="N460"/>
    </row>
    <row r="461" spans="2:14" ht="14.6" x14ac:dyDescent="0.4">
      <c r="B461"/>
      <c r="C461"/>
      <c r="D461"/>
      <c r="E461" s="29"/>
      <c r="F461"/>
      <c r="G461" s="80"/>
      <c r="H461"/>
      <c r="I461" s="80"/>
      <c r="J461"/>
      <c r="K461"/>
      <c r="L461"/>
      <c r="M461"/>
      <c r="N461"/>
    </row>
    <row r="462" spans="2:14" ht="14.6" x14ac:dyDescent="0.4">
      <c r="B462"/>
      <c r="C462"/>
      <c r="D462"/>
      <c r="E462" s="29"/>
      <c r="F462"/>
      <c r="G462" s="80"/>
      <c r="H462"/>
      <c r="I462" s="80"/>
      <c r="J462"/>
      <c r="K462"/>
      <c r="L462"/>
      <c r="M462"/>
      <c r="N462"/>
    </row>
    <row r="463" spans="2:14" ht="14.6" x14ac:dyDescent="0.4">
      <c r="B463"/>
      <c r="C463"/>
      <c r="D463"/>
      <c r="E463" s="29"/>
      <c r="F463"/>
      <c r="G463" s="80"/>
      <c r="H463"/>
      <c r="I463" s="80"/>
      <c r="J463"/>
      <c r="K463"/>
      <c r="L463"/>
      <c r="M463"/>
      <c r="N463"/>
    </row>
    <row r="464" spans="2:14" ht="14.6" x14ac:dyDescent="0.4">
      <c r="B464"/>
      <c r="C464"/>
      <c r="D464"/>
      <c r="E464" s="29"/>
      <c r="F464"/>
      <c r="G464" s="80"/>
      <c r="H464"/>
      <c r="I464" s="80"/>
      <c r="J464"/>
      <c r="K464"/>
      <c r="L464"/>
      <c r="M464"/>
      <c r="N464"/>
    </row>
    <row r="465" spans="2:14" ht="14.6" x14ac:dyDescent="0.4">
      <c r="B465"/>
      <c r="C465"/>
      <c r="D465"/>
      <c r="E465" s="29"/>
      <c r="F465"/>
      <c r="G465" s="80"/>
      <c r="H465"/>
      <c r="I465" s="80"/>
      <c r="J465"/>
      <c r="K465"/>
      <c r="L465"/>
      <c r="M465"/>
      <c r="N465"/>
    </row>
    <row r="466" spans="2:14" ht="14.6" x14ac:dyDescent="0.4">
      <c r="B466"/>
      <c r="C466"/>
      <c r="D466"/>
      <c r="E466" s="29"/>
      <c r="F466"/>
      <c r="G466" s="80"/>
      <c r="H466"/>
      <c r="I466" s="80"/>
      <c r="J466"/>
      <c r="K466"/>
      <c r="L466"/>
      <c r="M466"/>
      <c r="N466"/>
    </row>
    <row r="467" spans="2:14" ht="14.6" x14ac:dyDescent="0.4">
      <c r="B467"/>
      <c r="C467"/>
      <c r="D467"/>
      <c r="E467" s="29"/>
      <c r="F467"/>
      <c r="G467" s="80"/>
      <c r="H467"/>
      <c r="I467" s="80"/>
      <c r="J467"/>
      <c r="K467"/>
      <c r="L467"/>
      <c r="M467"/>
      <c r="N467"/>
    </row>
    <row r="468" spans="2:14" ht="14.6" x14ac:dyDescent="0.4">
      <c r="B468"/>
      <c r="C468"/>
      <c r="D468"/>
      <c r="E468" s="29"/>
      <c r="F468"/>
      <c r="G468" s="80"/>
      <c r="H468"/>
      <c r="I468" s="80"/>
      <c r="J468"/>
      <c r="K468"/>
      <c r="L468"/>
      <c r="M468"/>
      <c r="N468"/>
    </row>
    <row r="469" spans="2:14" ht="14.6" x14ac:dyDescent="0.4">
      <c r="B469"/>
      <c r="C469"/>
      <c r="D469"/>
      <c r="E469" s="29"/>
      <c r="F469"/>
      <c r="G469" s="80"/>
      <c r="H469"/>
      <c r="I469" s="80"/>
      <c r="J469"/>
      <c r="K469"/>
      <c r="L469"/>
      <c r="M469"/>
      <c r="N469"/>
    </row>
    <row r="470" spans="2:14" ht="14.6" x14ac:dyDescent="0.4">
      <c r="B470"/>
      <c r="C470"/>
      <c r="D470"/>
      <c r="E470" s="29"/>
      <c r="F470"/>
      <c r="G470" s="80"/>
      <c r="H470"/>
      <c r="I470" s="80"/>
      <c r="J470"/>
      <c r="K470"/>
      <c r="L470"/>
      <c r="M470"/>
      <c r="N470"/>
    </row>
    <row r="471" spans="2:14" ht="14.6" x14ac:dyDescent="0.4">
      <c r="B471"/>
      <c r="C471"/>
      <c r="D471"/>
      <c r="E471" s="29"/>
      <c r="F471"/>
      <c r="G471" s="80"/>
      <c r="H471"/>
      <c r="I471" s="80"/>
      <c r="J471"/>
      <c r="K471"/>
      <c r="L471"/>
      <c r="M471"/>
      <c r="N471"/>
    </row>
    <row r="472" spans="2:14" ht="14.6" x14ac:dyDescent="0.4">
      <c r="B472"/>
      <c r="C472"/>
      <c r="D472"/>
      <c r="E472" s="29"/>
      <c r="F472"/>
      <c r="G472" s="80"/>
      <c r="H472"/>
      <c r="I472" s="80"/>
      <c r="J472"/>
      <c r="K472"/>
      <c r="L472"/>
      <c r="M472"/>
      <c r="N472"/>
    </row>
    <row r="473" spans="2:14" ht="14.6" x14ac:dyDescent="0.4">
      <c r="B473"/>
      <c r="C473"/>
      <c r="D473"/>
      <c r="E473" s="29"/>
      <c r="F473"/>
      <c r="G473" s="80"/>
      <c r="H473"/>
      <c r="I473" s="80"/>
      <c r="J473"/>
      <c r="K473"/>
      <c r="L473"/>
      <c r="M473"/>
      <c r="N473"/>
    </row>
    <row r="474" spans="2:14" ht="14.6" x14ac:dyDescent="0.4">
      <c r="B474"/>
      <c r="C474"/>
      <c r="D474"/>
      <c r="E474" s="29"/>
      <c r="F474"/>
      <c r="G474" s="80"/>
      <c r="H474"/>
      <c r="I474" s="80"/>
      <c r="J474"/>
      <c r="K474"/>
      <c r="L474"/>
      <c r="M474"/>
      <c r="N474"/>
    </row>
    <row r="475" spans="2:14" ht="14.6" x14ac:dyDescent="0.4">
      <c r="B475"/>
      <c r="C475"/>
      <c r="D475"/>
      <c r="E475" s="29"/>
      <c r="F475"/>
      <c r="G475" s="80"/>
      <c r="H475"/>
      <c r="I475" s="80"/>
      <c r="J475"/>
      <c r="K475"/>
      <c r="L475"/>
      <c r="M475"/>
      <c r="N475"/>
    </row>
    <row r="476" spans="2:14" ht="14.6" x14ac:dyDescent="0.4">
      <c r="B476"/>
      <c r="C476"/>
      <c r="D476"/>
      <c r="E476" s="29"/>
      <c r="F476"/>
      <c r="G476" s="80"/>
      <c r="H476"/>
      <c r="I476" s="80"/>
      <c r="J476"/>
      <c r="K476"/>
      <c r="L476"/>
      <c r="M476"/>
      <c r="N476"/>
    </row>
    <row r="477" spans="2:14" ht="14.6" x14ac:dyDescent="0.4">
      <c r="B477"/>
      <c r="C477"/>
      <c r="D477"/>
      <c r="E477" s="29"/>
      <c r="F477"/>
      <c r="G477" s="80"/>
      <c r="H477"/>
      <c r="I477" s="80"/>
      <c r="J477"/>
      <c r="K477"/>
      <c r="L477"/>
      <c r="M477"/>
      <c r="N477"/>
    </row>
    <row r="478" spans="2:14" ht="14.6" x14ac:dyDescent="0.4">
      <c r="B478"/>
      <c r="C478"/>
      <c r="D478"/>
      <c r="E478" s="29"/>
      <c r="F478"/>
      <c r="G478" s="80"/>
      <c r="H478"/>
      <c r="I478" s="80"/>
      <c r="J478"/>
      <c r="K478"/>
      <c r="L478"/>
      <c r="M478"/>
      <c r="N478"/>
    </row>
    <row r="479" spans="2:14" ht="14.6" x14ac:dyDescent="0.4">
      <c r="B479"/>
      <c r="C479"/>
      <c r="D479"/>
      <c r="E479" s="29"/>
      <c r="F479"/>
      <c r="G479" s="80"/>
      <c r="H479"/>
      <c r="I479" s="80"/>
      <c r="J479"/>
      <c r="K479"/>
      <c r="L479"/>
      <c r="M479"/>
      <c r="N479"/>
    </row>
    <row r="480" spans="2:14" ht="14.6" x14ac:dyDescent="0.4">
      <c r="B480"/>
      <c r="C480"/>
      <c r="D480"/>
      <c r="E480" s="29"/>
      <c r="F480"/>
      <c r="G480" s="80"/>
      <c r="H480"/>
      <c r="I480" s="80"/>
      <c r="J480"/>
      <c r="K480"/>
      <c r="L480"/>
      <c r="M480"/>
      <c r="N480"/>
    </row>
    <row r="481" spans="2:14" ht="14.6" x14ac:dyDescent="0.4">
      <c r="B481"/>
      <c r="C481"/>
      <c r="D481"/>
      <c r="E481" s="29"/>
      <c r="F481"/>
      <c r="G481" s="80"/>
      <c r="H481"/>
      <c r="I481" s="80"/>
      <c r="J481"/>
      <c r="K481"/>
      <c r="L481"/>
      <c r="M481"/>
      <c r="N481"/>
    </row>
    <row r="482" spans="2:14" ht="14.6" x14ac:dyDescent="0.4">
      <c r="B482"/>
      <c r="C482"/>
      <c r="D482"/>
      <c r="E482" s="29"/>
      <c r="F482"/>
      <c r="G482" s="80"/>
      <c r="H482"/>
      <c r="I482" s="80"/>
      <c r="J482"/>
      <c r="K482"/>
      <c r="L482"/>
      <c r="M482"/>
      <c r="N482"/>
    </row>
    <row r="483" spans="2:14" ht="14.6" x14ac:dyDescent="0.4">
      <c r="B483"/>
      <c r="C483"/>
      <c r="D483"/>
      <c r="E483" s="29"/>
      <c r="F483"/>
      <c r="G483" s="80"/>
      <c r="H483"/>
      <c r="I483" s="80"/>
      <c r="J483"/>
      <c r="K483"/>
      <c r="L483"/>
      <c r="M483"/>
      <c r="N483"/>
    </row>
    <row r="484" spans="2:14" ht="14.6" x14ac:dyDescent="0.4">
      <c r="B484"/>
      <c r="C484"/>
      <c r="D484"/>
      <c r="E484" s="29"/>
      <c r="F484"/>
      <c r="G484" s="80"/>
      <c r="H484"/>
      <c r="I484" s="80"/>
      <c r="J484"/>
      <c r="K484"/>
      <c r="L484"/>
      <c r="M484"/>
      <c r="N484"/>
    </row>
    <row r="485" spans="2:14" ht="14.6" x14ac:dyDescent="0.4">
      <c r="B485"/>
      <c r="C485"/>
      <c r="D485"/>
      <c r="E485" s="29"/>
      <c r="F485"/>
      <c r="G485" s="80"/>
      <c r="H485"/>
      <c r="I485" s="80"/>
      <c r="J485"/>
      <c r="K485"/>
      <c r="L485"/>
      <c r="M485"/>
      <c r="N485"/>
    </row>
    <row r="486" spans="2:14" ht="14.6" x14ac:dyDescent="0.4">
      <c r="B486"/>
      <c r="C486"/>
      <c r="D486"/>
      <c r="E486" s="29"/>
      <c r="F486"/>
      <c r="G486" s="80"/>
      <c r="H486"/>
      <c r="I486" s="80"/>
      <c r="J486"/>
      <c r="K486"/>
      <c r="L486"/>
      <c r="M486"/>
      <c r="N486"/>
    </row>
    <row r="487" spans="2:14" ht="14.6" x14ac:dyDescent="0.4">
      <c r="B487"/>
      <c r="C487"/>
      <c r="D487"/>
      <c r="E487" s="29"/>
      <c r="F487"/>
      <c r="G487" s="80"/>
      <c r="H487"/>
      <c r="I487" s="80"/>
      <c r="J487"/>
      <c r="K487"/>
      <c r="L487"/>
      <c r="M487"/>
      <c r="N487"/>
    </row>
    <row r="488" spans="2:14" ht="14.6" x14ac:dyDescent="0.4">
      <c r="B488"/>
      <c r="C488"/>
      <c r="D488"/>
      <c r="E488" s="29"/>
      <c r="F488"/>
      <c r="G488" s="80"/>
      <c r="H488"/>
      <c r="I488" s="80"/>
      <c r="J488"/>
      <c r="K488"/>
      <c r="L488"/>
      <c r="M488"/>
      <c r="N488"/>
    </row>
    <row r="489" spans="2:14" ht="14.6" x14ac:dyDescent="0.4">
      <c r="B489"/>
      <c r="C489"/>
      <c r="D489"/>
      <c r="E489" s="29"/>
      <c r="F489"/>
      <c r="G489" s="80"/>
      <c r="H489"/>
      <c r="I489" s="80"/>
      <c r="J489"/>
      <c r="K489"/>
      <c r="L489"/>
      <c r="M489"/>
      <c r="N489"/>
    </row>
    <row r="490" spans="2:14" ht="14.6" x14ac:dyDescent="0.4">
      <c r="B490"/>
      <c r="C490"/>
      <c r="D490"/>
      <c r="E490" s="29"/>
      <c r="F490"/>
      <c r="G490" s="80"/>
      <c r="H490"/>
      <c r="I490" s="80"/>
      <c r="J490"/>
      <c r="K490"/>
      <c r="L490"/>
      <c r="M490"/>
      <c r="N490"/>
    </row>
    <row r="491" spans="2:14" ht="14.6" x14ac:dyDescent="0.4">
      <c r="B491"/>
      <c r="C491"/>
      <c r="D491"/>
      <c r="E491" s="29"/>
      <c r="F491"/>
      <c r="G491" s="80"/>
      <c r="H491"/>
      <c r="I491" s="80"/>
      <c r="J491"/>
      <c r="K491"/>
      <c r="L491"/>
      <c r="M491"/>
      <c r="N491"/>
    </row>
    <row r="492" spans="2:14" ht="14.6" x14ac:dyDescent="0.4">
      <c r="B492"/>
      <c r="C492"/>
      <c r="D492"/>
      <c r="E492" s="29"/>
      <c r="F492"/>
      <c r="G492" s="80"/>
      <c r="H492"/>
      <c r="I492" s="80"/>
      <c r="J492"/>
      <c r="K492"/>
      <c r="L492"/>
      <c r="M492"/>
      <c r="N492"/>
    </row>
    <row r="493" spans="2:14" ht="14.6" x14ac:dyDescent="0.4">
      <c r="B493"/>
      <c r="C493"/>
      <c r="D493"/>
      <c r="E493" s="29"/>
      <c r="F493"/>
      <c r="G493" s="80"/>
      <c r="H493"/>
      <c r="I493" s="80"/>
      <c r="J493"/>
      <c r="K493"/>
      <c r="L493"/>
      <c r="M493"/>
      <c r="N493"/>
    </row>
    <row r="494" spans="2:14" ht="14.6" x14ac:dyDescent="0.4">
      <c r="B494"/>
      <c r="C494"/>
      <c r="D494"/>
      <c r="E494" s="29"/>
      <c r="F494"/>
      <c r="G494" s="80"/>
      <c r="H494"/>
      <c r="I494" s="80"/>
      <c r="J494"/>
      <c r="K494"/>
      <c r="L494"/>
      <c r="M494"/>
      <c r="N494"/>
    </row>
    <row r="495" spans="2:14" ht="14.6" x14ac:dyDescent="0.4">
      <c r="B495"/>
      <c r="C495"/>
      <c r="D495"/>
      <c r="E495" s="29"/>
      <c r="F495"/>
      <c r="G495" s="80"/>
      <c r="H495"/>
      <c r="I495" s="80"/>
      <c r="J495"/>
      <c r="K495"/>
      <c r="L495"/>
      <c r="M495"/>
      <c r="N495"/>
    </row>
    <row r="496" spans="2:14" ht="14.6" x14ac:dyDescent="0.4">
      <c r="B496"/>
      <c r="C496"/>
      <c r="D496"/>
      <c r="E496" s="29"/>
      <c r="F496"/>
      <c r="G496" s="80"/>
      <c r="H496"/>
      <c r="I496" s="80"/>
      <c r="J496"/>
      <c r="K496"/>
      <c r="L496"/>
      <c r="M496"/>
      <c r="N496"/>
    </row>
    <row r="497" spans="2:14" ht="14.6" x14ac:dyDescent="0.4">
      <c r="B497"/>
      <c r="C497"/>
      <c r="D497"/>
      <c r="E497" s="29"/>
      <c r="F497"/>
      <c r="G497" s="80"/>
      <c r="H497"/>
      <c r="I497" s="80"/>
      <c r="J497"/>
      <c r="K497"/>
      <c r="L497"/>
      <c r="M497"/>
      <c r="N497"/>
    </row>
    <row r="498" spans="2:14" ht="14.6" x14ac:dyDescent="0.4">
      <c r="B498"/>
      <c r="C498"/>
      <c r="D498"/>
      <c r="E498" s="29"/>
      <c r="F498"/>
      <c r="G498" s="80"/>
      <c r="H498"/>
      <c r="I498" s="80"/>
      <c r="J498"/>
      <c r="K498"/>
      <c r="L498"/>
      <c r="M498"/>
      <c r="N498"/>
    </row>
    <row r="499" spans="2:14" ht="14.6" x14ac:dyDescent="0.4">
      <c r="B499"/>
      <c r="C499"/>
      <c r="D499"/>
      <c r="E499" s="29"/>
      <c r="F499"/>
      <c r="G499" s="80"/>
      <c r="H499"/>
      <c r="I499" s="80"/>
      <c r="J499"/>
      <c r="K499"/>
      <c r="L499"/>
      <c r="M499"/>
      <c r="N499"/>
    </row>
    <row r="500" spans="2:14" ht="14.6" x14ac:dyDescent="0.4">
      <c r="B500"/>
      <c r="C500"/>
      <c r="D500"/>
      <c r="E500" s="29"/>
      <c r="F500"/>
      <c r="G500" s="80"/>
      <c r="H500"/>
      <c r="I500" s="80"/>
      <c r="J500"/>
      <c r="K500"/>
      <c r="L500"/>
      <c r="M500"/>
      <c r="N500"/>
    </row>
    <row r="501" spans="2:14" ht="14.6" x14ac:dyDescent="0.4">
      <c r="B501"/>
      <c r="C501"/>
      <c r="D501"/>
      <c r="E501" s="29"/>
      <c r="F501"/>
      <c r="G501" s="80"/>
      <c r="H501"/>
      <c r="I501" s="80"/>
      <c r="J501"/>
      <c r="K501"/>
      <c r="L501"/>
      <c r="M501"/>
      <c r="N501"/>
    </row>
    <row r="502" spans="2:14" ht="14.6" x14ac:dyDescent="0.4">
      <c r="B502"/>
      <c r="C502"/>
      <c r="D502"/>
      <c r="E502" s="29"/>
      <c r="F502"/>
      <c r="G502" s="80"/>
      <c r="H502"/>
      <c r="I502" s="80"/>
      <c r="J502"/>
      <c r="K502"/>
      <c r="L502"/>
      <c r="M502"/>
      <c r="N502"/>
    </row>
    <row r="503" spans="2:14" ht="14.6" x14ac:dyDescent="0.4">
      <c r="B503"/>
      <c r="C503"/>
      <c r="D503"/>
      <c r="E503" s="29"/>
      <c r="F503"/>
      <c r="G503" s="80"/>
      <c r="H503"/>
      <c r="I503" s="80"/>
      <c r="J503"/>
      <c r="K503"/>
      <c r="L503"/>
      <c r="M503"/>
      <c r="N503"/>
    </row>
    <row r="504" spans="2:14" ht="14.6" x14ac:dyDescent="0.4">
      <c r="B504"/>
      <c r="C504"/>
      <c r="D504"/>
      <c r="E504" s="29"/>
      <c r="F504"/>
      <c r="G504" s="80"/>
      <c r="H504"/>
      <c r="I504" s="80"/>
      <c r="J504"/>
      <c r="K504"/>
      <c r="L504"/>
      <c r="M504"/>
      <c r="N504"/>
    </row>
    <row r="505" spans="2:14" ht="14.6" x14ac:dyDescent="0.4">
      <c r="B505"/>
      <c r="C505"/>
      <c r="D505"/>
      <c r="E505" s="29"/>
      <c r="F505"/>
      <c r="G505" s="80"/>
      <c r="H505"/>
      <c r="I505" s="80"/>
      <c r="J505"/>
      <c r="K505"/>
      <c r="L505"/>
      <c r="M505"/>
      <c r="N505"/>
    </row>
    <row r="506" spans="2:14" ht="14.6" x14ac:dyDescent="0.4">
      <c r="B506"/>
      <c r="C506"/>
      <c r="D506"/>
      <c r="E506" s="29"/>
      <c r="F506"/>
      <c r="G506" s="80"/>
      <c r="H506"/>
      <c r="I506" s="80"/>
      <c r="J506"/>
      <c r="K506"/>
      <c r="L506"/>
      <c r="M506"/>
      <c r="N506"/>
    </row>
    <row r="507" spans="2:14" ht="14.6" x14ac:dyDescent="0.4">
      <c r="B507"/>
      <c r="C507"/>
      <c r="D507"/>
      <c r="E507" s="29"/>
      <c r="F507"/>
      <c r="G507" s="80"/>
      <c r="H507"/>
      <c r="I507" s="80"/>
      <c r="J507"/>
      <c r="K507"/>
      <c r="L507"/>
      <c r="M507"/>
      <c r="N507"/>
    </row>
    <row r="508" spans="2:14" ht="14.6" x14ac:dyDescent="0.4">
      <c r="B508"/>
      <c r="C508"/>
      <c r="D508"/>
      <c r="E508" s="29"/>
      <c r="F508"/>
      <c r="G508" s="80"/>
      <c r="H508"/>
      <c r="I508" s="80"/>
      <c r="J508"/>
      <c r="K508"/>
      <c r="L508"/>
      <c r="M508"/>
      <c r="N508"/>
    </row>
    <row r="509" spans="2:14" ht="14.6" x14ac:dyDescent="0.4">
      <c r="B509"/>
      <c r="C509"/>
      <c r="D509"/>
      <c r="E509" s="29"/>
      <c r="F509"/>
      <c r="G509" s="80"/>
      <c r="H509"/>
      <c r="I509" s="80"/>
      <c r="J509"/>
      <c r="K509"/>
      <c r="L509"/>
      <c r="M509"/>
      <c r="N509"/>
    </row>
    <row r="510" spans="2:14" ht="14.6" x14ac:dyDescent="0.4">
      <c r="B510"/>
      <c r="C510"/>
      <c r="D510"/>
      <c r="E510" s="29"/>
      <c r="F510"/>
      <c r="G510" s="80"/>
      <c r="H510"/>
      <c r="I510" s="80"/>
      <c r="J510"/>
      <c r="K510"/>
      <c r="L510"/>
      <c r="M510"/>
      <c r="N510"/>
    </row>
    <row r="511" spans="2:14" ht="14.6" x14ac:dyDescent="0.4">
      <c r="B511"/>
      <c r="C511"/>
      <c r="D511"/>
      <c r="E511" s="29"/>
      <c r="F511"/>
      <c r="G511" s="80"/>
      <c r="H511"/>
      <c r="I511" s="80"/>
      <c r="J511"/>
      <c r="K511"/>
      <c r="L511"/>
      <c r="M511"/>
      <c r="N511"/>
    </row>
    <row r="512" spans="2:14" ht="14.6" x14ac:dyDescent="0.4">
      <c r="B512"/>
      <c r="C512"/>
      <c r="D512"/>
      <c r="E512" s="29"/>
      <c r="F512"/>
      <c r="G512" s="80"/>
      <c r="H512"/>
      <c r="I512" s="80"/>
      <c r="J512"/>
      <c r="K512"/>
      <c r="L512"/>
      <c r="M512"/>
      <c r="N512"/>
    </row>
    <row r="513" spans="2:14" ht="14.6" x14ac:dyDescent="0.4">
      <c r="B513"/>
      <c r="C513"/>
      <c r="D513"/>
      <c r="E513" s="29"/>
      <c r="F513"/>
      <c r="G513" s="80"/>
      <c r="H513"/>
      <c r="I513" s="80"/>
      <c r="J513"/>
      <c r="K513"/>
      <c r="L513"/>
      <c r="M513"/>
      <c r="N513"/>
    </row>
    <row r="514" spans="2:14" ht="14.6" x14ac:dyDescent="0.4">
      <c r="B514"/>
      <c r="C514"/>
      <c r="D514"/>
      <c r="E514" s="29"/>
      <c r="F514"/>
      <c r="G514" s="80"/>
      <c r="H514"/>
      <c r="I514" s="80"/>
      <c r="J514"/>
      <c r="K514"/>
      <c r="L514"/>
      <c r="M514"/>
      <c r="N514"/>
    </row>
    <row r="515" spans="2:14" ht="14.6" x14ac:dyDescent="0.4">
      <c r="B515"/>
      <c r="C515"/>
      <c r="D515"/>
      <c r="E515" s="29"/>
      <c r="F515"/>
      <c r="G515" s="80"/>
      <c r="H515"/>
      <c r="I515" s="80"/>
      <c r="J515"/>
      <c r="K515"/>
      <c r="L515"/>
      <c r="M515"/>
      <c r="N515"/>
    </row>
    <row r="516" spans="2:14" ht="14.6" x14ac:dyDescent="0.4">
      <c r="B516"/>
      <c r="C516"/>
      <c r="D516"/>
      <c r="E516" s="29"/>
      <c r="F516"/>
      <c r="G516" s="80"/>
      <c r="H516"/>
      <c r="I516" s="80"/>
      <c r="J516"/>
      <c r="K516"/>
      <c r="L516"/>
      <c r="M516"/>
      <c r="N516"/>
    </row>
    <row r="517" spans="2:14" ht="14.6" x14ac:dyDescent="0.4">
      <c r="B517"/>
      <c r="C517"/>
      <c r="D517"/>
      <c r="E517" s="29"/>
      <c r="F517"/>
      <c r="G517" s="80"/>
      <c r="H517"/>
      <c r="I517" s="80"/>
      <c r="J517"/>
      <c r="K517"/>
      <c r="L517"/>
      <c r="M517"/>
      <c r="N517"/>
    </row>
    <row r="518" spans="2:14" ht="14.6" x14ac:dyDescent="0.4">
      <c r="B518"/>
      <c r="C518"/>
      <c r="D518"/>
      <c r="E518" s="29"/>
      <c r="F518"/>
      <c r="G518" s="80"/>
      <c r="H518"/>
      <c r="I518" s="80"/>
      <c r="J518"/>
      <c r="K518"/>
      <c r="L518"/>
      <c r="M518"/>
      <c r="N518"/>
    </row>
    <row r="519" spans="2:14" ht="14.6" x14ac:dyDescent="0.4">
      <c r="B519"/>
      <c r="C519"/>
      <c r="D519"/>
      <c r="E519" s="29"/>
      <c r="F519"/>
      <c r="G519" s="80"/>
      <c r="H519"/>
      <c r="I519" s="80"/>
      <c r="J519"/>
      <c r="K519"/>
      <c r="L519"/>
      <c r="M519"/>
      <c r="N519"/>
    </row>
    <row r="520" spans="2:14" ht="14.6" x14ac:dyDescent="0.4">
      <c r="B520"/>
      <c r="C520"/>
      <c r="D520"/>
      <c r="E520" s="29"/>
      <c r="F520"/>
      <c r="G520" s="80"/>
      <c r="H520"/>
      <c r="I520" s="80"/>
      <c r="J520"/>
      <c r="K520"/>
      <c r="L520"/>
      <c r="M520"/>
      <c r="N520"/>
    </row>
    <row r="521" spans="2:14" ht="14.6" x14ac:dyDescent="0.4">
      <c r="B521"/>
      <c r="C521"/>
      <c r="D521"/>
      <c r="E521" s="29"/>
      <c r="F521"/>
      <c r="G521" s="80"/>
      <c r="H521"/>
      <c r="I521" s="80"/>
      <c r="J521"/>
      <c r="K521"/>
      <c r="L521"/>
      <c r="M521"/>
      <c r="N521"/>
    </row>
    <row r="522" spans="2:14" ht="14.6" x14ac:dyDescent="0.4">
      <c r="B522"/>
      <c r="C522"/>
      <c r="D522"/>
      <c r="E522" s="29"/>
      <c r="F522"/>
      <c r="G522" s="80"/>
      <c r="H522"/>
      <c r="I522" s="80"/>
      <c r="J522"/>
      <c r="K522"/>
      <c r="L522"/>
      <c r="M522"/>
      <c r="N522"/>
    </row>
    <row r="523" spans="2:14" ht="14.6" x14ac:dyDescent="0.4">
      <c r="B523"/>
      <c r="C523"/>
      <c r="D523"/>
      <c r="E523" s="29"/>
      <c r="F523"/>
      <c r="G523" s="80"/>
      <c r="H523"/>
      <c r="I523" s="80"/>
      <c r="J523"/>
      <c r="K523"/>
      <c r="L523"/>
      <c r="M523"/>
      <c r="N523"/>
    </row>
    <row r="524" spans="2:14" ht="14.6" x14ac:dyDescent="0.4">
      <c r="B524"/>
      <c r="C524"/>
      <c r="D524"/>
      <c r="E524" s="29"/>
      <c r="F524"/>
      <c r="G524" s="80"/>
      <c r="H524"/>
      <c r="I524" s="80"/>
      <c r="J524"/>
      <c r="K524"/>
      <c r="L524"/>
      <c r="M524"/>
      <c r="N524"/>
    </row>
    <row r="525" spans="2:14" ht="14.6" x14ac:dyDescent="0.4">
      <c r="B525"/>
      <c r="C525"/>
      <c r="D525"/>
      <c r="E525" s="29"/>
      <c r="F525"/>
      <c r="G525" s="80"/>
      <c r="H525"/>
      <c r="I525" s="80"/>
      <c r="J525"/>
      <c r="K525"/>
      <c r="L525"/>
      <c r="M525"/>
      <c r="N525"/>
    </row>
    <row r="526" spans="2:14" ht="14.6" x14ac:dyDescent="0.4">
      <c r="B526"/>
      <c r="C526"/>
      <c r="D526"/>
      <c r="E526" s="29"/>
      <c r="F526"/>
      <c r="G526" s="80"/>
      <c r="H526"/>
      <c r="I526" s="80"/>
      <c r="J526"/>
      <c r="K526"/>
      <c r="L526"/>
      <c r="M526"/>
      <c r="N526"/>
    </row>
    <row r="527" spans="2:14" ht="14.6" x14ac:dyDescent="0.4">
      <c r="B527"/>
      <c r="C527"/>
      <c r="D527"/>
      <c r="E527" s="29"/>
      <c r="F527"/>
      <c r="G527" s="80"/>
      <c r="H527"/>
      <c r="I527" s="80"/>
      <c r="J527"/>
      <c r="K527"/>
      <c r="L527"/>
      <c r="M527"/>
      <c r="N527"/>
    </row>
    <row r="528" spans="2:14" ht="14.6" x14ac:dyDescent="0.4">
      <c r="B528"/>
      <c r="C528"/>
      <c r="D528"/>
      <c r="E528" s="29"/>
      <c r="F528"/>
      <c r="G528" s="80"/>
      <c r="H528"/>
      <c r="I528" s="80"/>
      <c r="J528"/>
      <c r="K528"/>
      <c r="L528"/>
      <c r="M528"/>
      <c r="N528"/>
    </row>
    <row r="529" spans="2:14" ht="14.6" x14ac:dyDescent="0.4">
      <c r="B529"/>
      <c r="C529"/>
      <c r="D529"/>
      <c r="E529" s="29"/>
      <c r="F529"/>
      <c r="G529" s="80"/>
      <c r="H529"/>
      <c r="I529" s="80"/>
      <c r="J529"/>
      <c r="K529"/>
      <c r="L529"/>
      <c r="M529"/>
      <c r="N529"/>
    </row>
    <row r="530" spans="2:14" ht="14.6" x14ac:dyDescent="0.4">
      <c r="B530"/>
      <c r="C530"/>
      <c r="D530"/>
      <c r="E530" s="29"/>
      <c r="F530"/>
      <c r="G530" s="80"/>
      <c r="H530"/>
      <c r="I530" s="80"/>
      <c r="J530"/>
      <c r="K530"/>
      <c r="L530"/>
      <c r="M530"/>
      <c r="N530"/>
    </row>
    <row r="531" spans="2:14" ht="14.6" x14ac:dyDescent="0.4">
      <c r="B531"/>
      <c r="C531"/>
      <c r="D531"/>
      <c r="E531" s="29"/>
      <c r="F531"/>
      <c r="G531" s="80"/>
      <c r="H531"/>
      <c r="I531" s="80"/>
      <c r="J531"/>
      <c r="K531"/>
      <c r="L531"/>
      <c r="M531"/>
      <c r="N531"/>
    </row>
    <row r="532" spans="2:14" ht="14.6" x14ac:dyDescent="0.4">
      <c r="B532"/>
      <c r="C532"/>
      <c r="D532"/>
      <c r="E532" s="29"/>
      <c r="F532"/>
      <c r="G532" s="80"/>
      <c r="H532"/>
      <c r="I532" s="80"/>
      <c r="J532"/>
      <c r="K532"/>
      <c r="L532"/>
      <c r="M532"/>
      <c r="N532"/>
    </row>
    <row r="533" spans="2:14" ht="14.6" x14ac:dyDescent="0.4">
      <c r="B533"/>
      <c r="C533"/>
      <c r="D533"/>
      <c r="E533" s="29"/>
      <c r="F533"/>
      <c r="G533" s="80"/>
      <c r="H533"/>
      <c r="I533" s="80"/>
      <c r="J533"/>
      <c r="K533"/>
      <c r="L533"/>
      <c r="M533"/>
      <c r="N533"/>
    </row>
    <row r="534" spans="2:14" ht="14.6" x14ac:dyDescent="0.4">
      <c r="B534"/>
      <c r="C534"/>
      <c r="D534"/>
      <c r="E534" s="29"/>
      <c r="F534"/>
      <c r="G534" s="80"/>
      <c r="H534"/>
      <c r="I534" s="80"/>
      <c r="J534"/>
      <c r="K534"/>
      <c r="L534"/>
      <c r="M534"/>
      <c r="N534"/>
    </row>
    <row r="535" spans="2:14" ht="14.6" x14ac:dyDescent="0.4">
      <c r="B535"/>
      <c r="C535"/>
      <c r="D535"/>
      <c r="E535" s="29"/>
      <c r="F535"/>
      <c r="G535" s="80"/>
      <c r="H535"/>
      <c r="I535" s="80"/>
      <c r="J535"/>
      <c r="K535"/>
      <c r="L535"/>
      <c r="M535"/>
      <c r="N535"/>
    </row>
    <row r="536" spans="2:14" ht="14.6" x14ac:dyDescent="0.4">
      <c r="B536"/>
      <c r="C536"/>
      <c r="D536"/>
      <c r="E536" s="29"/>
      <c r="F536"/>
      <c r="G536" s="80"/>
      <c r="H536"/>
      <c r="I536" s="80"/>
      <c r="J536"/>
      <c r="K536"/>
      <c r="L536"/>
      <c r="M536"/>
      <c r="N536"/>
    </row>
    <row r="537" spans="2:14" ht="14.6" x14ac:dyDescent="0.4">
      <c r="B537"/>
      <c r="C537"/>
      <c r="D537"/>
      <c r="E537" s="29"/>
      <c r="F537"/>
      <c r="G537" s="80"/>
      <c r="H537"/>
      <c r="I537" s="80"/>
      <c r="J537"/>
      <c r="K537"/>
      <c r="L537"/>
      <c r="M537"/>
      <c r="N537"/>
    </row>
    <row r="538" spans="2:14" ht="14.6" x14ac:dyDescent="0.4">
      <c r="B538"/>
      <c r="C538"/>
      <c r="D538"/>
      <c r="E538" s="29"/>
      <c r="F538"/>
      <c r="G538" s="80"/>
      <c r="H538"/>
      <c r="I538" s="80"/>
      <c r="J538"/>
      <c r="K538"/>
      <c r="L538"/>
      <c r="M538"/>
      <c r="N538"/>
    </row>
    <row r="539" spans="2:14" ht="14.6" x14ac:dyDescent="0.4">
      <c r="B539"/>
      <c r="C539"/>
      <c r="D539"/>
      <c r="E539" s="29"/>
      <c r="F539"/>
      <c r="G539" s="80"/>
      <c r="H539"/>
      <c r="I539" s="80"/>
      <c r="J539"/>
      <c r="K539"/>
      <c r="L539"/>
      <c r="M539"/>
      <c r="N539"/>
    </row>
    <row r="540" spans="2:14" ht="14.6" x14ac:dyDescent="0.4">
      <c r="B540"/>
      <c r="C540"/>
      <c r="D540"/>
      <c r="E540" s="29"/>
      <c r="F540"/>
      <c r="G540" s="80"/>
      <c r="H540"/>
      <c r="I540" s="80"/>
      <c r="J540"/>
      <c r="K540"/>
      <c r="L540"/>
      <c r="M540"/>
      <c r="N540"/>
    </row>
    <row r="541" spans="2:14" ht="14.6" x14ac:dyDescent="0.4">
      <c r="B541"/>
      <c r="C541"/>
      <c r="D541"/>
      <c r="E541" s="29"/>
      <c r="F541"/>
      <c r="G541" s="80"/>
      <c r="H541"/>
      <c r="I541" s="80"/>
      <c r="J541"/>
      <c r="K541"/>
      <c r="L541"/>
      <c r="M541"/>
      <c r="N541"/>
    </row>
    <row r="542" spans="2:14" ht="14.6" x14ac:dyDescent="0.4">
      <c r="B542"/>
      <c r="C542"/>
      <c r="D542"/>
      <c r="E542" s="29"/>
      <c r="F542"/>
      <c r="G542" s="80"/>
      <c r="H542"/>
      <c r="I542" s="80"/>
      <c r="J542"/>
      <c r="K542"/>
      <c r="L542"/>
      <c r="M542"/>
      <c r="N542"/>
    </row>
    <row r="543" spans="2:14" ht="14.6" x14ac:dyDescent="0.4">
      <c r="B543"/>
      <c r="C543"/>
      <c r="D543"/>
      <c r="E543" s="29"/>
      <c r="F543"/>
      <c r="G543" s="80"/>
      <c r="H543"/>
      <c r="I543" s="80"/>
      <c r="J543"/>
      <c r="K543"/>
      <c r="L543"/>
      <c r="M543"/>
      <c r="N543"/>
    </row>
    <row r="544" spans="2:14" ht="14.6" x14ac:dyDescent="0.4">
      <c r="B544"/>
      <c r="C544"/>
      <c r="D544"/>
      <c r="E544" s="29"/>
      <c r="F544"/>
      <c r="G544" s="80"/>
      <c r="H544"/>
      <c r="I544" s="80"/>
      <c r="J544"/>
      <c r="K544"/>
      <c r="L544"/>
      <c r="M544"/>
      <c r="N544"/>
    </row>
    <row r="545" spans="2:14" ht="14.6" x14ac:dyDescent="0.4">
      <c r="B545"/>
      <c r="C545"/>
      <c r="D545"/>
      <c r="E545" s="29"/>
      <c r="F545"/>
      <c r="G545" s="80"/>
      <c r="H545"/>
      <c r="I545" s="80"/>
      <c r="J545"/>
      <c r="K545"/>
      <c r="L545"/>
      <c r="M545"/>
      <c r="N545"/>
    </row>
    <row r="546" spans="2:14" ht="14.6" x14ac:dyDescent="0.4">
      <c r="B546"/>
      <c r="C546"/>
      <c r="D546"/>
      <c r="E546" s="29"/>
      <c r="F546"/>
      <c r="G546" s="80"/>
      <c r="H546"/>
      <c r="I546" s="80"/>
      <c r="J546"/>
      <c r="K546"/>
      <c r="L546"/>
      <c r="M546"/>
      <c r="N546"/>
    </row>
    <row r="547" spans="2:14" ht="14.6" x14ac:dyDescent="0.4">
      <c r="B547"/>
      <c r="C547"/>
      <c r="D547"/>
      <c r="E547" s="29"/>
      <c r="F547"/>
      <c r="G547" s="80"/>
      <c r="H547"/>
      <c r="I547" s="80"/>
      <c r="J547"/>
      <c r="K547"/>
      <c r="L547"/>
      <c r="M547"/>
      <c r="N547"/>
    </row>
    <row r="548" spans="2:14" ht="14.6" x14ac:dyDescent="0.4">
      <c r="B548"/>
      <c r="C548"/>
      <c r="D548"/>
      <c r="E548" s="29"/>
      <c r="F548"/>
      <c r="G548" s="80"/>
      <c r="H548"/>
      <c r="I548" s="80"/>
      <c r="J548"/>
      <c r="K548"/>
      <c r="L548"/>
      <c r="M548"/>
      <c r="N548"/>
    </row>
    <row r="549" spans="2:14" ht="14.6" x14ac:dyDescent="0.4">
      <c r="B549"/>
      <c r="C549"/>
      <c r="D549"/>
      <c r="E549" s="29"/>
      <c r="F549"/>
      <c r="G549" s="80"/>
      <c r="H549"/>
      <c r="I549" s="80"/>
      <c r="J549"/>
      <c r="K549"/>
      <c r="L549"/>
      <c r="M549"/>
      <c r="N549"/>
    </row>
    <row r="550" spans="2:14" ht="14.6" x14ac:dyDescent="0.4">
      <c r="B550"/>
      <c r="C550"/>
      <c r="D550"/>
      <c r="E550" s="29"/>
      <c r="F550"/>
      <c r="G550" s="80"/>
      <c r="H550"/>
      <c r="I550" s="80"/>
      <c r="J550"/>
      <c r="K550"/>
      <c r="L550"/>
      <c r="M550"/>
      <c r="N550"/>
    </row>
    <row r="551" spans="2:14" ht="14.6" x14ac:dyDescent="0.4">
      <c r="B551"/>
      <c r="C551"/>
      <c r="D551"/>
      <c r="E551" s="29"/>
      <c r="F551"/>
      <c r="G551" s="80"/>
      <c r="H551"/>
      <c r="I551" s="80"/>
      <c r="J551"/>
      <c r="K551"/>
      <c r="L551"/>
      <c r="M551"/>
      <c r="N551"/>
    </row>
    <row r="552" spans="2:14" ht="14.6" x14ac:dyDescent="0.4">
      <c r="B552"/>
      <c r="C552"/>
      <c r="D552"/>
      <c r="E552" s="29"/>
      <c r="F552"/>
      <c r="G552" s="80"/>
      <c r="H552"/>
      <c r="I552" s="80"/>
      <c r="J552"/>
      <c r="K552"/>
      <c r="L552"/>
      <c r="M552"/>
      <c r="N552"/>
    </row>
    <row r="553" spans="2:14" ht="14.6" x14ac:dyDescent="0.4">
      <c r="B553"/>
      <c r="C553"/>
      <c r="D553"/>
      <c r="E553" s="29"/>
      <c r="F553"/>
      <c r="G553" s="80"/>
      <c r="H553"/>
      <c r="I553" s="80"/>
      <c r="J553"/>
      <c r="K553"/>
      <c r="L553"/>
      <c r="M553"/>
      <c r="N553"/>
    </row>
    <row r="554" spans="2:14" ht="14.6" x14ac:dyDescent="0.4">
      <c r="B554"/>
      <c r="C554"/>
      <c r="D554"/>
      <c r="E554" s="29"/>
      <c r="F554"/>
      <c r="G554" s="80"/>
      <c r="H554"/>
      <c r="I554" s="80"/>
      <c r="J554"/>
      <c r="K554"/>
      <c r="L554"/>
      <c r="M554"/>
      <c r="N554"/>
    </row>
    <row r="555" spans="2:14" ht="14.6" x14ac:dyDescent="0.4">
      <c r="B555"/>
      <c r="C555"/>
      <c r="D555"/>
      <c r="E555" s="29"/>
      <c r="F555"/>
      <c r="G555" s="80"/>
      <c r="H555"/>
      <c r="I555" s="80"/>
      <c r="J555"/>
      <c r="K555"/>
      <c r="L555"/>
      <c r="M555"/>
      <c r="N555"/>
    </row>
    <row r="556" spans="2:14" ht="14.6" x14ac:dyDescent="0.4">
      <c r="B556"/>
      <c r="C556"/>
      <c r="D556"/>
      <c r="E556" s="29"/>
      <c r="F556"/>
      <c r="G556" s="80"/>
      <c r="H556"/>
      <c r="I556" s="80"/>
      <c r="J556"/>
      <c r="K556"/>
      <c r="L556"/>
      <c r="M556"/>
      <c r="N556"/>
    </row>
    <row r="557" spans="2:14" ht="14.6" x14ac:dyDescent="0.4">
      <c r="B557"/>
      <c r="C557"/>
      <c r="D557"/>
      <c r="E557" s="29"/>
      <c r="F557"/>
      <c r="G557" s="80"/>
      <c r="H557"/>
      <c r="I557" s="80"/>
      <c r="J557"/>
      <c r="K557"/>
      <c r="L557"/>
      <c r="M557"/>
      <c r="N557"/>
    </row>
    <row r="558" spans="2:14" ht="14.6" x14ac:dyDescent="0.4">
      <c r="B558"/>
      <c r="C558"/>
      <c r="D558"/>
      <c r="E558" s="29"/>
      <c r="F558"/>
      <c r="G558" s="80"/>
      <c r="H558"/>
      <c r="I558" s="80"/>
      <c r="J558"/>
      <c r="K558"/>
      <c r="L558"/>
      <c r="M558"/>
      <c r="N558"/>
    </row>
    <row r="559" spans="2:14" ht="14.6" x14ac:dyDescent="0.4">
      <c r="B559"/>
      <c r="C559"/>
      <c r="D559"/>
      <c r="E559" s="29"/>
      <c r="F559"/>
      <c r="G559" s="80"/>
      <c r="H559"/>
      <c r="I559" s="80"/>
      <c r="J559"/>
      <c r="K559"/>
      <c r="L559"/>
      <c r="M559"/>
      <c r="N559"/>
    </row>
    <row r="560" spans="2:14" ht="14.6" x14ac:dyDescent="0.4">
      <c r="B560"/>
      <c r="C560"/>
      <c r="D560"/>
      <c r="E560" s="29"/>
      <c r="F560"/>
      <c r="G560" s="80"/>
      <c r="H560"/>
      <c r="I560" s="80"/>
      <c r="J560"/>
      <c r="K560"/>
      <c r="L560"/>
      <c r="M560"/>
      <c r="N560"/>
    </row>
    <row r="561" spans="2:14" ht="14.6" x14ac:dyDescent="0.4">
      <c r="B561"/>
      <c r="C561"/>
      <c r="D561"/>
      <c r="E561" s="29"/>
      <c r="F561"/>
      <c r="G561" s="80"/>
      <c r="H561"/>
      <c r="I561" s="80"/>
      <c r="J561"/>
      <c r="K561"/>
      <c r="L561"/>
      <c r="M561"/>
      <c r="N561"/>
    </row>
    <row r="562" spans="2:14" ht="14.6" x14ac:dyDescent="0.4">
      <c r="B562"/>
      <c r="C562"/>
      <c r="D562"/>
      <c r="E562" s="29"/>
      <c r="F562"/>
      <c r="G562" s="80"/>
      <c r="H562"/>
      <c r="I562" s="80"/>
      <c r="J562"/>
      <c r="K562"/>
      <c r="L562"/>
      <c r="M562"/>
      <c r="N562"/>
    </row>
    <row r="563" spans="2:14" ht="14.6" x14ac:dyDescent="0.4">
      <c r="B563"/>
      <c r="C563"/>
      <c r="D563"/>
      <c r="E563" s="29"/>
      <c r="F563"/>
      <c r="G563" s="80"/>
      <c r="H563"/>
      <c r="I563" s="80"/>
      <c r="J563"/>
      <c r="K563"/>
      <c r="L563"/>
      <c r="M563"/>
      <c r="N563"/>
    </row>
    <row r="564" spans="2:14" ht="14.6" x14ac:dyDescent="0.4">
      <c r="B564"/>
      <c r="C564"/>
      <c r="D564"/>
      <c r="E564" s="29"/>
      <c r="F564"/>
      <c r="G564" s="80"/>
      <c r="H564"/>
      <c r="I564" s="80"/>
      <c r="J564"/>
      <c r="K564"/>
      <c r="L564"/>
      <c r="M564"/>
      <c r="N564"/>
    </row>
    <row r="565" spans="2:14" ht="14.6" x14ac:dyDescent="0.4">
      <c r="B565"/>
      <c r="C565"/>
      <c r="D565"/>
      <c r="E565" s="29"/>
      <c r="F565"/>
      <c r="G565" s="80"/>
      <c r="H565"/>
      <c r="I565" s="80"/>
      <c r="J565"/>
      <c r="K565"/>
      <c r="L565"/>
      <c r="M565"/>
      <c r="N565"/>
    </row>
    <row r="566" spans="2:14" ht="14.6" x14ac:dyDescent="0.4">
      <c r="B566"/>
      <c r="C566"/>
      <c r="D566"/>
      <c r="E566" s="29"/>
      <c r="F566"/>
      <c r="G566" s="80"/>
      <c r="H566"/>
      <c r="I566" s="80"/>
      <c r="J566"/>
      <c r="K566"/>
      <c r="L566"/>
      <c r="M566"/>
      <c r="N566"/>
    </row>
    <row r="567" spans="2:14" ht="14.6" x14ac:dyDescent="0.4">
      <c r="B567"/>
      <c r="C567"/>
      <c r="D567"/>
      <c r="E567" s="29"/>
      <c r="F567"/>
      <c r="G567" s="80"/>
      <c r="H567"/>
      <c r="I567" s="80"/>
      <c r="J567"/>
      <c r="K567"/>
      <c r="L567"/>
      <c r="M567"/>
      <c r="N567"/>
    </row>
    <row r="568" spans="2:14" ht="14.6" x14ac:dyDescent="0.4">
      <c r="B568"/>
      <c r="C568"/>
      <c r="D568"/>
      <c r="E568" s="29"/>
      <c r="F568"/>
      <c r="G568" s="80"/>
      <c r="H568"/>
      <c r="I568" s="80"/>
      <c r="J568"/>
      <c r="K568"/>
      <c r="L568"/>
      <c r="M568"/>
      <c r="N568"/>
    </row>
    <row r="569" spans="2:14" ht="14.6" x14ac:dyDescent="0.4">
      <c r="B569"/>
      <c r="C569"/>
      <c r="D569"/>
      <c r="E569" s="29"/>
      <c r="F569"/>
      <c r="G569" s="80"/>
      <c r="H569"/>
      <c r="I569" s="80"/>
      <c r="J569"/>
      <c r="K569"/>
      <c r="L569"/>
      <c r="M569"/>
      <c r="N569"/>
    </row>
    <row r="570" spans="2:14" ht="14.6" x14ac:dyDescent="0.4">
      <c r="B570"/>
      <c r="C570"/>
      <c r="D570"/>
      <c r="E570" s="29"/>
      <c r="F570"/>
      <c r="G570" s="80"/>
      <c r="H570"/>
      <c r="I570" s="80"/>
      <c r="J570"/>
      <c r="K570"/>
      <c r="L570"/>
      <c r="M570"/>
      <c r="N570"/>
    </row>
    <row r="571" spans="2:14" ht="14.6" x14ac:dyDescent="0.4">
      <c r="B571"/>
      <c r="C571"/>
      <c r="D571"/>
      <c r="E571" s="29"/>
      <c r="F571"/>
      <c r="G571" s="80"/>
      <c r="H571"/>
      <c r="I571" s="80"/>
      <c r="J571"/>
      <c r="K571"/>
      <c r="L571"/>
      <c r="M571"/>
      <c r="N571"/>
    </row>
    <row r="572" spans="2:14" ht="14.6" x14ac:dyDescent="0.4">
      <c r="B572"/>
      <c r="C572"/>
      <c r="D572"/>
      <c r="E572" s="29"/>
      <c r="F572"/>
      <c r="G572" s="80"/>
      <c r="H572"/>
      <c r="I572" s="80"/>
      <c r="J572"/>
      <c r="K572"/>
      <c r="L572"/>
      <c r="M572"/>
      <c r="N572"/>
    </row>
    <row r="573" spans="2:14" ht="14.6" x14ac:dyDescent="0.4">
      <c r="B573"/>
      <c r="C573"/>
      <c r="D573"/>
      <c r="E573" s="29"/>
      <c r="F573"/>
      <c r="G573" s="80"/>
      <c r="H573"/>
      <c r="I573" s="80"/>
      <c r="J573"/>
      <c r="K573"/>
      <c r="L573"/>
      <c r="M573"/>
      <c r="N573"/>
    </row>
    <row r="574" spans="2:14" ht="14.6" x14ac:dyDescent="0.4">
      <c r="B574"/>
      <c r="C574"/>
      <c r="D574"/>
      <c r="E574" s="29"/>
      <c r="F574"/>
      <c r="G574" s="80"/>
      <c r="H574"/>
      <c r="I574" s="80"/>
      <c r="J574"/>
      <c r="K574"/>
      <c r="L574"/>
      <c r="M574"/>
      <c r="N574"/>
    </row>
    <row r="575" spans="2:14" ht="14.6" x14ac:dyDescent="0.4">
      <c r="B575"/>
      <c r="C575"/>
      <c r="D575"/>
      <c r="E575" s="29"/>
      <c r="F575"/>
      <c r="G575" s="80"/>
      <c r="H575"/>
      <c r="I575" s="80"/>
      <c r="J575"/>
      <c r="K575"/>
      <c r="L575"/>
      <c r="M575"/>
      <c r="N575"/>
    </row>
    <row r="576" spans="2:14" ht="14.6" x14ac:dyDescent="0.4">
      <c r="B576"/>
      <c r="C576"/>
      <c r="D576"/>
      <c r="E576" s="29"/>
      <c r="F576"/>
      <c r="G576" s="80"/>
      <c r="H576"/>
      <c r="I576" s="80"/>
      <c r="J576"/>
      <c r="K576"/>
      <c r="L576"/>
      <c r="M576"/>
      <c r="N576"/>
    </row>
    <row r="577" spans="2:14" ht="14.6" x14ac:dyDescent="0.4">
      <c r="B577"/>
      <c r="C577"/>
      <c r="D577"/>
      <c r="E577" s="29"/>
      <c r="F577"/>
      <c r="G577" s="80"/>
      <c r="H577"/>
      <c r="I577" s="80"/>
      <c r="J577"/>
      <c r="K577"/>
      <c r="L577"/>
      <c r="M577"/>
      <c r="N577"/>
    </row>
    <row r="578" spans="2:14" ht="14.6" x14ac:dyDescent="0.4">
      <c r="B578"/>
      <c r="C578"/>
      <c r="D578"/>
      <c r="E578" s="29"/>
      <c r="F578"/>
      <c r="G578" s="80"/>
      <c r="H578"/>
      <c r="I578" s="80"/>
      <c r="J578"/>
      <c r="K578"/>
      <c r="L578"/>
      <c r="M578"/>
      <c r="N578"/>
    </row>
    <row r="579" spans="2:14" ht="14.6" x14ac:dyDescent="0.4">
      <c r="B579"/>
      <c r="C579"/>
      <c r="D579"/>
      <c r="E579" s="29"/>
      <c r="F579"/>
      <c r="G579" s="80"/>
      <c r="H579"/>
      <c r="I579" s="80"/>
      <c r="J579"/>
      <c r="K579"/>
      <c r="L579"/>
      <c r="M579"/>
      <c r="N579"/>
    </row>
    <row r="580" spans="2:14" ht="14.6" x14ac:dyDescent="0.4">
      <c r="B580"/>
      <c r="C580"/>
      <c r="D580"/>
      <c r="E580" s="29"/>
      <c r="F580"/>
      <c r="G580" s="80"/>
      <c r="H580"/>
      <c r="I580" s="80"/>
      <c r="J580"/>
      <c r="K580"/>
      <c r="L580"/>
      <c r="M580"/>
      <c r="N580"/>
    </row>
    <row r="581" spans="2:14" ht="14.6" x14ac:dyDescent="0.4">
      <c r="B581"/>
      <c r="C581"/>
      <c r="D581"/>
      <c r="E581" s="29"/>
      <c r="F581"/>
      <c r="G581" s="80"/>
      <c r="H581"/>
      <c r="I581" s="80"/>
      <c r="J581"/>
      <c r="K581"/>
      <c r="L581"/>
      <c r="M581"/>
      <c r="N581"/>
    </row>
    <row r="582" spans="2:14" ht="14.6" x14ac:dyDescent="0.4">
      <c r="B582"/>
      <c r="C582"/>
      <c r="D582"/>
      <c r="E582" s="29"/>
      <c r="F582"/>
      <c r="G582" s="80"/>
      <c r="H582"/>
      <c r="I582" s="80"/>
      <c r="J582"/>
      <c r="K582"/>
      <c r="L582"/>
      <c r="M582"/>
      <c r="N582"/>
    </row>
    <row r="583" spans="2:14" ht="14.6" x14ac:dyDescent="0.4">
      <c r="B583"/>
      <c r="C583"/>
      <c r="D583"/>
      <c r="E583" s="29"/>
      <c r="F583"/>
      <c r="G583" s="80"/>
      <c r="H583"/>
      <c r="I583" s="80"/>
      <c r="J583"/>
      <c r="K583"/>
      <c r="L583"/>
      <c r="M583"/>
      <c r="N583"/>
    </row>
    <row r="584" spans="2:14" ht="14.6" x14ac:dyDescent="0.4">
      <c r="B584"/>
      <c r="C584"/>
      <c r="D584"/>
      <c r="E584" s="29"/>
      <c r="F584"/>
      <c r="G584" s="80"/>
      <c r="H584"/>
      <c r="I584" s="80"/>
      <c r="J584"/>
      <c r="K584"/>
      <c r="L584"/>
      <c r="M584"/>
      <c r="N584"/>
    </row>
    <row r="585" spans="2:14" ht="14.6" x14ac:dyDescent="0.4">
      <c r="B585"/>
      <c r="C585"/>
      <c r="D585"/>
      <c r="E585" s="29"/>
      <c r="F585"/>
      <c r="G585" s="80"/>
      <c r="H585"/>
      <c r="I585" s="80"/>
      <c r="J585"/>
      <c r="K585"/>
      <c r="L585"/>
      <c r="M585"/>
      <c r="N585"/>
    </row>
    <row r="586" spans="2:14" ht="14.6" x14ac:dyDescent="0.4">
      <c r="B586"/>
      <c r="C586"/>
      <c r="D586"/>
      <c r="E586" s="29"/>
      <c r="F586"/>
      <c r="G586" s="80"/>
      <c r="H586"/>
      <c r="I586" s="80"/>
      <c r="J586"/>
      <c r="K586"/>
      <c r="L586"/>
      <c r="M586"/>
      <c r="N586"/>
    </row>
    <row r="587" spans="2:14" ht="14.6" x14ac:dyDescent="0.4">
      <c r="B587"/>
      <c r="C587"/>
      <c r="D587"/>
      <c r="E587" s="29"/>
      <c r="F587"/>
      <c r="G587" s="80"/>
      <c r="H587"/>
      <c r="I587" s="80"/>
      <c r="J587"/>
      <c r="K587"/>
      <c r="L587"/>
      <c r="M587"/>
      <c r="N587"/>
    </row>
    <row r="588" spans="2:14" ht="14.6" x14ac:dyDescent="0.4">
      <c r="B588"/>
      <c r="C588"/>
      <c r="D588"/>
      <c r="E588" s="29"/>
      <c r="F588"/>
      <c r="G588" s="80"/>
      <c r="H588"/>
      <c r="I588" s="80"/>
      <c r="J588"/>
      <c r="K588"/>
      <c r="L588"/>
      <c r="M588"/>
      <c r="N588"/>
    </row>
    <row r="589" spans="2:14" ht="14.6" x14ac:dyDescent="0.4">
      <c r="B589"/>
      <c r="C589"/>
      <c r="D589"/>
      <c r="E589" s="29"/>
      <c r="F589"/>
      <c r="G589" s="80"/>
      <c r="H589"/>
      <c r="I589" s="80"/>
      <c r="J589"/>
      <c r="K589"/>
      <c r="L589"/>
      <c r="M589"/>
      <c r="N589"/>
    </row>
    <row r="590" spans="2:14" ht="14.6" x14ac:dyDescent="0.4">
      <c r="B590"/>
      <c r="C590"/>
      <c r="D590"/>
      <c r="E590" s="29"/>
      <c r="F590"/>
      <c r="G590" s="80"/>
      <c r="H590"/>
      <c r="I590" s="80"/>
      <c r="J590"/>
      <c r="K590"/>
      <c r="L590"/>
      <c r="M590"/>
      <c r="N590"/>
    </row>
    <row r="591" spans="2:14" ht="14.6" x14ac:dyDescent="0.4">
      <c r="B591"/>
      <c r="C591"/>
      <c r="D591"/>
      <c r="E591" s="29"/>
      <c r="F591"/>
      <c r="G591" s="80"/>
      <c r="H591"/>
      <c r="I591" s="80"/>
      <c r="J591"/>
      <c r="K591"/>
      <c r="L591"/>
      <c r="M591"/>
      <c r="N591"/>
    </row>
    <row r="592" spans="2:14" ht="14.6" x14ac:dyDescent="0.4">
      <c r="B592"/>
      <c r="C592"/>
      <c r="D592"/>
      <c r="E592" s="29"/>
      <c r="F592"/>
      <c r="G592" s="80"/>
      <c r="H592"/>
      <c r="I592" s="80"/>
      <c r="J592"/>
      <c r="K592"/>
      <c r="L592"/>
      <c r="M592"/>
      <c r="N592"/>
    </row>
    <row r="593" spans="2:14" ht="14.6" x14ac:dyDescent="0.4">
      <c r="B593"/>
      <c r="C593"/>
      <c r="D593"/>
      <c r="E593" s="29"/>
      <c r="F593"/>
      <c r="G593" s="80"/>
      <c r="H593"/>
      <c r="I593" s="80"/>
      <c r="J593"/>
      <c r="K593"/>
      <c r="L593"/>
      <c r="M593"/>
      <c r="N593"/>
    </row>
    <row r="594" spans="2:14" ht="14.6" x14ac:dyDescent="0.4">
      <c r="B594"/>
      <c r="C594"/>
      <c r="D594"/>
      <c r="E594" s="29"/>
      <c r="F594"/>
      <c r="G594" s="80"/>
      <c r="H594"/>
      <c r="I594" s="80"/>
      <c r="J594"/>
      <c r="K594"/>
      <c r="L594"/>
      <c r="M594"/>
      <c r="N594"/>
    </row>
    <row r="595" spans="2:14" ht="14.6" x14ac:dyDescent="0.4">
      <c r="B595"/>
      <c r="C595"/>
      <c r="D595"/>
      <c r="E595" s="29"/>
      <c r="F595"/>
      <c r="G595" s="80"/>
      <c r="H595"/>
      <c r="I595" s="80"/>
      <c r="J595"/>
      <c r="K595"/>
      <c r="L595"/>
      <c r="M595"/>
      <c r="N595"/>
    </row>
    <row r="596" spans="2:14" ht="14.6" x14ac:dyDescent="0.4">
      <c r="B596"/>
      <c r="C596"/>
      <c r="D596"/>
      <c r="E596" s="29"/>
      <c r="F596"/>
      <c r="G596" s="80"/>
      <c r="H596"/>
      <c r="I596" s="80"/>
      <c r="J596"/>
      <c r="K596"/>
      <c r="L596"/>
      <c r="M596"/>
      <c r="N596"/>
    </row>
    <row r="597" spans="2:14" ht="14.6" x14ac:dyDescent="0.4">
      <c r="B597"/>
      <c r="C597"/>
      <c r="D597"/>
      <c r="E597" s="29"/>
      <c r="F597"/>
      <c r="G597" s="80"/>
      <c r="H597"/>
      <c r="I597" s="80"/>
      <c r="J597"/>
      <c r="K597"/>
      <c r="L597"/>
      <c r="M597"/>
      <c r="N597"/>
    </row>
    <row r="598" spans="2:14" ht="14.6" x14ac:dyDescent="0.4">
      <c r="B598"/>
      <c r="C598"/>
      <c r="D598"/>
      <c r="E598" s="29"/>
      <c r="F598"/>
      <c r="G598" s="80"/>
      <c r="H598"/>
      <c r="I598" s="80"/>
      <c r="J598"/>
      <c r="K598"/>
      <c r="L598"/>
      <c r="M598"/>
      <c r="N598"/>
    </row>
    <row r="599" spans="2:14" ht="14.6" x14ac:dyDescent="0.4">
      <c r="B599"/>
      <c r="C599"/>
      <c r="D599"/>
      <c r="E599" s="29"/>
      <c r="F599"/>
      <c r="G599" s="80"/>
      <c r="H599"/>
      <c r="I599" s="80"/>
      <c r="J599"/>
      <c r="K599"/>
      <c r="L599"/>
      <c r="M599"/>
      <c r="N599"/>
    </row>
    <row r="600" spans="2:14" ht="14.6" x14ac:dyDescent="0.4">
      <c r="B600"/>
      <c r="C600"/>
      <c r="D600"/>
      <c r="E600" s="29"/>
      <c r="F600"/>
      <c r="G600" s="80"/>
      <c r="H600"/>
      <c r="I600" s="80"/>
      <c r="J600"/>
      <c r="K600"/>
      <c r="L600"/>
      <c r="M600"/>
      <c r="N600"/>
    </row>
    <row r="601" spans="2:14" ht="14.6" x14ac:dyDescent="0.4">
      <c r="B601"/>
      <c r="C601"/>
      <c r="D601"/>
      <c r="E601" s="29"/>
      <c r="F601"/>
      <c r="G601" s="80"/>
      <c r="H601"/>
      <c r="I601" s="80"/>
      <c r="J601"/>
      <c r="K601"/>
      <c r="L601"/>
      <c r="M601"/>
      <c r="N601"/>
    </row>
    <row r="602" spans="2:14" ht="14.6" x14ac:dyDescent="0.4">
      <c r="B602"/>
      <c r="C602"/>
      <c r="D602"/>
      <c r="E602" s="29"/>
      <c r="F602"/>
      <c r="G602" s="80"/>
      <c r="H602"/>
      <c r="I602" s="80"/>
      <c r="J602"/>
      <c r="K602"/>
      <c r="L602"/>
      <c r="M602"/>
      <c r="N602"/>
    </row>
    <row r="603" spans="2:14" ht="14.6" x14ac:dyDescent="0.4">
      <c r="B603"/>
      <c r="C603"/>
      <c r="D603"/>
      <c r="E603" s="29"/>
      <c r="F603"/>
      <c r="G603" s="80"/>
      <c r="H603"/>
      <c r="I603" s="80"/>
      <c r="J603"/>
      <c r="K603"/>
      <c r="L603"/>
      <c r="M603"/>
      <c r="N603"/>
    </row>
    <row r="604" spans="2:14" ht="14.6" x14ac:dyDescent="0.4">
      <c r="B604"/>
      <c r="C604"/>
      <c r="D604"/>
      <c r="E604" s="29"/>
      <c r="F604"/>
      <c r="G604" s="80"/>
      <c r="H604"/>
      <c r="I604" s="80"/>
      <c r="J604"/>
      <c r="K604"/>
      <c r="L604"/>
      <c r="M604"/>
      <c r="N604"/>
    </row>
    <row r="605" spans="2:14" ht="14.6" x14ac:dyDescent="0.4">
      <c r="B605"/>
      <c r="C605"/>
      <c r="D605"/>
      <c r="E605" s="29"/>
      <c r="F605"/>
      <c r="G605" s="80"/>
      <c r="H605"/>
      <c r="I605" s="80"/>
      <c r="J605"/>
      <c r="K605"/>
      <c r="L605"/>
      <c r="M605"/>
      <c r="N605"/>
    </row>
    <row r="606" spans="2:14" ht="14.6" x14ac:dyDescent="0.4">
      <c r="B606"/>
      <c r="C606"/>
      <c r="D606"/>
      <c r="E606" s="29"/>
      <c r="F606"/>
      <c r="G606" s="80"/>
      <c r="H606"/>
      <c r="I606" s="80"/>
      <c r="J606"/>
      <c r="K606"/>
      <c r="L606"/>
      <c r="M606"/>
      <c r="N606"/>
    </row>
    <row r="607" spans="2:14" ht="14.6" x14ac:dyDescent="0.4">
      <c r="B607"/>
      <c r="C607"/>
      <c r="D607"/>
      <c r="E607" s="29"/>
      <c r="F607"/>
      <c r="G607" s="80"/>
      <c r="H607"/>
      <c r="I607" s="80"/>
      <c r="J607"/>
      <c r="K607"/>
      <c r="L607"/>
      <c r="M607"/>
      <c r="N607"/>
    </row>
    <row r="608" spans="2:14" ht="14.6" x14ac:dyDescent="0.4">
      <c r="B608"/>
      <c r="C608"/>
      <c r="D608"/>
      <c r="E608" s="29"/>
      <c r="F608"/>
      <c r="G608" s="80"/>
      <c r="H608"/>
      <c r="I608" s="80"/>
      <c r="J608"/>
      <c r="K608"/>
      <c r="L608"/>
      <c r="M608"/>
      <c r="N608"/>
    </row>
    <row r="609" spans="2:14" ht="14.6" x14ac:dyDescent="0.4">
      <c r="B609"/>
      <c r="C609"/>
      <c r="D609"/>
      <c r="E609" s="29"/>
      <c r="F609"/>
      <c r="G609" s="80"/>
      <c r="H609"/>
      <c r="I609" s="80"/>
      <c r="J609"/>
      <c r="K609"/>
      <c r="L609"/>
      <c r="M609"/>
      <c r="N609"/>
    </row>
    <row r="610" spans="2:14" ht="14.6" x14ac:dyDescent="0.4">
      <c r="B610"/>
      <c r="C610"/>
      <c r="D610"/>
      <c r="E610" s="29"/>
      <c r="F610"/>
      <c r="G610" s="80"/>
      <c r="H610"/>
      <c r="I610" s="80"/>
      <c r="J610"/>
      <c r="K610"/>
      <c r="L610"/>
      <c r="M610"/>
      <c r="N610"/>
    </row>
    <row r="611" spans="2:14" ht="14.6" x14ac:dyDescent="0.4">
      <c r="B611"/>
      <c r="C611"/>
      <c r="D611"/>
      <c r="E611" s="29"/>
      <c r="F611"/>
      <c r="G611" s="80"/>
      <c r="H611"/>
      <c r="I611" s="80"/>
      <c r="J611"/>
      <c r="K611"/>
      <c r="L611"/>
      <c r="M611"/>
      <c r="N611"/>
    </row>
    <row r="612" spans="2:14" ht="14.6" x14ac:dyDescent="0.4">
      <c r="B612"/>
      <c r="C612"/>
      <c r="D612"/>
      <c r="E612" s="29"/>
      <c r="F612"/>
      <c r="G612" s="80"/>
      <c r="H612"/>
      <c r="I612" s="80"/>
      <c r="J612"/>
      <c r="K612"/>
      <c r="L612"/>
      <c r="M612"/>
      <c r="N612"/>
    </row>
    <row r="613" spans="2:14" ht="14.6" x14ac:dyDescent="0.4">
      <c r="B613"/>
      <c r="C613"/>
      <c r="D613"/>
      <c r="E613" s="29"/>
      <c r="F613"/>
      <c r="G613" s="80"/>
      <c r="H613"/>
      <c r="I613" s="80"/>
      <c r="J613"/>
      <c r="K613"/>
      <c r="L613"/>
      <c r="M613"/>
      <c r="N613"/>
    </row>
    <row r="614" spans="2:14" ht="14.6" x14ac:dyDescent="0.4">
      <c r="B614"/>
      <c r="C614"/>
      <c r="D614"/>
      <c r="E614" s="29"/>
      <c r="F614"/>
      <c r="G614" s="80"/>
      <c r="H614"/>
      <c r="I614" s="80"/>
      <c r="J614"/>
      <c r="K614"/>
      <c r="L614"/>
      <c r="M614"/>
      <c r="N614"/>
    </row>
    <row r="615" spans="2:14" ht="14.6" x14ac:dyDescent="0.4">
      <c r="B615"/>
      <c r="C615"/>
      <c r="D615"/>
      <c r="E615" s="29"/>
      <c r="F615"/>
      <c r="G615" s="80"/>
      <c r="H615"/>
      <c r="I615" s="80"/>
      <c r="J615"/>
      <c r="K615"/>
      <c r="L615"/>
      <c r="M615"/>
      <c r="N615"/>
    </row>
    <row r="616" spans="2:14" ht="14.6" x14ac:dyDescent="0.4">
      <c r="B616"/>
      <c r="C616"/>
      <c r="D616"/>
      <c r="E616" s="29"/>
      <c r="F616"/>
      <c r="G616" s="80"/>
      <c r="H616"/>
      <c r="I616" s="80"/>
      <c r="J616"/>
      <c r="K616"/>
      <c r="L616"/>
      <c r="M616"/>
      <c r="N616"/>
    </row>
    <row r="617" spans="2:14" ht="14.6" x14ac:dyDescent="0.4">
      <c r="B617"/>
      <c r="C617"/>
      <c r="D617"/>
      <c r="E617" s="29"/>
      <c r="F617"/>
      <c r="G617" s="80"/>
      <c r="H617"/>
      <c r="I617" s="80"/>
      <c r="J617"/>
      <c r="K617"/>
      <c r="L617"/>
      <c r="M617"/>
      <c r="N617"/>
    </row>
    <row r="618" spans="2:14" ht="14.6" x14ac:dyDescent="0.4">
      <c r="B618"/>
      <c r="C618"/>
      <c r="D618"/>
      <c r="E618" s="29"/>
      <c r="F618"/>
      <c r="G618" s="80"/>
      <c r="H618"/>
      <c r="I618" s="80"/>
      <c r="J618"/>
      <c r="K618"/>
      <c r="L618"/>
      <c r="M618"/>
      <c r="N618"/>
    </row>
    <row r="619" spans="2:14" ht="14.6" x14ac:dyDescent="0.4">
      <c r="B619"/>
      <c r="C619"/>
      <c r="D619"/>
      <c r="E619" s="29"/>
      <c r="F619"/>
      <c r="G619" s="80"/>
      <c r="H619"/>
      <c r="I619" s="80"/>
      <c r="J619"/>
      <c r="K619"/>
      <c r="L619"/>
      <c r="M619"/>
      <c r="N619"/>
    </row>
    <row r="620" spans="2:14" ht="14.6" x14ac:dyDescent="0.4">
      <c r="B620"/>
      <c r="C620"/>
      <c r="D620"/>
      <c r="E620" s="29"/>
      <c r="F620"/>
      <c r="G620" s="80"/>
      <c r="H620"/>
      <c r="I620" s="80"/>
      <c r="J620"/>
      <c r="K620"/>
      <c r="L620"/>
      <c r="M620"/>
      <c r="N620"/>
    </row>
    <row r="621" spans="2:14" ht="14.6" x14ac:dyDescent="0.4">
      <c r="B621"/>
      <c r="C621"/>
      <c r="D621"/>
      <c r="E621" s="29"/>
      <c r="F621"/>
      <c r="G621" s="80"/>
      <c r="H621"/>
      <c r="I621" s="80"/>
      <c r="J621"/>
      <c r="K621"/>
      <c r="L621"/>
      <c r="M621"/>
      <c r="N621"/>
    </row>
    <row r="622" spans="2:14" ht="14.6" x14ac:dyDescent="0.4">
      <c r="B622"/>
      <c r="C622"/>
      <c r="D622"/>
      <c r="E622" s="29"/>
      <c r="F622"/>
      <c r="G622" s="80"/>
      <c r="H622"/>
      <c r="I622" s="80"/>
      <c r="J622"/>
      <c r="K622"/>
      <c r="L622"/>
      <c r="M622"/>
      <c r="N622"/>
    </row>
    <row r="623" spans="2:14" ht="14.6" x14ac:dyDescent="0.4">
      <c r="B623"/>
      <c r="C623"/>
      <c r="D623"/>
      <c r="E623" s="29"/>
      <c r="F623"/>
      <c r="G623" s="80"/>
      <c r="H623"/>
      <c r="I623" s="80"/>
      <c r="J623"/>
      <c r="K623"/>
      <c r="L623"/>
      <c r="M623"/>
      <c r="N623"/>
    </row>
    <row r="624" spans="2:14" ht="14.6" x14ac:dyDescent="0.4">
      <c r="B624"/>
      <c r="C624"/>
      <c r="D624"/>
      <c r="E624" s="29"/>
      <c r="F624"/>
      <c r="G624" s="80"/>
      <c r="H624"/>
      <c r="I624" s="80"/>
      <c r="J624"/>
      <c r="K624"/>
      <c r="L624"/>
      <c r="M624"/>
      <c r="N624"/>
    </row>
    <row r="625" spans="2:14" ht="14.6" x14ac:dyDescent="0.4">
      <c r="B625"/>
      <c r="C625"/>
      <c r="D625"/>
      <c r="E625" s="29"/>
      <c r="F625"/>
      <c r="G625" s="80"/>
      <c r="H625"/>
      <c r="I625" s="80"/>
      <c r="J625"/>
      <c r="K625"/>
      <c r="L625"/>
      <c r="M625"/>
      <c r="N625"/>
    </row>
    <row r="626" spans="2:14" ht="14.6" x14ac:dyDescent="0.4">
      <c r="B626"/>
      <c r="C626"/>
      <c r="D626"/>
      <c r="E626" s="29"/>
      <c r="F626"/>
      <c r="G626" s="80"/>
      <c r="H626"/>
      <c r="I626" s="80"/>
      <c r="J626"/>
      <c r="K626"/>
      <c r="L626"/>
      <c r="M626"/>
      <c r="N626"/>
    </row>
  </sheetData>
  <mergeCells count="4">
    <mergeCell ref="B1:K1"/>
    <mergeCell ref="B2:K2"/>
    <mergeCell ref="B3:K3"/>
    <mergeCell ref="B4:K4"/>
  </mergeCells>
  <conditionalFormatting sqref="D7:D1048576 H7:K1048576">
    <cfRule type="expression" dxfId="105" priority="25">
      <formula>IF($C7=0,TRUE,FALSE)</formula>
    </cfRule>
  </conditionalFormatting>
  <conditionalFormatting sqref="B5:C1048576">
    <cfRule type="notContainsBlanks" dxfId="104" priority="31">
      <formula>LEN(TRIM(B5))&gt;0</formula>
    </cfRule>
  </conditionalFormatting>
  <conditionalFormatting sqref="J7:K1048576 K5:K6">
    <cfRule type="cellIs" dxfId="103" priority="13" operator="equal">
      <formula>0</formula>
    </cfRule>
  </conditionalFormatting>
  <conditionalFormatting sqref="I7:I1048576">
    <cfRule type="expression" dxfId="102" priority="6">
      <formula>IF(ISNUMBER($C7),TRUE,FALSE)</formula>
    </cfRule>
    <cfRule type="cellIs" dxfId="101" priority="12" operator="equal">
      <formula>"(blank)"</formula>
    </cfRule>
  </conditionalFormatting>
  <conditionalFormatting sqref="K5:K6">
    <cfRule type="expression" dxfId="100" priority="5">
      <formula>IF($C5=0,TRUE,FALSE)</formula>
    </cfRule>
  </conditionalFormatting>
  <conditionalFormatting sqref="I5:I6 F7:F1048576">
    <cfRule type="expression" dxfId="99" priority="3">
      <formula>IF($C5=0,TRUE,FALSE)</formula>
    </cfRule>
    <cfRule type="expression" dxfId="98" priority="4">
      <formula>IF($C5=2,TRUE,FALSE)</formula>
    </cfRule>
  </conditionalFormatting>
  <conditionalFormatting sqref="J5:J6 G7:G1048576">
    <cfRule type="expression" dxfId="97" priority="1">
      <formula>IF($C5=0,TRUE,FALSE)</formula>
    </cfRule>
    <cfRule type="expression" dxfId="96" priority="2">
      <formula>IF($C5=3,TRUE,FALSE)</formula>
    </cfRule>
  </conditionalFormatting>
  <conditionalFormatting sqref="H5:H1048576">
    <cfRule type="cellIs" dxfId="95" priority="46" operator="equal">
      <formula>"(blank)"</formula>
    </cfRule>
    <cfRule type="cellIs" dxfId="94" priority="47" operator="equal">
      <formula>"Y"</formula>
    </cfRule>
    <cfRule type="cellIs" dxfId="93" priority="48" operator="equal">
      <formula>"N"</formula>
    </cfRule>
  </conditionalFormatting>
  <conditionalFormatting sqref="E7:E1048576">
    <cfRule type="expression" dxfId="92" priority="49">
      <formula>IF($C7=1,TRUE,FALSE)</formula>
    </cfRule>
    <cfRule type="expression" dxfId="91" priority="50">
      <formula>IF($C7=0,TRUE,FALSE)</formula>
    </cfRule>
  </conditionalFormatting>
  <conditionalFormatting sqref="J7:K1048576">
    <cfRule type="cellIs" dxfId="90" priority="10" operator="notEqual">
      <formula>0</formula>
    </cfRule>
  </conditionalFormatting>
  <conditionalFormatting sqref="J7:J1048576">
    <cfRule type="expression" dxfId="89" priority="9">
      <formula>$I7="Included"</formula>
    </cfRule>
  </conditionalFormatting>
  <pageMargins left="0.70866141732283472" right="0.70866141732283472" top="0.74803149606299213" bottom="0.74803149606299213" header="0.31496062992125984" footer="0.31496062992125984"/>
  <pageSetup orientation="portrait" horizontalDpi="300" verticalDpi="300" r:id="rId2"/>
  <headerFooter>
    <oddHeader>&amp;L&amp;G</oddHeader>
    <oddFooter>&amp;L&amp;"DM Sans,Regular"&amp;8&amp;K1D1765© 2023 WiseTech Global&amp;C&amp;"DM Sans,Regular"&amp;8&amp;K1D1765CargoWise One STL Price List&amp;R&amp;"DM Sans,Regular"&amp;8&amp;K1D1765Page &amp;P</oddFooter>
  </headerFooter>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47E2-59D5-49E4-BE6F-D2B8C655B8DA}">
  <sheetPr codeName="Sheet7"/>
  <dimension ref="B1:AD184"/>
  <sheetViews>
    <sheetView topLeftCell="D1" workbookViewId="0">
      <selection activeCell="R4" sqref="R4"/>
    </sheetView>
  </sheetViews>
  <sheetFormatPr defaultRowHeight="14.6" x14ac:dyDescent="0.4"/>
  <cols>
    <col min="2" max="7" width="9.84375" customWidth="1"/>
    <col min="8" max="8" width="9.84375" style="236" customWidth="1"/>
    <col min="9" max="10" width="9.84375" customWidth="1"/>
    <col min="11" max="11" width="13.84375" customWidth="1"/>
    <col min="12" max="12" width="12.61328125" customWidth="1"/>
  </cols>
  <sheetData>
    <row r="1" spans="2:30" x14ac:dyDescent="0.4">
      <c r="H1" s="237"/>
    </row>
    <row r="2" spans="2:30" x14ac:dyDescent="0.4">
      <c r="B2" s="8" t="s">
        <v>15</v>
      </c>
      <c r="C2" s="4" t="s">
        <v>14</v>
      </c>
      <c r="D2" s="4" t="s">
        <v>13</v>
      </c>
      <c r="E2" s="4" t="s">
        <v>12</v>
      </c>
      <c r="F2" s="4" t="s">
        <v>11</v>
      </c>
      <c r="G2" s="4" t="s">
        <v>10</v>
      </c>
      <c r="H2" s="4" t="s">
        <v>806</v>
      </c>
      <c r="I2" s="4" t="s">
        <v>9</v>
      </c>
      <c r="J2" s="4" t="s">
        <v>749</v>
      </c>
      <c r="K2" s="4" t="s">
        <v>687</v>
      </c>
      <c r="L2" s="4" t="s">
        <v>7</v>
      </c>
      <c r="M2" s="4" t="s">
        <v>6</v>
      </c>
      <c r="N2" s="7" t="s">
        <v>5</v>
      </c>
      <c r="O2" s="4" t="s">
        <v>4</v>
      </c>
      <c r="P2" s="6" t="s">
        <v>3</v>
      </c>
      <c r="Q2" s="6" t="s">
        <v>2</v>
      </c>
      <c r="R2" s="5" t="s">
        <v>1</v>
      </c>
      <c r="S2" s="4" t="s">
        <v>0</v>
      </c>
      <c r="T2" s="4" t="s">
        <v>377</v>
      </c>
      <c r="U2" s="81" t="s">
        <v>504</v>
      </c>
      <c r="V2" s="4" t="s">
        <v>501</v>
      </c>
      <c r="W2" s="4" t="s">
        <v>502</v>
      </c>
      <c r="X2" s="4" t="s">
        <v>503</v>
      </c>
      <c r="Y2" s="4" t="s">
        <v>378</v>
      </c>
      <c r="Z2" s="4" t="s">
        <v>8</v>
      </c>
    </row>
    <row r="3" spans="2:30" x14ac:dyDescent="0.4">
      <c r="B3" s="12">
        <f>FIND(LEFT(TRIM(STLClientPriceCompute[[#This Row],[Description]]),1),STLClientPriceCompute[[#This Row],[Description]])-1</f>
        <v>0</v>
      </c>
      <c r="C3" s="19">
        <v>1</v>
      </c>
      <c r="D3" s="19"/>
      <c r="E3" s="19"/>
      <c r="F3" s="19" t="s">
        <v>86</v>
      </c>
      <c r="G3" s="19"/>
      <c r="H3" s="19" t="s">
        <v>87</v>
      </c>
      <c r="I3" s="20">
        <v>0</v>
      </c>
      <c r="J3" s="19"/>
      <c r="K3" s="19" t="s">
        <v>87</v>
      </c>
      <c r="L3" s="21">
        <v>0</v>
      </c>
      <c r="M3" s="19" t="s">
        <v>85</v>
      </c>
      <c r="N3" s="18">
        <f>_xlfn.IFNA(IF(STLClientPriceCompute[[#This Row],[Base Price (USD)]]="","", STLClientPriceCompute[[#This Row],[Base Price (USD)]]*VLOOKUP(_xlfn.CONCAT(STLClientPriceCompute[[#This Row],[Exchange Rate Group]],STLClientSpecificSettings[Currency]),ClientPriceExRate[[#All],[Ex-Currency]:[Exchange Rate]],2,FALSE)),"")</f>
        <v>0</v>
      </c>
      <c r="O3" s="12">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3" s="12" cm="1">
        <f t="array" ref="P3">IF(STLClientSpecificSettings[Core Pack Excluded from Std volume discount]="EX",1, IF(STLClientSpecificSettings[Volume Price Adjustment]="HV", STLClientPriceCompute[[#This Row],[Category search for HV Base Discount]], STLClientSpecificSettings[Volume %]/100))</f>
        <v>1.5</v>
      </c>
      <c r="Q3" s="12" cm="1">
        <f t="array" ref="Q3">IF(ISBLANK(STLClientPriceCompute[[#This Row],[Category]]), 1, IF(ISNUMBER(SEARCH(CONCATENATE(STLClientPriceCompute[[#This Row],[Category]],"-",STLClientPriceCompute[[#This Row],[Code]]),STLClientSpecificSettings[VolumeBasedPriceItems])),STLClientSpecificSettings[Volume %]/100,1))</f>
        <v>1</v>
      </c>
      <c r="R3" s="12" cm="1">
        <f t="array" ref="R3">IF(STLClientSpecificSettings[Core Pack Excluded from Std volume discount]="UP",IF(OR(E3="USR",E3="RBU"),STLClientSpecificSettings[Core Uplift %]/100+1,1),1)</f>
        <v>1</v>
      </c>
      <c r="S3" s="12">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3" s="26" t="str">
        <f>IF(STLClientPriceCompute[[#This Row],[Available]]="Y", "P",IF(STLClientPriceCompute[[#This Row],[Available]]="N","O",""))</f>
        <v/>
      </c>
      <c r="U3" s="85" t="str">
        <f>TRIM(STLClientPriceCompute[[#This Row],[Description]])</f>
        <v>User Access</v>
      </c>
      <c r="V3" s="82" t="str">
        <f>IF(STLClientPriceCompute[[#This Row],[Item Level]]=0,STLClientPriceCompute[[#This Row],[Desc without indent]],"")</f>
        <v>User Access</v>
      </c>
      <c r="W3" s="82" t="str">
        <f>IF(STLClientPriceCompute[[#This Row],[Item Level]]=1,STLClientPriceCompute[[#This Row],[Desc without indent]],"")</f>
        <v/>
      </c>
      <c r="X3" s="82" t="str">
        <f>IF(STLClientPriceCompute[[#This Row],[Item Level]]=2,STLClientPriceCompute[[#This Row],[Desc without indent]],"")</f>
        <v/>
      </c>
      <c r="Y3" s="82" t="str">
        <f>IF(STLClientPriceCompute[[#This Row],[Item Level]]&gt;=3,_xlfn.CONCAT(REPT(" ",STLClientPriceCompute[[#This Row],[Item Level]]-3), STLClientPriceCompute[[#This Row],[Desc without indent]]),"")</f>
        <v/>
      </c>
      <c r="Z3" s="310"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c r="AC3" t="s">
        <v>859</v>
      </c>
      <c r="AD3">
        <f>LEN(AC3)</f>
        <v>108</v>
      </c>
    </row>
    <row r="4" spans="2:30" x14ac:dyDescent="0.4">
      <c r="B4" s="15">
        <f>FIND(LEFT(TRIM(STLClientPriceCompute[[#This Row],[Description]]),1),STLClientPriceCompute[[#This Row],[Description]])-1</f>
        <v>1</v>
      </c>
      <c r="C4" s="19">
        <v>2</v>
      </c>
      <c r="D4" s="19" t="s">
        <v>87</v>
      </c>
      <c r="E4" s="19" t="s">
        <v>88</v>
      </c>
      <c r="F4" s="19" t="s">
        <v>89</v>
      </c>
      <c r="G4" s="19" t="s">
        <v>85</v>
      </c>
      <c r="H4" s="19" t="s">
        <v>87</v>
      </c>
      <c r="I4" s="20">
        <v>54.63635</v>
      </c>
      <c r="J4" s="19" t="s">
        <v>90</v>
      </c>
      <c r="K4" s="19" t="s">
        <v>87</v>
      </c>
      <c r="L4" s="21">
        <v>546.36350000000004</v>
      </c>
      <c r="M4" s="19" t="s">
        <v>85</v>
      </c>
      <c r="N4" s="17">
        <f>_xlfn.IFNA(IF(STLClientPriceCompute[[#This Row],[Base Price (USD)]]="","", STLClientPriceCompute[[#This Row],[Base Price (USD)]]*VLOOKUP(_xlfn.CONCAT(STLClientPriceCompute[[#This Row],[Exchange Rate Group]],STLClientSpecificSettings[Currency]),ClientPriceExRate[[#All],[Ex-Currency]:[Exchange Rate]],2,FALSE)),"")</f>
        <v>76.308404590999999</v>
      </c>
      <c r="O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114.4626068865</v>
      </c>
      <c r="P4" s="22" cm="1">
        <f t="array" ref="P4">IF(STLClientSpecificSettings[Core Pack Excluded from Std volume discount]="EX",1, IF(STLClientSpecificSettings[Volume Price Adjustment]="HV", STLClientPriceCompute[[#This Row],[Category search for HV Base Discount]], STLClientSpecificSettings[Volume %]/100))</f>
        <v>1.5</v>
      </c>
      <c r="Q4" s="12" cm="1">
        <f t="array" ref="Q4">IF(ISBLANK(STLClientPriceCompute[[#This Row],[Category]]), 1, IF(ISNUMBER(SEARCH(CONCATENATE(STLClientPriceCompute[[#This Row],[Category]],"-",STLClientPriceCompute[[#This Row],[Code]]),STLClientSpecificSettings[VolumeBasedPriceItems])),STLClientSpecificSettings[Volume %]/100,1))</f>
        <v>1</v>
      </c>
      <c r="R4" s="12" cm="1">
        <f t="array" ref="R4">IF(STLClientSpecificSettings[Core Pack Excluded from Std volume discount]="UP",IF(OR(E4="USR",E4="RBU"),STLClientSpecificSettings[Core Uplift %]/100+1,1),1)</f>
        <v>1</v>
      </c>
      <c r="S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819.54525000000012</v>
      </c>
      <c r="T4" s="26" t="str">
        <f>IF(STLClientPriceCompute[[#This Row],[Available]]="Y", "P",IF(STLClientPriceCompute[[#This Row],[Available]]="N","O",""))</f>
        <v>P</v>
      </c>
      <c r="U4" s="85" t="str">
        <f>TRIM(STLClientPriceCompute[[#This Row],[Description]])</f>
        <v>Per Active (Registered) User</v>
      </c>
      <c r="V4" s="82" t="str">
        <f>IF(STLClientPriceCompute[[#This Row],[Item Level]]=0,STLClientPriceCompute[[#This Row],[Desc without indent]],"")</f>
        <v/>
      </c>
      <c r="W4" s="82" t="str">
        <f>IF(STLClientPriceCompute[[#This Row],[Item Level]]=1,STLClientPriceCompute[[#This Row],[Desc without indent]],"")</f>
        <v>Per Active (Registered) User</v>
      </c>
      <c r="X4" s="82" t="str">
        <f>IF(STLClientPriceCompute[[#This Row],[Item Level]]=2,STLClientPriceCompute[[#This Row],[Desc without indent]],"")</f>
        <v/>
      </c>
      <c r="Y4" s="82" t="str">
        <f>IF(STLClientPriceCompute[[#This Row],[Item Level]]&gt;=3,_xlfn.CONCAT(REPT(" ",STLClientPriceCompute[[#This Row],[Item Level]]-3), STLClientPriceCompute[[#This Row],[Desc without indent]]),"")</f>
        <v/>
      </c>
      <c r="Z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Active Staff Record</v>
      </c>
    </row>
    <row r="5" spans="2:30" x14ac:dyDescent="0.4">
      <c r="B5" s="15">
        <f>FIND(LEFT(TRIM(STLClientPriceCompute[[#This Row],[Description]]),1),STLClientPriceCompute[[#This Row],[Description]])-1</f>
        <v>1</v>
      </c>
      <c r="C5" s="19">
        <v>3</v>
      </c>
      <c r="D5" s="19" t="s">
        <v>87</v>
      </c>
      <c r="E5" s="19" t="s">
        <v>690</v>
      </c>
      <c r="F5" s="19" t="s">
        <v>691</v>
      </c>
      <c r="G5" s="19"/>
      <c r="H5" s="19" t="s">
        <v>87</v>
      </c>
      <c r="I5" s="20">
        <v>573.68167500000004</v>
      </c>
      <c r="J5" s="19" t="s">
        <v>707</v>
      </c>
      <c r="K5" s="19" t="s">
        <v>689</v>
      </c>
      <c r="L5" s="21">
        <v>5736.81675</v>
      </c>
      <c r="M5" s="19" t="s">
        <v>85</v>
      </c>
      <c r="N5" s="17">
        <f>_xlfn.IFNA(IF(STLClientPriceCompute[[#This Row],[Base Price (USD)]]="","", STLClientPriceCompute[[#This Row],[Base Price (USD)]]*VLOOKUP(_xlfn.CONCAT(STLClientPriceCompute[[#This Row],[Exchange Rate Group]],STLClientSpecificSettings[Currency]),ClientPriceExRate[[#All],[Ex-Currency]:[Exchange Rate]],2,FALSE)),"")</f>
        <v>761.77812787230005</v>
      </c>
      <c r="O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1142.6671918084501</v>
      </c>
      <c r="P5" s="22" cm="1">
        <f t="array" ref="P5">IF(STLClientSpecificSettings[Core Pack Excluded from Std volume discount]="EX",1, IF(STLClientSpecificSettings[Volume Price Adjustment]="HV", STLClientPriceCompute[[#This Row],[Category search for HV Base Discount]], STLClientSpecificSettings[Volume %]/100))</f>
        <v>1.5</v>
      </c>
      <c r="Q5" s="12" cm="1">
        <f t="array" ref="Q5">IF(ISBLANK(STLClientPriceCompute[[#This Row],[Category]]), 1, IF(ISNUMBER(SEARCH(CONCATENATE(STLClientPriceCompute[[#This Row],[Category]],"-",STLClientPriceCompute[[#This Row],[Code]]),STLClientSpecificSettings[VolumeBasedPriceItems])),STLClientSpecificSettings[Volume %]/100,1))</f>
        <v>1</v>
      </c>
      <c r="R5" s="12" cm="1">
        <f t="array" ref="R5">IF(STLClientSpecificSettings[Core Pack Excluded from Std volume discount]="UP",IF(OR(E5="USR",E5="RBU"),STLClientSpecificSettings[Core Uplift %]/100+1,1),1)</f>
        <v>1</v>
      </c>
      <c r="S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8605.2251250000008</v>
      </c>
      <c r="T5" s="26" t="str">
        <f>IF(STLClientPriceCompute[[#This Row],[Available]]="Y", "P",IF(STLClientPriceCompute[[#This Row],[Available]]="N","O",""))</f>
        <v/>
      </c>
      <c r="U5" s="85" t="str">
        <f>TRIM(STLClientPriceCompute[[#This Row],[Description]])</f>
        <v>Per Active (Registered) Robotic Login</v>
      </c>
      <c r="V5" s="82" t="str">
        <f>IF(STLClientPriceCompute[[#This Row],[Item Level]]=0,STLClientPriceCompute[[#This Row],[Desc without indent]],"")</f>
        <v/>
      </c>
      <c r="W5" s="82" t="str">
        <f>IF(STLClientPriceCompute[[#This Row],[Item Level]]=1,STLClientPriceCompute[[#This Row],[Desc without indent]],"")</f>
        <v>Per Active (Registered) Robotic Login</v>
      </c>
      <c r="X5" s="82" t="str">
        <f>IF(STLClientPriceCompute[[#This Row],[Item Level]]=2,STLClientPriceCompute[[#This Row],[Desc without indent]],"")</f>
        <v/>
      </c>
      <c r="Y5" s="82" t="str">
        <f>IF(STLClientPriceCompute[[#This Row],[Item Level]]&gt;=3,_xlfn.CONCAT(REPT(" ",STLClientPriceCompute[[#This Row],[Item Level]]-3), STLClientPriceCompute[[#This Row],[Desc without indent]]),"")</f>
        <v/>
      </c>
      <c r="Z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Active Robotic Login Record</v>
      </c>
    </row>
    <row r="6" spans="2:30" x14ac:dyDescent="0.4">
      <c r="B6" s="15">
        <f>FIND(LEFT(TRIM(STLClientPriceCompute[[#This Row],[Description]]),1),STLClientPriceCompute[[#This Row],[Description]])-1</f>
        <v>0</v>
      </c>
      <c r="C6" s="19">
        <v>45</v>
      </c>
      <c r="D6" s="19"/>
      <c r="E6" s="19"/>
      <c r="F6" s="19" t="s">
        <v>91</v>
      </c>
      <c r="G6" s="19"/>
      <c r="H6" s="19" t="s">
        <v>87</v>
      </c>
      <c r="I6" s="20">
        <v>0</v>
      </c>
      <c r="J6" s="19"/>
      <c r="K6" s="19" t="s">
        <v>87</v>
      </c>
      <c r="L6" s="21">
        <v>0</v>
      </c>
      <c r="M6" s="19" t="s">
        <v>85</v>
      </c>
      <c r="N6" s="17">
        <f>_xlfn.IFNA(IF(STLClientPriceCompute[[#This Row],[Base Price (USD)]]="","", STLClientPriceCompute[[#This Row],[Base Price (USD)]]*VLOOKUP(_xlfn.CONCAT(STLClientPriceCompute[[#This Row],[Exchange Rate Group]],STLClientSpecificSettings[Currency]),ClientPriceExRate[[#All],[Ex-Currency]:[Exchange Rate]],2,FALSE)),"")</f>
        <v>0</v>
      </c>
      <c r="O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6" s="22" cm="1">
        <f t="array" ref="P6">IF(STLClientSpecificSettings[Core Pack Excluded from Std volume discount]="EX",1, IF(STLClientSpecificSettings[Volume Price Adjustment]="HV", STLClientPriceCompute[[#This Row],[Category search for HV Base Discount]], STLClientSpecificSettings[Volume %]/100))</f>
        <v>1.5</v>
      </c>
      <c r="Q6" s="12" cm="1">
        <f t="array" ref="Q6">IF(ISBLANK(STLClientPriceCompute[[#This Row],[Category]]), 1, IF(ISNUMBER(SEARCH(CONCATENATE(STLClientPriceCompute[[#This Row],[Category]],"-",STLClientPriceCompute[[#This Row],[Code]]),STLClientSpecificSettings[VolumeBasedPriceItems])),STLClientSpecificSettings[Volume %]/100,1))</f>
        <v>1</v>
      </c>
      <c r="R6" s="12" cm="1">
        <f t="array" ref="R6">IF(STLClientSpecificSettings[Core Pack Excluded from Std volume discount]="UP",IF(OR(E6="USR",E6="RBU"),STLClientSpecificSettings[Core Uplift %]/100+1,1),1)</f>
        <v>1</v>
      </c>
      <c r="S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6" s="26" t="str">
        <f>IF(STLClientPriceCompute[[#This Row],[Available]]="Y", "P",IF(STLClientPriceCompute[[#This Row],[Available]]="N","O",""))</f>
        <v/>
      </c>
      <c r="U6" s="85" t="str">
        <f>TRIM(STLClientPriceCompute[[#This Row],[Description]])</f>
        <v>Logistics and Supply Chain</v>
      </c>
      <c r="V6" s="82" t="str">
        <f>IF(STLClientPriceCompute[[#This Row],[Item Level]]=0,STLClientPriceCompute[[#This Row],[Desc without indent]],"")</f>
        <v>Logistics and Supply Chain</v>
      </c>
      <c r="W6" s="82" t="str">
        <f>IF(STLClientPriceCompute[[#This Row],[Item Level]]=1,STLClientPriceCompute[[#This Row],[Desc without indent]],"")</f>
        <v/>
      </c>
      <c r="X6" s="82" t="str">
        <f>IF(STLClientPriceCompute[[#This Row],[Item Level]]=2,STLClientPriceCompute[[#This Row],[Desc without indent]],"")</f>
        <v/>
      </c>
      <c r="Y6" s="82" t="str">
        <f>IF(STLClientPriceCompute[[#This Row],[Item Level]]&gt;=3,_xlfn.CONCAT(REPT(" ",STLClientPriceCompute[[#This Row],[Item Level]]-3), STLClientPriceCompute[[#This Row],[Desc without indent]]),"")</f>
        <v/>
      </c>
      <c r="Z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7" spans="2:30" x14ac:dyDescent="0.4">
      <c r="B7" s="15">
        <f>FIND(LEFT(TRIM(STLClientPriceCompute[[#This Row],[Description]]),1),STLClientPriceCompute[[#This Row],[Description]])-1</f>
        <v>1</v>
      </c>
      <c r="C7" s="19">
        <v>46</v>
      </c>
      <c r="D7" s="19"/>
      <c r="E7" s="19"/>
      <c r="F7" s="19" t="s">
        <v>92</v>
      </c>
      <c r="G7" s="19" t="s">
        <v>85</v>
      </c>
      <c r="H7" s="19" t="s">
        <v>87</v>
      </c>
      <c r="I7" s="20">
        <v>0</v>
      </c>
      <c r="J7" s="19"/>
      <c r="K7" s="19" t="s">
        <v>87</v>
      </c>
      <c r="L7" s="21">
        <v>0</v>
      </c>
      <c r="M7" s="19" t="s">
        <v>85</v>
      </c>
      <c r="N7" s="17">
        <f>_xlfn.IFNA(IF(STLClientPriceCompute[[#This Row],[Base Price (USD)]]="","", STLClientPriceCompute[[#This Row],[Base Price (USD)]]*VLOOKUP(_xlfn.CONCAT(STLClientPriceCompute[[#This Row],[Exchange Rate Group]],STLClientSpecificSettings[Currency]),ClientPriceExRate[[#All],[Ex-Currency]:[Exchange Rate]],2,FALSE)),"")</f>
        <v>0</v>
      </c>
      <c r="O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7" s="22" cm="1">
        <f t="array" ref="P7">IF(STLClientSpecificSettings[Core Pack Excluded from Std volume discount]="EX",1, IF(STLClientSpecificSettings[Volume Price Adjustment]="HV", STLClientPriceCompute[[#This Row],[Category search for HV Base Discount]], STLClientSpecificSettings[Volume %]/100))</f>
        <v>1.5</v>
      </c>
      <c r="Q7" s="12" cm="1">
        <f t="array" ref="Q7">IF(ISBLANK(STLClientPriceCompute[[#This Row],[Category]]), 1, IF(ISNUMBER(SEARCH(CONCATENATE(STLClientPriceCompute[[#This Row],[Category]],"-",STLClientPriceCompute[[#This Row],[Code]]),STLClientSpecificSettings[VolumeBasedPriceItems])),STLClientSpecificSettings[Volume %]/100,1))</f>
        <v>1</v>
      </c>
      <c r="R7" s="12" cm="1">
        <f t="array" ref="R7">IF(STLClientSpecificSettings[Core Pack Excluded from Std volume discount]="UP",IF(OR(E7="USR",E7="RBU"),STLClientSpecificSettings[Core Uplift %]/100+1,1),1)</f>
        <v>1</v>
      </c>
      <c r="S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7" s="26" t="str">
        <f>IF(STLClientPriceCompute[[#This Row],[Available]]="Y", "P",IF(STLClientPriceCompute[[#This Row],[Available]]="N","O",""))</f>
        <v>P</v>
      </c>
      <c r="U7" s="85" t="str">
        <f>TRIM(STLClientPriceCompute[[#This Row],[Description]])</f>
        <v>Forwarder</v>
      </c>
      <c r="V7" s="82" t="str">
        <f>IF(STLClientPriceCompute[[#This Row],[Item Level]]=0,STLClientPriceCompute[[#This Row],[Desc without indent]],"")</f>
        <v/>
      </c>
      <c r="W7" s="82" t="str">
        <f>IF(STLClientPriceCompute[[#This Row],[Item Level]]=1,STLClientPriceCompute[[#This Row],[Desc without indent]],"")</f>
        <v>Forwarder</v>
      </c>
      <c r="X7" s="82" t="str">
        <f>IF(STLClientPriceCompute[[#This Row],[Item Level]]=2,STLClientPriceCompute[[#This Row],[Desc without indent]],"")</f>
        <v/>
      </c>
      <c r="Y7" s="82" t="str">
        <f>IF(STLClientPriceCompute[[#This Row],[Item Level]]&gt;=3,_xlfn.CONCAT(REPT(" ",STLClientPriceCompute[[#This Row],[Item Level]]-3), STLClientPriceCompute[[#This Row],[Desc without indent]]),"")</f>
        <v/>
      </c>
      <c r="Z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8" spans="2:30" x14ac:dyDescent="0.4">
      <c r="B8" s="15">
        <f>FIND(LEFT(TRIM(STLClientPriceCompute[[#This Row],[Description]]),1),STLClientPriceCompute[[#This Row],[Description]])-1</f>
        <v>2</v>
      </c>
      <c r="C8" s="19">
        <v>47</v>
      </c>
      <c r="D8" s="19"/>
      <c r="E8" s="19"/>
      <c r="F8" s="19" t="s">
        <v>93</v>
      </c>
      <c r="G8" s="19" t="s">
        <v>85</v>
      </c>
      <c r="H8" s="19" t="s">
        <v>87</v>
      </c>
      <c r="I8" s="20">
        <v>0</v>
      </c>
      <c r="J8" s="19"/>
      <c r="K8" s="19" t="s">
        <v>87</v>
      </c>
      <c r="L8" s="21">
        <v>0</v>
      </c>
      <c r="M8" s="19" t="s">
        <v>85</v>
      </c>
      <c r="N8" s="17">
        <f>_xlfn.IFNA(IF(STLClientPriceCompute[[#This Row],[Base Price (USD)]]="","", STLClientPriceCompute[[#This Row],[Base Price (USD)]]*VLOOKUP(_xlfn.CONCAT(STLClientPriceCompute[[#This Row],[Exchange Rate Group]],STLClientSpecificSettings[Currency]),ClientPriceExRate[[#All],[Ex-Currency]:[Exchange Rate]],2,FALSE)),"")</f>
        <v>0</v>
      </c>
      <c r="O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8" s="22" cm="1">
        <f t="array" ref="P8">IF(STLClientSpecificSettings[Core Pack Excluded from Std volume discount]="EX",1, IF(STLClientSpecificSettings[Volume Price Adjustment]="HV", STLClientPriceCompute[[#This Row],[Category search for HV Base Discount]], STLClientSpecificSettings[Volume %]/100))</f>
        <v>1.5</v>
      </c>
      <c r="Q8" s="12" cm="1">
        <f t="array" ref="Q8">IF(ISBLANK(STLClientPriceCompute[[#This Row],[Category]]), 1, IF(ISNUMBER(SEARCH(CONCATENATE(STLClientPriceCompute[[#This Row],[Category]],"-",STLClientPriceCompute[[#This Row],[Code]]),STLClientSpecificSettings[VolumeBasedPriceItems])),STLClientSpecificSettings[Volume %]/100,1))</f>
        <v>1</v>
      </c>
      <c r="R8" s="12" cm="1">
        <f t="array" ref="R8">IF(STLClientSpecificSettings[Core Pack Excluded from Std volume discount]="UP",IF(OR(E8="USR",E8="RBU"),STLClientSpecificSettings[Core Uplift %]/100+1,1),1)</f>
        <v>1</v>
      </c>
      <c r="S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8" s="26" t="str">
        <f>IF(STLClientPriceCompute[[#This Row],[Available]]="Y", "P",IF(STLClientPriceCompute[[#This Row],[Available]]="N","O",""))</f>
        <v>P</v>
      </c>
      <c r="U8" s="85" t="str">
        <f>TRIM(STLClientPriceCompute[[#This Row],[Description]])</f>
        <v>General Forwarding Engine</v>
      </c>
      <c r="V8" s="82" t="str">
        <f>IF(STLClientPriceCompute[[#This Row],[Item Level]]=0,STLClientPriceCompute[[#This Row],[Desc without indent]],"")</f>
        <v/>
      </c>
      <c r="W8" s="82" t="str">
        <f>IF(STLClientPriceCompute[[#This Row],[Item Level]]=1,STLClientPriceCompute[[#This Row],[Desc without indent]],"")</f>
        <v/>
      </c>
      <c r="X8" s="82" t="str">
        <f>IF(STLClientPriceCompute[[#This Row],[Item Level]]=2,STLClientPriceCompute[[#This Row],[Desc without indent]],"")</f>
        <v>General Forwarding Engine</v>
      </c>
      <c r="Y8" s="82" t="str">
        <f>IF(STLClientPriceCompute[[#This Row],[Item Level]]&gt;=3,_xlfn.CONCAT(REPT(" ",STLClientPriceCompute[[#This Row],[Item Level]]-3), STLClientPriceCompute[[#This Row],[Desc without indent]]),"")</f>
        <v/>
      </c>
      <c r="Z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9" spans="2:30" x14ac:dyDescent="0.4">
      <c r="B9" s="15">
        <f>FIND(LEFT(TRIM(STLClientPriceCompute[[#This Row],[Description]]),1),STLClientPriceCompute[[#This Row],[Description]])-1</f>
        <v>3</v>
      </c>
      <c r="C9" s="19">
        <v>48</v>
      </c>
      <c r="D9" s="19" t="s">
        <v>87</v>
      </c>
      <c r="E9" s="19" t="s">
        <v>94</v>
      </c>
      <c r="F9" s="19" t="s">
        <v>692</v>
      </c>
      <c r="G9" s="19" t="s">
        <v>274</v>
      </c>
      <c r="H9" s="19" t="s">
        <v>87</v>
      </c>
      <c r="I9" s="20">
        <v>2.65225</v>
      </c>
      <c r="J9" s="19" t="s">
        <v>95</v>
      </c>
      <c r="K9" s="19" t="s">
        <v>87</v>
      </c>
      <c r="L9" s="21">
        <v>26.522500000000001</v>
      </c>
      <c r="M9" s="19" t="s">
        <v>85</v>
      </c>
      <c r="N9" s="17">
        <f>_xlfn.IFNA(IF(STLClientPriceCompute[[#This Row],[Base Price (USD)]]="","", STLClientPriceCompute[[#This Row],[Base Price (USD)]]*VLOOKUP(_xlfn.CONCAT(STLClientPriceCompute[[#This Row],[Exchange Rate Group]],STLClientSpecificSettings[Currency]),ClientPriceExRate[[#All],[Ex-Currency]:[Exchange Rate]],2,FALSE)),"")</f>
        <v>3.7042914850000002</v>
      </c>
      <c r="O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5.5564372275</v>
      </c>
      <c r="P9" s="22" cm="1">
        <f t="array" ref="P9">IF(STLClientSpecificSettings[Core Pack Excluded from Std volume discount]="EX",1, IF(STLClientSpecificSettings[Volume Price Adjustment]="HV", STLClientPriceCompute[[#This Row],[Category search for HV Base Discount]], STLClientSpecificSettings[Volume %]/100))</f>
        <v>1.5</v>
      </c>
      <c r="Q9" s="12" cm="1">
        <f t="array" ref="Q9">IF(ISBLANK(STLClientPriceCompute[[#This Row],[Category]]), 1, IF(ISNUMBER(SEARCH(CONCATENATE(STLClientPriceCompute[[#This Row],[Category]],"-",STLClientPriceCompute[[#This Row],[Code]]),STLClientSpecificSettings[VolumeBasedPriceItems])),STLClientSpecificSettings[Volume %]/100,1))</f>
        <v>1</v>
      </c>
      <c r="R9" s="12" cm="1">
        <f t="array" ref="R9">IF(STLClientSpecificSettings[Core Pack Excluded from Std volume discount]="UP",IF(OR(E9="USR",E9="RBU"),STLClientSpecificSettings[Core Uplift %]/100+1,1),1)</f>
        <v>1</v>
      </c>
      <c r="S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39.783749999999998</v>
      </c>
      <c r="T9" s="26" t="str">
        <f>IF(STLClientPriceCompute[[#This Row],[Available]]="Y", "P",IF(STLClientPriceCompute[[#This Row],[Available]]="N","O",""))</f>
        <v>O</v>
      </c>
      <c r="U9" s="85" t="str">
        <f>TRIM(STLClientPriceCompute[[#This Row],[Description]])</f>
        <v>Shipment and/or Booking _x000D_
 Include Consol, Spot Quotes, Air/Sea Schedules, Address Cleansing &amp; Geocoding, Denied Party Screening* (*External Services)</v>
      </c>
      <c r="V9" s="82" t="str">
        <f>IF(STLClientPriceCompute[[#This Row],[Item Level]]=0,STLClientPriceCompute[[#This Row],[Desc without indent]],"")</f>
        <v/>
      </c>
      <c r="W9" s="82" t="str">
        <f>IF(STLClientPriceCompute[[#This Row],[Item Level]]=1,STLClientPriceCompute[[#This Row],[Desc without indent]],"")</f>
        <v/>
      </c>
      <c r="X9" s="82" t="str">
        <f>IF(STLClientPriceCompute[[#This Row],[Item Level]]=2,STLClientPriceCompute[[#This Row],[Desc without indent]],"")</f>
        <v/>
      </c>
      <c r="Y9" s="82" t="str">
        <f>IF(STLClientPriceCompute[[#This Row],[Item Level]]&gt;=3,_xlfn.CONCAT(REPT(" ",STLClientPriceCompute[[#This Row],[Item Level]]-3), STLClientPriceCompute[[#This Row],[Desc without indent]]),"")</f>
        <v>Shipment and/or Booking _x000D_
 Include Consol, Spot Quotes, Air/Sea Schedules, Address Cleansing &amp; Geocoding, Denied Party Screening* (*External Services)</v>
      </c>
      <c r="Z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Job Header</v>
      </c>
    </row>
    <row r="10" spans="2:30" x14ac:dyDescent="0.4">
      <c r="B10" s="15">
        <f>FIND(LEFT(TRIM(STLClientPriceCompute[[#This Row],[Description]]),1),STLClientPriceCompute[[#This Row],[Description]])-1</f>
        <v>3</v>
      </c>
      <c r="C10" s="19">
        <v>49</v>
      </c>
      <c r="D10" s="19" t="s">
        <v>87</v>
      </c>
      <c r="E10" s="19" t="s">
        <v>96</v>
      </c>
      <c r="F10" s="19" t="s">
        <v>97</v>
      </c>
      <c r="G10" s="19" t="s">
        <v>274</v>
      </c>
      <c r="H10" s="19" t="s">
        <v>87</v>
      </c>
      <c r="I10" s="20">
        <v>2.294727</v>
      </c>
      <c r="J10" s="19" t="s">
        <v>98</v>
      </c>
      <c r="K10" s="19" t="s">
        <v>87</v>
      </c>
      <c r="L10" s="21">
        <v>22.94727</v>
      </c>
      <c r="M10" s="19" t="s">
        <v>85</v>
      </c>
      <c r="N10" s="17">
        <f>_xlfn.IFNA(IF(STLClientPriceCompute[[#This Row],[Base Price (USD)]]="","", STLClientPriceCompute[[#This Row],[Base Price (USD)]]*VLOOKUP(_xlfn.CONCAT(STLClientPriceCompute[[#This Row],[Exchange Rate Group]],STLClientSpecificSettings[Currency]),ClientPriceExRate[[#All],[Ex-Currency]:[Exchange Rate]],2,FALSE)),"")</f>
        <v>3.20495341182</v>
      </c>
      <c r="O1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10" s="22" cm="1">
        <f t="array" ref="P10">IF(STLClientSpecificSettings[Core Pack Excluded from Std volume discount]="EX",1, IF(STLClientSpecificSettings[Volume Price Adjustment]="HV", STLClientPriceCompute[[#This Row],[Category search for HV Base Discount]], STLClientSpecificSettings[Volume %]/100))</f>
        <v>1.5</v>
      </c>
      <c r="Q10" s="12" cm="1">
        <f t="array" ref="Q10">IF(ISBLANK(STLClientPriceCompute[[#This Row],[Category]]), 1, IF(ISNUMBER(SEARCH(CONCATENATE(STLClientPriceCompute[[#This Row],[Category]],"-",STLClientPriceCompute[[#This Row],[Code]]),STLClientSpecificSettings[VolumeBasedPriceItems])),STLClientSpecificSettings[Volume %]/100,1))</f>
        <v>1</v>
      </c>
      <c r="R10" s="12" cm="1">
        <f t="array" ref="R10">IF(STLClientSpecificSettings[Core Pack Excluded from Std volume discount]="UP",IF(OR(E10="USR",E10="RBU"),STLClientSpecificSettings[Core Uplift %]/100+1,1),1)</f>
        <v>1</v>
      </c>
      <c r="S1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10" s="26" t="str">
        <f>IF(STLClientPriceCompute[[#This Row],[Available]]="Y", "P",IF(STLClientPriceCompute[[#This Row],[Available]]="N","O",""))</f>
        <v>O</v>
      </c>
      <c r="U10" s="85" t="str">
        <f>TRIM(STLClientPriceCompute[[#This Row],[Description]])</f>
        <v>Order Manager</v>
      </c>
      <c r="V10" s="82" t="str">
        <f>IF(STLClientPriceCompute[[#This Row],[Item Level]]=0,STLClientPriceCompute[[#This Row],[Desc without indent]],"")</f>
        <v/>
      </c>
      <c r="W10" s="82" t="str">
        <f>IF(STLClientPriceCompute[[#This Row],[Item Level]]=1,STLClientPriceCompute[[#This Row],[Desc without indent]],"")</f>
        <v/>
      </c>
      <c r="X10" s="82" t="str">
        <f>IF(STLClientPriceCompute[[#This Row],[Item Level]]=2,STLClientPriceCompute[[#This Row],[Desc without indent]],"")</f>
        <v/>
      </c>
      <c r="Y10" s="82" t="str">
        <f>IF(STLClientPriceCompute[[#This Row],[Item Level]]&gt;=3,_xlfn.CONCAT(REPT(" ",STLClientPriceCompute[[#This Row],[Item Level]]-3), STLClientPriceCompute[[#This Row],[Desc without indent]]),"")</f>
        <v>Order Manager</v>
      </c>
      <c r="Z1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Order</v>
      </c>
    </row>
    <row r="11" spans="2:30" x14ac:dyDescent="0.4">
      <c r="B11" s="15">
        <f>FIND(LEFT(TRIM(STLClientPriceCompute[[#This Row],[Description]]),1),STLClientPriceCompute[[#This Row],[Description]])-1</f>
        <v>3</v>
      </c>
      <c r="C11" s="19">
        <v>50</v>
      </c>
      <c r="D11" s="19" t="s">
        <v>87</v>
      </c>
      <c r="E11" s="19" t="s">
        <v>693</v>
      </c>
      <c r="F11" s="19" t="s">
        <v>99</v>
      </c>
      <c r="G11" s="19"/>
      <c r="H11" s="19" t="s">
        <v>87</v>
      </c>
      <c r="I11" s="20">
        <v>0.5</v>
      </c>
      <c r="J11" s="19" t="s">
        <v>708</v>
      </c>
      <c r="K11" s="19" t="s">
        <v>709</v>
      </c>
      <c r="L11" s="21">
        <v>5</v>
      </c>
      <c r="M11" s="19" t="s">
        <v>85</v>
      </c>
      <c r="N11" s="17">
        <f>_xlfn.IFNA(IF(STLClientPriceCompute[[#This Row],[Base Price (USD)]]="","", STLClientPriceCompute[[#This Row],[Base Price (USD)]]*VLOOKUP(_xlfn.CONCAT(STLClientPriceCompute[[#This Row],[Exchange Rate Group]],STLClientSpecificSettings[Currency]),ClientPriceExRate[[#All],[Ex-Currency]:[Exchange Rate]],2,FALSE)),"")</f>
        <v>0.66393800000000003</v>
      </c>
      <c r="O1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0.9959070000000001</v>
      </c>
      <c r="P11" s="22" cm="1">
        <f t="array" ref="P11">IF(STLClientSpecificSettings[Core Pack Excluded from Std volume discount]="EX",1, IF(STLClientSpecificSettings[Volume Price Adjustment]="HV", STLClientPriceCompute[[#This Row],[Category search for HV Base Discount]], STLClientSpecificSettings[Volume %]/100))</f>
        <v>1.5</v>
      </c>
      <c r="Q11" s="12" cm="1">
        <f t="array" ref="Q11">IF(ISBLANK(STLClientPriceCompute[[#This Row],[Category]]), 1, IF(ISNUMBER(SEARCH(CONCATENATE(STLClientPriceCompute[[#This Row],[Category]],"-",STLClientPriceCompute[[#This Row],[Code]]),STLClientSpecificSettings[VolumeBasedPriceItems])),STLClientSpecificSettings[Volume %]/100,1))</f>
        <v>1</v>
      </c>
      <c r="R11" s="12" cm="1">
        <f t="array" ref="R11">IF(STLClientSpecificSettings[Core Pack Excluded from Std volume discount]="UP",IF(OR(E11="USR",E11="RBU"),STLClientSpecificSettings[Core Uplift %]/100+1,1),1)</f>
        <v>1</v>
      </c>
      <c r="S1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7.5</v>
      </c>
      <c r="T11" s="26" t="str">
        <f>IF(STLClientPriceCompute[[#This Row],[Available]]="Y", "P",IF(STLClientPriceCompute[[#This Row],[Available]]="N","O",""))</f>
        <v/>
      </c>
      <c r="U11" s="85" t="str">
        <f>TRIM(STLClientPriceCompute[[#This Row],[Description]])</f>
        <v>Gateway Billing</v>
      </c>
      <c r="V11" s="82" t="str">
        <f>IF(STLClientPriceCompute[[#This Row],[Item Level]]=0,STLClientPriceCompute[[#This Row],[Desc without indent]],"")</f>
        <v/>
      </c>
      <c r="W11" s="82" t="str">
        <f>IF(STLClientPriceCompute[[#This Row],[Item Level]]=1,STLClientPriceCompute[[#This Row],[Desc without indent]],"")</f>
        <v/>
      </c>
      <c r="X11" s="82" t="str">
        <f>IF(STLClientPriceCompute[[#This Row],[Item Level]]=2,STLClientPriceCompute[[#This Row],[Desc without indent]],"")</f>
        <v/>
      </c>
      <c r="Y11" s="82" t="str">
        <f>IF(STLClientPriceCompute[[#This Row],[Item Level]]&gt;=3,_xlfn.CONCAT(REPT(" ",STLClientPriceCompute[[#This Row],[Item Level]]-3), STLClientPriceCompute[[#This Row],[Desc without indent]]),"")</f>
        <v>Gateway Billing</v>
      </c>
      <c r="Z1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Gateway Shipment</v>
      </c>
    </row>
    <row r="12" spans="2:30" x14ac:dyDescent="0.4">
      <c r="B12" s="15">
        <f>FIND(LEFT(TRIM(STLClientPriceCompute[[#This Row],[Description]]),1),STLClientPriceCompute[[#This Row],[Description]])-1</f>
        <v>1</v>
      </c>
      <c r="C12" s="19">
        <v>51</v>
      </c>
      <c r="D12" s="19"/>
      <c r="E12" s="19"/>
      <c r="F12" s="19" t="s">
        <v>100</v>
      </c>
      <c r="G12" s="19"/>
      <c r="H12" s="19" t="s">
        <v>87</v>
      </c>
      <c r="I12" s="20">
        <v>0</v>
      </c>
      <c r="J12" s="19"/>
      <c r="K12" s="19" t="s">
        <v>87</v>
      </c>
      <c r="L12" s="21">
        <v>0</v>
      </c>
      <c r="M12" s="19" t="s">
        <v>85</v>
      </c>
      <c r="N12" s="17">
        <f>_xlfn.IFNA(IF(STLClientPriceCompute[[#This Row],[Base Price (USD)]]="","", STLClientPriceCompute[[#This Row],[Base Price (USD)]]*VLOOKUP(_xlfn.CONCAT(STLClientPriceCompute[[#This Row],[Exchange Rate Group]],STLClientSpecificSettings[Currency]),ClientPriceExRate[[#All],[Ex-Currency]:[Exchange Rate]],2,FALSE)),"")</f>
        <v>0</v>
      </c>
      <c r="O1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2" s="22" cm="1">
        <f t="array" ref="P12">IF(STLClientSpecificSettings[Core Pack Excluded from Std volume discount]="EX",1, IF(STLClientSpecificSettings[Volume Price Adjustment]="HV", STLClientPriceCompute[[#This Row],[Category search for HV Base Discount]], STLClientSpecificSettings[Volume %]/100))</f>
        <v>1.5</v>
      </c>
      <c r="Q12" s="12" cm="1">
        <f t="array" ref="Q12">IF(ISBLANK(STLClientPriceCompute[[#This Row],[Category]]), 1, IF(ISNUMBER(SEARCH(CONCATENATE(STLClientPriceCompute[[#This Row],[Category]],"-",STLClientPriceCompute[[#This Row],[Code]]),STLClientSpecificSettings[VolumeBasedPriceItems])),STLClientSpecificSettings[Volume %]/100,1))</f>
        <v>1</v>
      </c>
      <c r="R12" s="12" cm="1">
        <f t="array" ref="R12">IF(STLClientSpecificSettings[Core Pack Excluded from Std volume discount]="UP",IF(OR(E12="USR",E12="RBU"),STLClientSpecificSettings[Core Uplift %]/100+1,1),1)</f>
        <v>1</v>
      </c>
      <c r="S1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2" s="26" t="str">
        <f>IF(STLClientPriceCompute[[#This Row],[Available]]="Y", "P",IF(STLClientPriceCompute[[#This Row],[Available]]="N","O",""))</f>
        <v/>
      </c>
      <c r="U12" s="85" t="str">
        <f>TRIM(STLClientPriceCompute[[#This Row],[Description]])</f>
        <v>CFS/Freight Shed Manager</v>
      </c>
      <c r="V12" s="82" t="str">
        <f>IF(STLClientPriceCompute[[#This Row],[Item Level]]=0,STLClientPriceCompute[[#This Row],[Desc without indent]],"")</f>
        <v/>
      </c>
      <c r="W12" s="82" t="str">
        <f>IF(STLClientPriceCompute[[#This Row],[Item Level]]=1,STLClientPriceCompute[[#This Row],[Desc without indent]],"")</f>
        <v>CFS/Freight Shed Manager</v>
      </c>
      <c r="X12" s="82" t="str">
        <f>IF(STLClientPriceCompute[[#This Row],[Item Level]]=2,STLClientPriceCompute[[#This Row],[Desc without indent]],"")</f>
        <v/>
      </c>
      <c r="Y12" s="82" t="str">
        <f>IF(STLClientPriceCompute[[#This Row],[Item Level]]&gt;=3,_xlfn.CONCAT(REPT(" ",STLClientPriceCompute[[#This Row],[Item Level]]-3), STLClientPriceCompute[[#This Row],[Desc without indent]]),"")</f>
        <v/>
      </c>
      <c r="Z1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3" spans="2:30" x14ac:dyDescent="0.4">
      <c r="B13" s="15">
        <f>FIND(LEFT(TRIM(STLClientPriceCompute[[#This Row],[Description]]),1),STLClientPriceCompute[[#This Row],[Description]])-1</f>
        <v>2</v>
      </c>
      <c r="C13" s="19">
        <v>52</v>
      </c>
      <c r="D13" s="19"/>
      <c r="E13" s="19"/>
      <c r="F13" s="19" t="s">
        <v>101</v>
      </c>
      <c r="G13" s="19"/>
      <c r="H13" s="19" t="s">
        <v>87</v>
      </c>
      <c r="I13" s="20">
        <v>0</v>
      </c>
      <c r="J13" s="19"/>
      <c r="K13" s="19" t="s">
        <v>87</v>
      </c>
      <c r="L13" s="21">
        <v>0</v>
      </c>
      <c r="M13" s="19" t="s">
        <v>85</v>
      </c>
      <c r="N13" s="17">
        <f>_xlfn.IFNA(IF(STLClientPriceCompute[[#This Row],[Base Price (USD)]]="","", STLClientPriceCompute[[#This Row],[Base Price (USD)]]*VLOOKUP(_xlfn.CONCAT(STLClientPriceCompute[[#This Row],[Exchange Rate Group]],STLClientSpecificSettings[Currency]),ClientPriceExRate[[#All],[Ex-Currency]:[Exchange Rate]],2,FALSE)),"")</f>
        <v>0</v>
      </c>
      <c r="O1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 s="22" cm="1">
        <f t="array" ref="P13">IF(STLClientSpecificSettings[Core Pack Excluded from Std volume discount]="EX",1, IF(STLClientSpecificSettings[Volume Price Adjustment]="HV", STLClientPriceCompute[[#This Row],[Category search for HV Base Discount]], STLClientSpecificSettings[Volume %]/100))</f>
        <v>1.5</v>
      </c>
      <c r="Q13" s="12" cm="1">
        <f t="array" ref="Q13">IF(ISBLANK(STLClientPriceCompute[[#This Row],[Category]]), 1, IF(ISNUMBER(SEARCH(CONCATENATE(STLClientPriceCompute[[#This Row],[Category]],"-",STLClientPriceCompute[[#This Row],[Code]]),STLClientSpecificSettings[VolumeBasedPriceItems])),STLClientSpecificSettings[Volume %]/100,1))</f>
        <v>1</v>
      </c>
      <c r="R13" s="12" cm="1">
        <f t="array" ref="R13">IF(STLClientSpecificSettings[Core Pack Excluded from Std volume discount]="UP",IF(OR(E13="USR",E13="RBU"),STLClientSpecificSettings[Core Uplift %]/100+1,1),1)</f>
        <v>1</v>
      </c>
      <c r="S1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 s="26" t="str">
        <f>IF(STLClientPriceCompute[[#This Row],[Available]]="Y", "P",IF(STLClientPriceCompute[[#This Row],[Available]]="N","O",""))</f>
        <v/>
      </c>
      <c r="U13" s="85" t="str">
        <f>TRIM(STLClientPriceCompute[[#This Row],[Description]])</f>
        <v>Container Freight Station / Air Freight Shed</v>
      </c>
      <c r="V13" s="82" t="str">
        <f>IF(STLClientPriceCompute[[#This Row],[Item Level]]=0,STLClientPriceCompute[[#This Row],[Desc without indent]],"")</f>
        <v/>
      </c>
      <c r="W13" s="82" t="str">
        <f>IF(STLClientPriceCompute[[#This Row],[Item Level]]=1,STLClientPriceCompute[[#This Row],[Desc without indent]],"")</f>
        <v/>
      </c>
      <c r="X13" s="82" t="str">
        <f>IF(STLClientPriceCompute[[#This Row],[Item Level]]=2,STLClientPriceCompute[[#This Row],[Desc without indent]],"")</f>
        <v>Container Freight Station / Air Freight Shed</v>
      </c>
      <c r="Y13" s="82" t="str">
        <f>IF(STLClientPriceCompute[[#This Row],[Item Level]]&gt;=3,_xlfn.CONCAT(REPT(" ",STLClientPriceCompute[[#This Row],[Item Level]]-3), STLClientPriceCompute[[#This Row],[Desc without indent]]),"")</f>
        <v/>
      </c>
      <c r="Z1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4" spans="2:30" x14ac:dyDescent="0.4">
      <c r="B14" s="15">
        <f>FIND(LEFT(TRIM(STLClientPriceCompute[[#This Row],[Description]]),1),STLClientPriceCompute[[#This Row],[Description]])-1</f>
        <v>3</v>
      </c>
      <c r="C14" s="19">
        <v>53</v>
      </c>
      <c r="D14" s="19" t="s">
        <v>87</v>
      </c>
      <c r="E14" s="19" t="s">
        <v>102</v>
      </c>
      <c r="F14" s="19" t="s">
        <v>103</v>
      </c>
      <c r="G14" s="19"/>
      <c r="H14" s="19" t="s">
        <v>87</v>
      </c>
      <c r="I14" s="20">
        <v>3.4420899999999999</v>
      </c>
      <c r="J14" s="19" t="s">
        <v>104</v>
      </c>
      <c r="K14" s="19" t="s">
        <v>87</v>
      </c>
      <c r="L14" s="21">
        <v>34.420900000000003</v>
      </c>
      <c r="M14" s="19" t="s">
        <v>85</v>
      </c>
      <c r="N14" s="17">
        <f>_xlfn.IFNA(IF(STLClientPriceCompute[[#This Row],[Base Price (USD)]]="","", STLClientPriceCompute[[#This Row],[Base Price (USD)]]*VLOOKUP(_xlfn.CONCAT(STLClientPriceCompute[[#This Row],[Exchange Rate Group]],STLClientSpecificSettings[Currency]),ClientPriceExRate[[#All],[Ex-Currency]:[Exchange Rate]],2,FALSE)),"")</f>
        <v>4.8074294194</v>
      </c>
      <c r="O1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14" s="22" cm="1">
        <f t="array" ref="P14">IF(STLClientSpecificSettings[Core Pack Excluded from Std volume discount]="EX",1, IF(STLClientSpecificSettings[Volume Price Adjustment]="HV", STLClientPriceCompute[[#This Row],[Category search for HV Base Discount]], STLClientSpecificSettings[Volume %]/100))</f>
        <v>1.5</v>
      </c>
      <c r="Q14" s="12" cm="1">
        <f t="array" ref="Q14">IF(ISBLANK(STLClientPriceCompute[[#This Row],[Category]]), 1, IF(ISNUMBER(SEARCH(CONCATENATE(STLClientPriceCompute[[#This Row],[Category]],"-",STLClientPriceCompute[[#This Row],[Code]]),STLClientSpecificSettings[VolumeBasedPriceItems])),STLClientSpecificSettings[Volume %]/100,1))</f>
        <v>1</v>
      </c>
      <c r="R14" s="12" cm="1">
        <f t="array" ref="R14">IF(STLClientSpecificSettings[Core Pack Excluded from Std volume discount]="UP",IF(OR(E14="USR",E14="RBU"),STLClientSpecificSettings[Core Uplift %]/100+1,1),1)</f>
        <v>1</v>
      </c>
      <c r="S1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14" s="26" t="str">
        <f>IF(STLClientPriceCompute[[#This Row],[Available]]="Y", "P",IF(STLClientPriceCompute[[#This Row],[Available]]="N","O",""))</f>
        <v/>
      </c>
      <c r="U14" s="85" t="str">
        <f>TRIM(STLClientPriceCompute[[#This Row],[Description]])</f>
        <v>Container Packing (Packing Tab in Forwarding/Consol or CFS Load List)</v>
      </c>
      <c r="V14" s="82" t="str">
        <f>IF(STLClientPriceCompute[[#This Row],[Item Level]]=0,STLClientPriceCompute[[#This Row],[Desc without indent]],"")</f>
        <v/>
      </c>
      <c r="W14" s="82" t="str">
        <f>IF(STLClientPriceCompute[[#This Row],[Item Level]]=1,STLClientPriceCompute[[#This Row],[Desc without indent]],"")</f>
        <v/>
      </c>
      <c r="X14" s="82" t="str">
        <f>IF(STLClientPriceCompute[[#This Row],[Item Level]]=2,STLClientPriceCompute[[#This Row],[Desc without indent]],"")</f>
        <v/>
      </c>
      <c r="Y14" s="82" t="str">
        <f>IF(STLClientPriceCompute[[#This Row],[Item Level]]&gt;=3,_xlfn.CONCAT(REPT(" ",STLClientPriceCompute[[#This Row],[Item Level]]-3), STLClientPriceCompute[[#This Row],[Desc without indent]]),"")</f>
        <v>Container Packing (Packing Tab in Forwarding/Consol or CFS Load List)</v>
      </c>
      <c r="Z1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Load List (if no container) Per Container</v>
      </c>
    </row>
    <row r="15" spans="2:30" x14ac:dyDescent="0.4">
      <c r="B15" s="15">
        <f>FIND(LEFT(TRIM(STLClientPriceCompute[[#This Row],[Description]]),1),STLClientPriceCompute[[#This Row],[Description]])-1</f>
        <v>3</v>
      </c>
      <c r="C15" s="19">
        <v>54</v>
      </c>
      <c r="D15" s="19" t="s">
        <v>87</v>
      </c>
      <c r="E15" s="19" t="s">
        <v>105</v>
      </c>
      <c r="F15" s="19" t="s">
        <v>106</v>
      </c>
      <c r="G15" s="19"/>
      <c r="H15" s="19" t="s">
        <v>87</v>
      </c>
      <c r="I15" s="20">
        <v>0.57368200000000003</v>
      </c>
      <c r="J15" s="19" t="s">
        <v>107</v>
      </c>
      <c r="K15" s="19" t="s">
        <v>87</v>
      </c>
      <c r="L15" s="21">
        <v>5.7368199999999998</v>
      </c>
      <c r="M15" s="19" t="s">
        <v>85</v>
      </c>
      <c r="N15" s="17">
        <f>_xlfn.IFNA(IF(STLClientPriceCompute[[#This Row],[Base Price (USD)]]="","", STLClientPriceCompute[[#This Row],[Base Price (USD)]]*VLOOKUP(_xlfn.CONCAT(STLClientPriceCompute[[#This Row],[Exchange Rate Group]],STLClientSpecificSettings[Currency]),ClientPriceExRate[[#All],[Ex-Currency]:[Exchange Rate]],2,FALSE)),"")</f>
        <v>0.80123870212000003</v>
      </c>
      <c r="O1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1.2018580531800001</v>
      </c>
      <c r="P15" s="22" cm="1">
        <f t="array" ref="P15">IF(STLClientSpecificSettings[Core Pack Excluded from Std volume discount]="EX",1, IF(STLClientSpecificSettings[Volume Price Adjustment]="HV", STLClientPriceCompute[[#This Row],[Category search for HV Base Discount]], STLClientSpecificSettings[Volume %]/100))</f>
        <v>1.5</v>
      </c>
      <c r="Q15" s="12" cm="1">
        <f t="array" ref="Q15">IF(ISBLANK(STLClientPriceCompute[[#This Row],[Category]]), 1, IF(ISNUMBER(SEARCH(CONCATENATE(STLClientPriceCompute[[#This Row],[Category]],"-",STLClientPriceCompute[[#This Row],[Code]]),STLClientSpecificSettings[VolumeBasedPriceItems])),STLClientSpecificSettings[Volume %]/100,1))</f>
        <v>1</v>
      </c>
      <c r="R15" s="12" cm="1">
        <f t="array" ref="R15">IF(STLClientSpecificSettings[Core Pack Excluded from Std volume discount]="UP",IF(OR(E15="USR",E15="RBU"),STLClientSpecificSettings[Core Uplift %]/100+1,1),1)</f>
        <v>1</v>
      </c>
      <c r="S1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8.6052299999999988</v>
      </c>
      <c r="T15" s="26" t="str">
        <f>IF(STLClientPriceCompute[[#This Row],[Available]]="Y", "P",IF(STLClientPriceCompute[[#This Row],[Available]]="N","O",""))</f>
        <v/>
      </c>
      <c r="U15" s="85" t="str">
        <f>TRIM(STLClientPriceCompute[[#This Row],[Description]])</f>
        <v>Shipment Management</v>
      </c>
      <c r="V15" s="82" t="str">
        <f>IF(STLClientPriceCompute[[#This Row],[Item Level]]=0,STLClientPriceCompute[[#This Row],[Desc without indent]],"")</f>
        <v/>
      </c>
      <c r="W15" s="82" t="str">
        <f>IF(STLClientPriceCompute[[#This Row],[Item Level]]=1,STLClientPriceCompute[[#This Row],[Desc without indent]],"")</f>
        <v/>
      </c>
      <c r="X15" s="82" t="str">
        <f>IF(STLClientPriceCompute[[#This Row],[Item Level]]=2,STLClientPriceCompute[[#This Row],[Desc without indent]],"")</f>
        <v/>
      </c>
      <c r="Y15" s="82" t="str">
        <f>IF(STLClientPriceCompute[[#This Row],[Item Level]]&gt;=3,_xlfn.CONCAT(REPT(" ",STLClientPriceCompute[[#This Row],[Item Level]]-3), STLClientPriceCompute[[#This Row],[Desc without indent]]),"")</f>
        <v>Shipment Management</v>
      </c>
      <c r="Z1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Consignment</v>
      </c>
    </row>
    <row r="16" spans="2:30" x14ac:dyDescent="0.4">
      <c r="B16" s="15">
        <f>FIND(LEFT(TRIM(STLClientPriceCompute[[#This Row],[Description]]),1),STLClientPriceCompute[[#This Row],[Description]])-1</f>
        <v>3</v>
      </c>
      <c r="C16" s="19">
        <v>55</v>
      </c>
      <c r="D16" s="19" t="s">
        <v>87</v>
      </c>
      <c r="E16" s="19" t="s">
        <v>108</v>
      </c>
      <c r="F16" s="19" t="s">
        <v>109</v>
      </c>
      <c r="G16" s="19"/>
      <c r="H16" s="19" t="s">
        <v>87</v>
      </c>
      <c r="I16" s="20">
        <v>1.7210449999999999</v>
      </c>
      <c r="J16" s="19" t="s">
        <v>95</v>
      </c>
      <c r="K16" s="19" t="s">
        <v>87</v>
      </c>
      <c r="L16" s="21">
        <v>17.210450000000002</v>
      </c>
      <c r="M16" s="19" t="s">
        <v>85</v>
      </c>
      <c r="N16" s="17">
        <f>_xlfn.IFNA(IF(STLClientPriceCompute[[#This Row],[Base Price (USD)]]="","", STLClientPriceCompute[[#This Row],[Base Price (USD)]]*VLOOKUP(_xlfn.CONCAT(STLClientPriceCompute[[#This Row],[Exchange Rate Group]],STLClientSpecificSettings[Currency]),ClientPriceExRate[[#All],[Ex-Currency]:[Exchange Rate]],2,FALSE)),"")</f>
        <v>2.4037147097</v>
      </c>
      <c r="O1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16" s="22" cm="1">
        <f t="array" ref="P16">IF(STLClientSpecificSettings[Core Pack Excluded from Std volume discount]="EX",1, IF(STLClientSpecificSettings[Volume Price Adjustment]="HV", STLClientPriceCompute[[#This Row],[Category search for HV Base Discount]], STLClientSpecificSettings[Volume %]/100))</f>
        <v>1.5</v>
      </c>
      <c r="Q16" s="12" cm="1">
        <f t="array" ref="Q16">IF(ISBLANK(STLClientPriceCompute[[#This Row],[Category]]), 1, IF(ISNUMBER(SEARCH(CONCATENATE(STLClientPriceCompute[[#This Row],[Category]],"-",STLClientPriceCompute[[#This Row],[Code]]),STLClientSpecificSettings[VolumeBasedPriceItems])),STLClientSpecificSettings[Volume %]/100,1))</f>
        <v>1</v>
      </c>
      <c r="R16" s="12" cm="1">
        <f t="array" ref="R16">IF(STLClientSpecificSettings[Core Pack Excluded from Std volume discount]="UP",IF(OR(E16="USR",E16="RBU"),STLClientSpecificSettings[Core Uplift %]/100+1,1),1)</f>
        <v>1</v>
      </c>
      <c r="S1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16" s="26" t="str">
        <f>IF(STLClientPriceCompute[[#This Row],[Available]]="Y", "P",IF(STLClientPriceCompute[[#This Row],[Available]]="N","O",""))</f>
        <v/>
      </c>
      <c r="U16" s="85" t="str">
        <f>TRIM(STLClientPriceCompute[[#This Row],[Description]])</f>
        <v>Container Storage Management</v>
      </c>
      <c r="V16" s="82" t="str">
        <f>IF(STLClientPriceCompute[[#This Row],[Item Level]]=0,STLClientPriceCompute[[#This Row],[Desc without indent]],"")</f>
        <v/>
      </c>
      <c r="W16" s="82" t="str">
        <f>IF(STLClientPriceCompute[[#This Row],[Item Level]]=1,STLClientPriceCompute[[#This Row],[Desc without indent]],"")</f>
        <v/>
      </c>
      <c r="X16" s="82" t="str">
        <f>IF(STLClientPriceCompute[[#This Row],[Item Level]]=2,STLClientPriceCompute[[#This Row],[Desc without indent]],"")</f>
        <v/>
      </c>
      <c r="Y16" s="82" t="str">
        <f>IF(STLClientPriceCompute[[#This Row],[Item Level]]&gt;=3,_xlfn.CONCAT(REPT(" ",STLClientPriceCompute[[#This Row],[Item Level]]-3), STLClientPriceCompute[[#This Row],[Desc without indent]]),"")</f>
        <v>Container Storage Management</v>
      </c>
      <c r="Z1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Job Header</v>
      </c>
    </row>
    <row r="17" spans="2:26" x14ac:dyDescent="0.4">
      <c r="B17" s="15">
        <f>FIND(LEFT(TRIM(STLClientPriceCompute[[#This Row],[Description]]),1),STLClientPriceCompute[[#This Row],[Description]])-1</f>
        <v>1</v>
      </c>
      <c r="C17" s="19">
        <v>56</v>
      </c>
      <c r="D17" s="19"/>
      <c r="E17" s="19"/>
      <c r="F17" s="19" t="s">
        <v>110</v>
      </c>
      <c r="G17" s="19"/>
      <c r="H17" s="19" t="s">
        <v>87</v>
      </c>
      <c r="I17" s="20">
        <v>0</v>
      </c>
      <c r="J17" s="19"/>
      <c r="K17" s="19" t="s">
        <v>87</v>
      </c>
      <c r="L17" s="21">
        <v>0</v>
      </c>
      <c r="M17" s="19" t="s">
        <v>85</v>
      </c>
      <c r="N17" s="17">
        <f>_xlfn.IFNA(IF(STLClientPriceCompute[[#This Row],[Base Price (USD)]]="","", STLClientPriceCompute[[#This Row],[Base Price (USD)]]*VLOOKUP(_xlfn.CONCAT(STLClientPriceCompute[[#This Row],[Exchange Rate Group]],STLClientSpecificSettings[Currency]),ClientPriceExRate[[#All],[Ex-Currency]:[Exchange Rate]],2,FALSE)),"")</f>
        <v>0</v>
      </c>
      <c r="O1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 s="22" cm="1">
        <f t="array" ref="P17">IF(STLClientSpecificSettings[Core Pack Excluded from Std volume discount]="EX",1, IF(STLClientSpecificSettings[Volume Price Adjustment]="HV", STLClientPriceCompute[[#This Row],[Category search for HV Base Discount]], STLClientSpecificSettings[Volume %]/100))</f>
        <v>1.5</v>
      </c>
      <c r="Q17" s="12" cm="1">
        <f t="array" ref="Q17">IF(ISBLANK(STLClientPriceCompute[[#This Row],[Category]]), 1, IF(ISNUMBER(SEARCH(CONCATENATE(STLClientPriceCompute[[#This Row],[Category]],"-",STLClientPriceCompute[[#This Row],[Code]]),STLClientSpecificSettings[VolumeBasedPriceItems])),STLClientSpecificSettings[Volume %]/100,1))</f>
        <v>1</v>
      </c>
      <c r="R17" s="12" cm="1">
        <f t="array" ref="R17">IF(STLClientSpecificSettings[Core Pack Excluded from Std volume discount]="UP",IF(OR(E17="USR",E17="RBU"),STLClientSpecificSettings[Core Uplift %]/100+1,1),1)</f>
        <v>1</v>
      </c>
      <c r="S1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 s="26" t="str">
        <f>IF(STLClientPriceCompute[[#This Row],[Available]]="Y", "P",IF(STLClientPriceCompute[[#This Row],[Available]]="N","O",""))</f>
        <v/>
      </c>
      <c r="U17" s="85" t="str">
        <f>TRIM(STLClientPriceCompute[[#This Row],[Description]])</f>
        <v>Liner and Agency</v>
      </c>
      <c r="V17" s="82" t="str">
        <f>IF(STLClientPriceCompute[[#This Row],[Item Level]]=0,STLClientPriceCompute[[#This Row],[Desc without indent]],"")</f>
        <v/>
      </c>
      <c r="W17" s="82" t="str">
        <f>IF(STLClientPriceCompute[[#This Row],[Item Level]]=1,STLClientPriceCompute[[#This Row],[Desc without indent]],"")</f>
        <v>Liner and Agency</v>
      </c>
      <c r="X17" s="82" t="str">
        <f>IF(STLClientPriceCompute[[#This Row],[Item Level]]=2,STLClientPriceCompute[[#This Row],[Desc without indent]],"")</f>
        <v/>
      </c>
      <c r="Y17" s="82" t="str">
        <f>IF(STLClientPriceCompute[[#This Row],[Item Level]]&gt;=3,_xlfn.CONCAT(REPT(" ",STLClientPriceCompute[[#This Row],[Item Level]]-3), STLClientPriceCompute[[#This Row],[Desc without indent]]),"")</f>
        <v/>
      </c>
      <c r="Z1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8" spans="2:26" x14ac:dyDescent="0.4">
      <c r="B18" s="15">
        <f>FIND(LEFT(TRIM(STLClientPriceCompute[[#This Row],[Description]]),1),STLClientPriceCompute[[#This Row],[Description]])-1</f>
        <v>2</v>
      </c>
      <c r="C18" s="19">
        <v>57</v>
      </c>
      <c r="D18" s="19"/>
      <c r="E18" s="19"/>
      <c r="F18" s="19" t="s">
        <v>111</v>
      </c>
      <c r="G18" s="19"/>
      <c r="H18" s="19" t="s">
        <v>87</v>
      </c>
      <c r="I18" s="20">
        <v>0</v>
      </c>
      <c r="J18" s="19"/>
      <c r="K18" s="19" t="s">
        <v>87</v>
      </c>
      <c r="L18" s="21">
        <v>0</v>
      </c>
      <c r="M18" s="19" t="s">
        <v>85</v>
      </c>
      <c r="N18" s="17">
        <f>_xlfn.IFNA(IF(STLClientPriceCompute[[#This Row],[Base Price (USD)]]="","", STLClientPriceCompute[[#This Row],[Base Price (USD)]]*VLOOKUP(_xlfn.CONCAT(STLClientPriceCompute[[#This Row],[Exchange Rate Group]],STLClientSpecificSettings[Currency]),ClientPriceExRate[[#All],[Ex-Currency]:[Exchange Rate]],2,FALSE)),"")</f>
        <v>0</v>
      </c>
      <c r="O1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8" s="22" cm="1">
        <f t="array" ref="P18">IF(STLClientSpecificSettings[Core Pack Excluded from Std volume discount]="EX",1, IF(STLClientSpecificSettings[Volume Price Adjustment]="HV", STLClientPriceCompute[[#This Row],[Category search for HV Base Discount]], STLClientSpecificSettings[Volume %]/100))</f>
        <v>1.5</v>
      </c>
      <c r="Q18" s="12" cm="1">
        <f t="array" ref="Q18">IF(ISBLANK(STLClientPriceCompute[[#This Row],[Category]]), 1, IF(ISNUMBER(SEARCH(CONCATENATE(STLClientPriceCompute[[#This Row],[Category]],"-",STLClientPriceCompute[[#This Row],[Code]]),STLClientSpecificSettings[VolumeBasedPriceItems])),STLClientSpecificSettings[Volume %]/100,1))</f>
        <v>1</v>
      </c>
      <c r="R18" s="12" cm="1">
        <f t="array" ref="R18">IF(STLClientSpecificSettings[Core Pack Excluded from Std volume discount]="UP",IF(OR(E18="USR",E18="RBU"),STLClientSpecificSettings[Core Uplift %]/100+1,1),1)</f>
        <v>1</v>
      </c>
      <c r="S1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8" s="26" t="str">
        <f>IF(STLClientPriceCompute[[#This Row],[Available]]="Y", "P",IF(STLClientPriceCompute[[#This Row],[Available]]="N","O",""))</f>
        <v/>
      </c>
      <c r="U18" s="85" t="str">
        <f>TRIM(STLClientPriceCompute[[#This Row],[Description]])</f>
        <v>General Liner/Ships Agent Engine</v>
      </c>
      <c r="V18" s="82" t="str">
        <f>IF(STLClientPriceCompute[[#This Row],[Item Level]]=0,STLClientPriceCompute[[#This Row],[Desc without indent]],"")</f>
        <v/>
      </c>
      <c r="W18" s="82" t="str">
        <f>IF(STLClientPriceCompute[[#This Row],[Item Level]]=1,STLClientPriceCompute[[#This Row],[Desc without indent]],"")</f>
        <v/>
      </c>
      <c r="X18" s="82" t="str">
        <f>IF(STLClientPriceCompute[[#This Row],[Item Level]]=2,STLClientPriceCompute[[#This Row],[Desc without indent]],"")</f>
        <v>General Liner/Ships Agent Engine</v>
      </c>
      <c r="Y18" s="82" t="str">
        <f>IF(STLClientPriceCompute[[#This Row],[Item Level]]&gt;=3,_xlfn.CONCAT(REPT(" ",STLClientPriceCompute[[#This Row],[Item Level]]-3), STLClientPriceCompute[[#This Row],[Desc without indent]]),"")</f>
        <v/>
      </c>
      <c r="Z1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9" spans="2:26" x14ac:dyDescent="0.4">
      <c r="B19" s="15">
        <f>FIND(LEFT(TRIM(STLClientPriceCompute[[#This Row],[Description]]),1),STLClientPriceCompute[[#This Row],[Description]])-1</f>
        <v>3</v>
      </c>
      <c r="C19" s="19">
        <v>58</v>
      </c>
      <c r="D19" s="19" t="s">
        <v>87</v>
      </c>
      <c r="E19" s="19" t="s">
        <v>112</v>
      </c>
      <c r="F19" s="19" t="s">
        <v>113</v>
      </c>
      <c r="G19" s="19"/>
      <c r="H19" s="19" t="s">
        <v>87</v>
      </c>
      <c r="I19" s="20">
        <v>3.4420899999999999</v>
      </c>
      <c r="J19" s="19" t="s">
        <v>95</v>
      </c>
      <c r="K19" s="19" t="s">
        <v>87</v>
      </c>
      <c r="L19" s="21">
        <v>34.420900000000003</v>
      </c>
      <c r="M19" s="19" t="s">
        <v>85</v>
      </c>
      <c r="N19" s="17">
        <f>_xlfn.IFNA(IF(STLClientPriceCompute[[#This Row],[Base Price (USD)]]="","", STLClientPriceCompute[[#This Row],[Base Price (USD)]]*VLOOKUP(_xlfn.CONCAT(STLClientPriceCompute[[#This Row],[Exchange Rate Group]],STLClientSpecificSettings[Currency]),ClientPriceExRate[[#All],[Ex-Currency]:[Exchange Rate]],2,FALSE)),"")</f>
        <v>4.8074294194</v>
      </c>
      <c r="O1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19" s="22" cm="1">
        <f t="array" ref="P19">IF(STLClientSpecificSettings[Core Pack Excluded from Std volume discount]="EX",1, IF(STLClientSpecificSettings[Volume Price Adjustment]="HV", STLClientPriceCompute[[#This Row],[Category search for HV Base Discount]], STLClientSpecificSettings[Volume %]/100))</f>
        <v>1.5</v>
      </c>
      <c r="Q19" s="12" cm="1">
        <f t="array" ref="Q19">IF(ISBLANK(STLClientPriceCompute[[#This Row],[Category]]), 1, IF(ISNUMBER(SEARCH(CONCATENATE(STLClientPriceCompute[[#This Row],[Category]],"-",STLClientPriceCompute[[#This Row],[Code]]),STLClientSpecificSettings[VolumeBasedPriceItems])),STLClientSpecificSettings[Volume %]/100,1))</f>
        <v>1</v>
      </c>
      <c r="R19" s="12" cm="1">
        <f t="array" ref="R19">IF(STLClientSpecificSettings[Core Pack Excluded from Std volume discount]="UP",IF(OR(E19="USR",E19="RBU"),STLClientSpecificSettings[Core Uplift %]/100+1,1),1)</f>
        <v>1</v>
      </c>
      <c r="S1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19" s="26" t="str">
        <f>IF(STLClientPriceCompute[[#This Row],[Available]]="Y", "P",IF(STLClientPriceCompute[[#This Row],[Available]]="N","O",""))</f>
        <v/>
      </c>
      <c r="U19" s="85" t="str">
        <f>TRIM(STLClientPriceCompute[[#This Row],[Description]])</f>
        <v>Booking/Bill of Lading</v>
      </c>
      <c r="V19" s="82" t="str">
        <f>IF(STLClientPriceCompute[[#This Row],[Item Level]]=0,STLClientPriceCompute[[#This Row],[Desc without indent]],"")</f>
        <v/>
      </c>
      <c r="W19" s="82" t="str">
        <f>IF(STLClientPriceCompute[[#This Row],[Item Level]]=1,STLClientPriceCompute[[#This Row],[Desc without indent]],"")</f>
        <v/>
      </c>
      <c r="X19" s="82" t="str">
        <f>IF(STLClientPriceCompute[[#This Row],[Item Level]]=2,STLClientPriceCompute[[#This Row],[Desc without indent]],"")</f>
        <v/>
      </c>
      <c r="Y19" s="82" t="str">
        <f>IF(STLClientPriceCompute[[#This Row],[Item Level]]&gt;=3,_xlfn.CONCAT(REPT(" ",STLClientPriceCompute[[#This Row],[Item Level]]-3), STLClientPriceCompute[[#This Row],[Desc without indent]]),"")</f>
        <v>Booking/Bill of Lading</v>
      </c>
      <c r="Z1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Job Header</v>
      </c>
    </row>
    <row r="20" spans="2:26" x14ac:dyDescent="0.4">
      <c r="B20" s="15">
        <f>FIND(LEFT(TRIM(STLClientPriceCompute[[#This Row],[Description]]),1),STLClientPriceCompute[[#This Row],[Description]])-1</f>
        <v>3</v>
      </c>
      <c r="C20" s="19">
        <v>59</v>
      </c>
      <c r="D20" s="19"/>
      <c r="E20" s="19"/>
      <c r="F20" s="19" t="s">
        <v>114</v>
      </c>
      <c r="G20" s="19"/>
      <c r="H20" s="19" t="s">
        <v>87</v>
      </c>
      <c r="I20" s="20">
        <v>0</v>
      </c>
      <c r="J20" s="19" t="s">
        <v>115</v>
      </c>
      <c r="K20" s="19" t="s">
        <v>87</v>
      </c>
      <c r="L20" s="21">
        <v>0</v>
      </c>
      <c r="M20" s="19" t="s">
        <v>85</v>
      </c>
      <c r="N20" s="17">
        <f>_xlfn.IFNA(IF(STLClientPriceCompute[[#This Row],[Base Price (USD)]]="","", STLClientPriceCompute[[#This Row],[Base Price (USD)]]*VLOOKUP(_xlfn.CONCAT(STLClientPriceCompute[[#This Row],[Exchange Rate Group]],STLClientSpecificSettings[Currency]),ClientPriceExRate[[#All],[Ex-Currency]:[Exchange Rate]],2,FALSE)),"")</f>
        <v>0</v>
      </c>
      <c r="O2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0" s="22" cm="1">
        <f t="array" ref="P20">IF(STLClientSpecificSettings[Core Pack Excluded from Std volume discount]="EX",1, IF(STLClientSpecificSettings[Volume Price Adjustment]="HV", STLClientPriceCompute[[#This Row],[Category search for HV Base Discount]], STLClientSpecificSettings[Volume %]/100))</f>
        <v>1.5</v>
      </c>
      <c r="Q20" s="12" cm="1">
        <f t="array" ref="Q20">IF(ISBLANK(STLClientPriceCompute[[#This Row],[Category]]), 1, IF(ISNUMBER(SEARCH(CONCATENATE(STLClientPriceCompute[[#This Row],[Category]],"-",STLClientPriceCompute[[#This Row],[Code]]),STLClientSpecificSettings[VolumeBasedPriceItems])),STLClientSpecificSettings[Volume %]/100,1))</f>
        <v>1</v>
      </c>
      <c r="R20" s="12" cm="1">
        <f t="array" ref="R20">IF(STLClientSpecificSettings[Core Pack Excluded from Std volume discount]="UP",IF(OR(E20="USR",E20="RBU"),STLClientSpecificSettings[Core Uplift %]/100+1,1),1)</f>
        <v>1</v>
      </c>
      <c r="S2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0" s="26" t="str">
        <f>IF(STLClientPriceCompute[[#This Row],[Available]]="Y", "P",IF(STLClientPriceCompute[[#This Row],[Available]]="N","O",""))</f>
        <v/>
      </c>
      <c r="U20" s="85" t="str">
        <f>TRIM(STLClientPriceCompute[[#This Row],[Description]])</f>
        <v>Container Manager</v>
      </c>
      <c r="V20" s="82" t="str">
        <f>IF(STLClientPriceCompute[[#This Row],[Item Level]]=0,STLClientPriceCompute[[#This Row],[Desc without indent]],"")</f>
        <v/>
      </c>
      <c r="W20" s="82" t="str">
        <f>IF(STLClientPriceCompute[[#This Row],[Item Level]]=1,STLClientPriceCompute[[#This Row],[Desc without indent]],"")</f>
        <v/>
      </c>
      <c r="X20" s="82" t="str">
        <f>IF(STLClientPriceCompute[[#This Row],[Item Level]]=2,STLClientPriceCompute[[#This Row],[Desc without indent]],"")</f>
        <v/>
      </c>
      <c r="Y20" s="82" t="str">
        <f>IF(STLClientPriceCompute[[#This Row],[Item Level]]&gt;=3,_xlfn.CONCAT(REPT(" ",STLClientPriceCompute[[#This Row],[Item Level]]-3), STLClientPriceCompute[[#This Row],[Desc without indent]]),"")</f>
        <v>Container Manager</v>
      </c>
      <c r="Z2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Container</v>
      </c>
    </row>
    <row r="21" spans="2:26" x14ac:dyDescent="0.4">
      <c r="B21" s="15">
        <f>FIND(LEFT(TRIM(STLClientPriceCompute[[#This Row],[Description]]),1),STLClientPriceCompute[[#This Row],[Description]])-1</f>
        <v>3</v>
      </c>
      <c r="C21" s="19">
        <v>60</v>
      </c>
      <c r="D21" s="19" t="s">
        <v>87</v>
      </c>
      <c r="E21" s="19" t="s">
        <v>116</v>
      </c>
      <c r="F21" s="19" t="s">
        <v>117</v>
      </c>
      <c r="G21" s="19"/>
      <c r="H21" s="19" t="s">
        <v>87</v>
      </c>
      <c r="I21" s="20">
        <v>0</v>
      </c>
      <c r="J21" s="19" t="s">
        <v>118</v>
      </c>
      <c r="K21" s="19" t="s">
        <v>87</v>
      </c>
      <c r="L21" s="21">
        <v>0</v>
      </c>
      <c r="M21" s="19" t="s">
        <v>85</v>
      </c>
      <c r="N21" s="17">
        <f>_xlfn.IFNA(IF(STLClientPriceCompute[[#This Row],[Base Price (USD)]]="","", STLClientPriceCompute[[#This Row],[Base Price (USD)]]*VLOOKUP(_xlfn.CONCAT(STLClientPriceCompute[[#This Row],[Exchange Rate Group]],STLClientSpecificSettings[Currency]),ClientPriceExRate[[#All],[Ex-Currency]:[Exchange Rate]],2,FALSE)),"")</f>
        <v>0</v>
      </c>
      <c r="O2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1" s="22" cm="1">
        <f t="array" ref="P21">IF(STLClientSpecificSettings[Core Pack Excluded from Std volume discount]="EX",1, IF(STLClientSpecificSettings[Volume Price Adjustment]="HV", STLClientPriceCompute[[#This Row],[Category search for HV Base Discount]], STLClientSpecificSettings[Volume %]/100))</f>
        <v>1.5</v>
      </c>
      <c r="Q21" s="12" cm="1">
        <f t="array" ref="Q21">IF(ISBLANK(STLClientPriceCompute[[#This Row],[Category]]), 1, IF(ISNUMBER(SEARCH(CONCATENATE(STLClientPriceCompute[[#This Row],[Category]],"-",STLClientPriceCompute[[#This Row],[Code]]),STLClientSpecificSettings[VolumeBasedPriceItems])),STLClientSpecificSettings[Volume %]/100,1))</f>
        <v>1</v>
      </c>
      <c r="R21" s="12" cm="1">
        <f t="array" ref="R21">IF(STLClientSpecificSettings[Core Pack Excluded from Std volume discount]="UP",IF(OR(E21="USR",E21="RBU"),STLClientSpecificSettings[Core Uplift %]/100+1,1),1)</f>
        <v>1</v>
      </c>
      <c r="S2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1" s="26" t="str">
        <f>IF(STLClientPriceCompute[[#This Row],[Available]]="Y", "P",IF(STLClientPriceCompute[[#This Row],[Available]]="N","O",""))</f>
        <v/>
      </c>
      <c r="U21" s="85" t="str">
        <f>TRIM(STLClientPriceCompute[[#This Row],[Description]])</f>
        <v>Container Detention</v>
      </c>
      <c r="V21" s="82" t="str">
        <f>IF(STLClientPriceCompute[[#This Row],[Item Level]]=0,STLClientPriceCompute[[#This Row],[Desc without indent]],"")</f>
        <v/>
      </c>
      <c r="W21" s="82" t="str">
        <f>IF(STLClientPriceCompute[[#This Row],[Item Level]]=1,STLClientPriceCompute[[#This Row],[Desc without indent]],"")</f>
        <v/>
      </c>
      <c r="X21" s="82" t="str">
        <f>IF(STLClientPriceCompute[[#This Row],[Item Level]]=2,STLClientPriceCompute[[#This Row],[Desc without indent]],"")</f>
        <v/>
      </c>
      <c r="Y21" s="82" t="str">
        <f>IF(STLClientPriceCompute[[#This Row],[Item Level]]&gt;=3,_xlfn.CONCAT(REPT(" ",STLClientPriceCompute[[#This Row],[Item Level]]-3), STLClientPriceCompute[[#This Row],[Desc without indent]]),"")</f>
        <v>Container Detention</v>
      </c>
      <c r="Z2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22" spans="2:26" x14ac:dyDescent="0.4">
      <c r="B22" s="15">
        <f>FIND(LEFT(TRIM(STLClientPriceCompute[[#This Row],[Description]]),1),STLClientPriceCompute[[#This Row],[Description]])-1</f>
        <v>2</v>
      </c>
      <c r="C22" s="19">
        <v>61</v>
      </c>
      <c r="D22" s="19"/>
      <c r="E22" s="19"/>
      <c r="F22" s="19" t="s">
        <v>119</v>
      </c>
      <c r="G22" s="19"/>
      <c r="H22" s="19" t="s">
        <v>87</v>
      </c>
      <c r="I22" s="20">
        <v>0</v>
      </c>
      <c r="J22" s="19"/>
      <c r="K22" s="19" t="s">
        <v>87</v>
      </c>
      <c r="L22" s="21">
        <v>0</v>
      </c>
      <c r="M22" s="19" t="s">
        <v>85</v>
      </c>
      <c r="N22" s="17">
        <f>_xlfn.IFNA(IF(STLClientPriceCompute[[#This Row],[Base Price (USD)]]="","", STLClientPriceCompute[[#This Row],[Base Price (USD)]]*VLOOKUP(_xlfn.CONCAT(STLClientPriceCompute[[#This Row],[Exchange Rate Group]],STLClientSpecificSettings[Currency]),ClientPriceExRate[[#All],[Ex-Currency]:[Exchange Rate]],2,FALSE)),"")</f>
        <v>0</v>
      </c>
      <c r="O2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2" s="22" cm="1">
        <f t="array" ref="P22">IF(STLClientSpecificSettings[Core Pack Excluded from Std volume discount]="EX",1, IF(STLClientSpecificSettings[Volume Price Adjustment]="HV", STLClientPriceCompute[[#This Row],[Category search for HV Base Discount]], STLClientSpecificSettings[Volume %]/100))</f>
        <v>1.5</v>
      </c>
      <c r="Q22" s="12" cm="1">
        <f t="array" ref="Q22">IF(ISBLANK(STLClientPriceCompute[[#This Row],[Category]]), 1, IF(ISNUMBER(SEARCH(CONCATENATE(STLClientPriceCompute[[#This Row],[Category]],"-",STLClientPriceCompute[[#This Row],[Code]]),STLClientSpecificSettings[VolumeBasedPriceItems])),STLClientSpecificSettings[Volume %]/100,1))</f>
        <v>1</v>
      </c>
      <c r="R22" s="12" cm="1">
        <f t="array" ref="R22">IF(STLClientSpecificSettings[Core Pack Excluded from Std volume discount]="UP",IF(OR(E22="USR",E22="RBU"),STLClientSpecificSettings[Core Uplift %]/100+1,1),1)</f>
        <v>1</v>
      </c>
      <c r="S2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2" s="26" t="str">
        <f>IF(STLClientPriceCompute[[#This Row],[Available]]="Y", "P",IF(STLClientPriceCompute[[#This Row],[Available]]="N","O",""))</f>
        <v/>
      </c>
      <c r="U22" s="85" t="str">
        <f>TRIM(STLClientPriceCompute[[#This Row],[Description]])</f>
        <v>Tramp Liner</v>
      </c>
      <c r="V22" s="82" t="str">
        <f>IF(STLClientPriceCompute[[#This Row],[Item Level]]=0,STLClientPriceCompute[[#This Row],[Desc without indent]],"")</f>
        <v/>
      </c>
      <c r="W22" s="82" t="str">
        <f>IF(STLClientPriceCompute[[#This Row],[Item Level]]=1,STLClientPriceCompute[[#This Row],[Desc without indent]],"")</f>
        <v/>
      </c>
      <c r="X22" s="82" t="str">
        <f>IF(STLClientPriceCompute[[#This Row],[Item Level]]=2,STLClientPriceCompute[[#This Row],[Desc without indent]],"")</f>
        <v>Tramp Liner</v>
      </c>
      <c r="Y22" s="82" t="str">
        <f>IF(STLClientPriceCompute[[#This Row],[Item Level]]&gt;=3,_xlfn.CONCAT(REPT(" ",STLClientPriceCompute[[#This Row],[Item Level]]-3), STLClientPriceCompute[[#This Row],[Desc without indent]]),"")</f>
        <v/>
      </c>
      <c r="Z2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23" spans="2:26" x14ac:dyDescent="0.4">
      <c r="B23" s="15">
        <f>FIND(LEFT(TRIM(STLClientPriceCompute[[#This Row],[Description]]),1),STLClientPriceCompute[[#This Row],[Description]])-1</f>
        <v>3</v>
      </c>
      <c r="C23" s="19">
        <v>62</v>
      </c>
      <c r="D23" s="19"/>
      <c r="E23" s="19"/>
      <c r="F23" s="19" t="s">
        <v>120</v>
      </c>
      <c r="G23" s="19"/>
      <c r="H23" s="19" t="s">
        <v>87</v>
      </c>
      <c r="I23" s="20">
        <v>114.736335</v>
      </c>
      <c r="J23" s="19" t="s">
        <v>121</v>
      </c>
      <c r="K23" s="19" t="s">
        <v>87</v>
      </c>
      <c r="L23" s="21">
        <v>1147.3633500000001</v>
      </c>
      <c r="M23" s="19" t="s">
        <v>85</v>
      </c>
      <c r="N23" s="17">
        <f>_xlfn.IFNA(IF(STLClientPriceCompute[[#This Row],[Base Price (USD)]]="","", STLClientPriceCompute[[#This Row],[Base Price (USD)]]*VLOOKUP(_xlfn.CONCAT(STLClientPriceCompute[[#This Row],[Exchange Rate Group]],STLClientSpecificSettings[Currency]),ClientPriceExRate[[#All],[Ex-Currency]:[Exchange Rate]],2,FALSE)),"")</f>
        <v>160.2476496411</v>
      </c>
      <c r="O2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240.37147446165</v>
      </c>
      <c r="P23" s="22" cm="1">
        <f t="array" ref="P23">IF(STLClientSpecificSettings[Core Pack Excluded from Std volume discount]="EX",1, IF(STLClientSpecificSettings[Volume Price Adjustment]="HV", STLClientPriceCompute[[#This Row],[Category search for HV Base Discount]], STLClientSpecificSettings[Volume %]/100))</f>
        <v>1.5</v>
      </c>
      <c r="Q23" s="12" cm="1">
        <f t="array" ref="Q23">IF(ISBLANK(STLClientPriceCompute[[#This Row],[Category]]), 1, IF(ISNUMBER(SEARCH(CONCATENATE(STLClientPriceCompute[[#This Row],[Category]],"-",STLClientPriceCompute[[#This Row],[Code]]),STLClientSpecificSettings[VolumeBasedPriceItems])),STLClientSpecificSettings[Volume %]/100,1))</f>
        <v>1</v>
      </c>
      <c r="R23" s="12" cm="1">
        <f t="array" ref="R23">IF(STLClientSpecificSettings[Core Pack Excluded from Std volume discount]="UP",IF(OR(E23="USR",E23="RBU"),STLClientSpecificSettings[Core Uplift %]/100+1,1),1)</f>
        <v>1</v>
      </c>
      <c r="S2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1721.0450250000001</v>
      </c>
      <c r="T23" s="26" t="str">
        <f>IF(STLClientPriceCompute[[#This Row],[Available]]="Y", "P",IF(STLClientPriceCompute[[#This Row],[Available]]="N","O",""))</f>
        <v/>
      </c>
      <c r="U23" s="85" t="str">
        <f>TRIM(STLClientPriceCompute[[#This Row],[Description]])</f>
        <v>Tramp Shipping Functions</v>
      </c>
      <c r="V23" s="82" t="str">
        <f>IF(STLClientPriceCompute[[#This Row],[Item Level]]=0,STLClientPriceCompute[[#This Row],[Desc without indent]],"")</f>
        <v/>
      </c>
      <c r="W23" s="82" t="str">
        <f>IF(STLClientPriceCompute[[#This Row],[Item Level]]=1,STLClientPriceCompute[[#This Row],[Desc without indent]],"")</f>
        <v/>
      </c>
      <c r="X23" s="82" t="str">
        <f>IF(STLClientPriceCompute[[#This Row],[Item Level]]=2,STLClientPriceCompute[[#This Row],[Desc without indent]],"")</f>
        <v/>
      </c>
      <c r="Y23" s="82" t="str">
        <f>IF(STLClientPriceCompute[[#This Row],[Item Level]]&gt;=3,_xlfn.CONCAT(REPT(" ",STLClientPriceCompute[[#This Row],[Item Level]]-3), STLClientPriceCompute[[#This Row],[Desc without indent]]),"")</f>
        <v>Tramp Shipping Functions</v>
      </c>
      <c r="Z2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Vessel Voyage</v>
      </c>
    </row>
    <row r="24" spans="2:26" x14ac:dyDescent="0.4">
      <c r="B24" s="15">
        <f>FIND(LEFT(TRIM(STLClientPriceCompute[[#This Row],[Description]]),1),STLClientPriceCompute[[#This Row],[Description]])-1</f>
        <v>2</v>
      </c>
      <c r="C24" s="19">
        <v>63</v>
      </c>
      <c r="D24" s="19"/>
      <c r="E24" s="19"/>
      <c r="F24" s="19" t="s">
        <v>122</v>
      </c>
      <c r="G24" s="19"/>
      <c r="H24" s="19" t="s">
        <v>87</v>
      </c>
      <c r="I24" s="20">
        <v>0</v>
      </c>
      <c r="J24" s="19"/>
      <c r="K24" s="19" t="s">
        <v>87</v>
      </c>
      <c r="L24" s="21">
        <v>0</v>
      </c>
      <c r="M24" s="19" t="s">
        <v>85</v>
      </c>
      <c r="N24" s="17">
        <f>_xlfn.IFNA(IF(STLClientPriceCompute[[#This Row],[Base Price (USD)]]="","", STLClientPriceCompute[[#This Row],[Base Price (USD)]]*VLOOKUP(_xlfn.CONCAT(STLClientPriceCompute[[#This Row],[Exchange Rate Group]],STLClientSpecificSettings[Currency]),ClientPriceExRate[[#All],[Ex-Currency]:[Exchange Rate]],2,FALSE)),"")</f>
        <v>0</v>
      </c>
      <c r="O2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4" s="22" cm="1">
        <f t="array" ref="P24">IF(STLClientSpecificSettings[Core Pack Excluded from Std volume discount]="EX",1, IF(STLClientSpecificSettings[Volume Price Adjustment]="HV", STLClientPriceCompute[[#This Row],[Category search for HV Base Discount]], STLClientSpecificSettings[Volume %]/100))</f>
        <v>1.5</v>
      </c>
      <c r="Q24" s="12" cm="1">
        <f t="array" ref="Q24">IF(ISBLANK(STLClientPriceCompute[[#This Row],[Category]]), 1, IF(ISNUMBER(SEARCH(CONCATENATE(STLClientPriceCompute[[#This Row],[Category]],"-",STLClientPriceCompute[[#This Row],[Code]]),STLClientSpecificSettings[VolumeBasedPriceItems])),STLClientSpecificSettings[Volume %]/100,1))</f>
        <v>1</v>
      </c>
      <c r="R24" s="12" cm="1">
        <f t="array" ref="R24">IF(STLClientSpecificSettings[Core Pack Excluded from Std volume discount]="UP",IF(OR(E24="USR",E24="RBU"),STLClientSpecificSettings[Core Uplift %]/100+1,1),1)</f>
        <v>1</v>
      </c>
      <c r="S2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4" s="26" t="str">
        <f>IF(STLClientPriceCompute[[#This Row],[Available]]="Y", "P",IF(STLClientPriceCompute[[#This Row],[Available]]="N","O",""))</f>
        <v/>
      </c>
      <c r="U24" s="85" t="str">
        <f>TRIM(STLClientPriceCompute[[#This Row],[Description]])</f>
        <v>Principal Accounting</v>
      </c>
      <c r="V24" s="82" t="str">
        <f>IF(STLClientPriceCompute[[#This Row],[Item Level]]=0,STLClientPriceCompute[[#This Row],[Desc without indent]],"")</f>
        <v/>
      </c>
      <c r="W24" s="82" t="str">
        <f>IF(STLClientPriceCompute[[#This Row],[Item Level]]=1,STLClientPriceCompute[[#This Row],[Desc without indent]],"")</f>
        <v/>
      </c>
      <c r="X24" s="82" t="str">
        <f>IF(STLClientPriceCompute[[#This Row],[Item Level]]=2,STLClientPriceCompute[[#This Row],[Desc without indent]],"")</f>
        <v>Principal Accounting</v>
      </c>
      <c r="Y24" s="82" t="str">
        <f>IF(STLClientPriceCompute[[#This Row],[Item Level]]&gt;=3,_xlfn.CONCAT(REPT(" ",STLClientPriceCompute[[#This Row],[Item Level]]-3), STLClientPriceCompute[[#This Row],[Desc without indent]]),"")</f>
        <v/>
      </c>
      <c r="Z2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25" spans="2:26" x14ac:dyDescent="0.4">
      <c r="B25" s="15">
        <f>FIND(LEFT(TRIM(STLClientPriceCompute[[#This Row],[Description]]),1),STLClientPriceCompute[[#This Row],[Description]])-1</f>
        <v>3</v>
      </c>
      <c r="C25" s="19">
        <v>64</v>
      </c>
      <c r="D25" s="19"/>
      <c r="E25" s="19"/>
      <c r="F25" s="19" t="s">
        <v>123</v>
      </c>
      <c r="G25" s="19"/>
      <c r="H25" s="19" t="s">
        <v>87</v>
      </c>
      <c r="I25" s="20">
        <v>0</v>
      </c>
      <c r="J25" s="19" t="s">
        <v>118</v>
      </c>
      <c r="K25" s="19" t="s">
        <v>87</v>
      </c>
      <c r="L25" s="21">
        <v>0</v>
      </c>
      <c r="M25" s="19" t="s">
        <v>85</v>
      </c>
      <c r="N25" s="17">
        <f>_xlfn.IFNA(IF(STLClientPriceCompute[[#This Row],[Base Price (USD)]]="","", STLClientPriceCompute[[#This Row],[Base Price (USD)]]*VLOOKUP(_xlfn.CONCAT(STLClientPriceCompute[[#This Row],[Exchange Rate Group]],STLClientSpecificSettings[Currency]),ClientPriceExRate[[#All],[Ex-Currency]:[Exchange Rate]],2,FALSE)),"")</f>
        <v>0</v>
      </c>
      <c r="O2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5" s="22" cm="1">
        <f t="array" ref="P25">IF(STLClientSpecificSettings[Core Pack Excluded from Std volume discount]="EX",1, IF(STLClientSpecificSettings[Volume Price Adjustment]="HV", STLClientPriceCompute[[#This Row],[Category search for HV Base Discount]], STLClientSpecificSettings[Volume %]/100))</f>
        <v>1.5</v>
      </c>
      <c r="Q25" s="12" cm="1">
        <f t="array" ref="Q25">IF(ISBLANK(STLClientPriceCompute[[#This Row],[Category]]), 1, IF(ISNUMBER(SEARCH(CONCATENATE(STLClientPriceCompute[[#This Row],[Category]],"-",STLClientPriceCompute[[#This Row],[Code]]),STLClientSpecificSettings[VolumeBasedPriceItems])),STLClientSpecificSettings[Volume %]/100,1))</f>
        <v>1</v>
      </c>
      <c r="R25" s="12" cm="1">
        <f t="array" ref="R25">IF(STLClientSpecificSettings[Core Pack Excluded from Std volume discount]="UP",IF(OR(E25="USR",E25="RBU"),STLClientSpecificSettings[Core Uplift %]/100+1,1),1)</f>
        <v>1</v>
      </c>
      <c r="S2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5" s="26" t="str">
        <f>IF(STLClientPriceCompute[[#This Row],[Available]]="Y", "P",IF(STLClientPriceCompute[[#This Row],[Available]]="N","O",""))</f>
        <v/>
      </c>
      <c r="U25" s="85" t="str">
        <f>TRIM(STLClientPriceCompute[[#This Row],[Description]])</f>
        <v>Voyage Accounting</v>
      </c>
      <c r="V25" s="82" t="str">
        <f>IF(STLClientPriceCompute[[#This Row],[Item Level]]=0,STLClientPriceCompute[[#This Row],[Desc without indent]],"")</f>
        <v/>
      </c>
      <c r="W25" s="82" t="str">
        <f>IF(STLClientPriceCompute[[#This Row],[Item Level]]=1,STLClientPriceCompute[[#This Row],[Desc without indent]],"")</f>
        <v/>
      </c>
      <c r="X25" s="82" t="str">
        <f>IF(STLClientPriceCompute[[#This Row],[Item Level]]=2,STLClientPriceCompute[[#This Row],[Desc without indent]],"")</f>
        <v/>
      </c>
      <c r="Y25" s="82" t="str">
        <f>IF(STLClientPriceCompute[[#This Row],[Item Level]]&gt;=3,_xlfn.CONCAT(REPT(" ",STLClientPriceCompute[[#This Row],[Item Level]]-3), STLClientPriceCompute[[#This Row],[Desc without indent]]),"")</f>
        <v>Voyage Accounting</v>
      </c>
      <c r="Z2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26" spans="2:26" x14ac:dyDescent="0.4">
      <c r="B26" s="15">
        <f>FIND(LEFT(TRIM(STLClientPriceCompute[[#This Row],[Description]]),1),STLClientPriceCompute[[#This Row],[Description]])-1</f>
        <v>3</v>
      </c>
      <c r="C26" s="19">
        <v>65</v>
      </c>
      <c r="D26" s="19"/>
      <c r="E26" s="19"/>
      <c r="F26" s="19" t="s">
        <v>124</v>
      </c>
      <c r="G26" s="19"/>
      <c r="H26" s="19" t="s">
        <v>87</v>
      </c>
      <c r="I26" s="20">
        <v>0</v>
      </c>
      <c r="J26" s="19" t="s">
        <v>118</v>
      </c>
      <c r="K26" s="19" t="s">
        <v>87</v>
      </c>
      <c r="L26" s="21">
        <v>0</v>
      </c>
      <c r="M26" s="19" t="s">
        <v>85</v>
      </c>
      <c r="N26" s="17">
        <f>_xlfn.IFNA(IF(STLClientPriceCompute[[#This Row],[Base Price (USD)]]="","", STLClientPriceCompute[[#This Row],[Base Price (USD)]]*VLOOKUP(_xlfn.CONCAT(STLClientPriceCompute[[#This Row],[Exchange Rate Group]],STLClientSpecificSettings[Currency]),ClientPriceExRate[[#All],[Ex-Currency]:[Exchange Rate]],2,FALSE)),"")</f>
        <v>0</v>
      </c>
      <c r="O2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6" s="22" cm="1">
        <f t="array" ref="P26">IF(STLClientSpecificSettings[Core Pack Excluded from Std volume discount]="EX",1, IF(STLClientSpecificSettings[Volume Price Adjustment]="HV", STLClientPriceCompute[[#This Row],[Category search for HV Base Discount]], STLClientSpecificSettings[Volume %]/100))</f>
        <v>1.5</v>
      </c>
      <c r="Q26" s="12" cm="1">
        <f t="array" ref="Q26">IF(ISBLANK(STLClientPriceCompute[[#This Row],[Category]]), 1, IF(ISNUMBER(SEARCH(CONCATENATE(STLClientPriceCompute[[#This Row],[Category]],"-",STLClientPriceCompute[[#This Row],[Code]]),STLClientSpecificSettings[VolumeBasedPriceItems])),STLClientSpecificSettings[Volume %]/100,1))</f>
        <v>1</v>
      </c>
      <c r="R26" s="12" cm="1">
        <f t="array" ref="R26">IF(STLClientSpecificSettings[Core Pack Excluded from Std volume discount]="UP",IF(OR(E26="USR",E26="RBU"),STLClientSpecificSettings[Core Uplift %]/100+1,1),1)</f>
        <v>1</v>
      </c>
      <c r="S2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6" s="26" t="str">
        <f>IF(STLClientPriceCompute[[#This Row],[Available]]="Y", "P",IF(STLClientPriceCompute[[#This Row],[Available]]="N","O",""))</f>
        <v/>
      </c>
      <c r="U26" s="85" t="str">
        <f>TRIM(STLClientPriceCompute[[#This Row],[Description]])</f>
        <v>Sundry Charges</v>
      </c>
      <c r="V26" s="82" t="str">
        <f>IF(STLClientPriceCompute[[#This Row],[Item Level]]=0,STLClientPriceCompute[[#This Row],[Desc without indent]],"")</f>
        <v/>
      </c>
      <c r="W26" s="82" t="str">
        <f>IF(STLClientPriceCompute[[#This Row],[Item Level]]=1,STLClientPriceCompute[[#This Row],[Desc without indent]],"")</f>
        <v/>
      </c>
      <c r="X26" s="82" t="str">
        <f>IF(STLClientPriceCompute[[#This Row],[Item Level]]=2,STLClientPriceCompute[[#This Row],[Desc without indent]],"")</f>
        <v/>
      </c>
      <c r="Y26" s="82" t="str">
        <f>IF(STLClientPriceCompute[[#This Row],[Item Level]]&gt;=3,_xlfn.CONCAT(REPT(" ",STLClientPriceCompute[[#This Row],[Item Level]]-3), STLClientPriceCompute[[#This Row],[Desc without indent]]),"")</f>
        <v>Sundry Charges</v>
      </c>
      <c r="Z2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27" spans="2:26" x14ac:dyDescent="0.4">
      <c r="B27" s="15">
        <f>FIND(LEFT(TRIM(STLClientPriceCompute[[#This Row],[Description]]),1),STLClientPriceCompute[[#This Row],[Description]])-1</f>
        <v>1</v>
      </c>
      <c r="C27" s="19">
        <v>66</v>
      </c>
      <c r="D27" s="19"/>
      <c r="E27" s="19"/>
      <c r="F27" s="19" t="s">
        <v>125</v>
      </c>
      <c r="G27" s="19"/>
      <c r="H27" s="19" t="s">
        <v>87</v>
      </c>
      <c r="I27" s="20">
        <v>0</v>
      </c>
      <c r="J27" s="19"/>
      <c r="K27" s="19" t="s">
        <v>87</v>
      </c>
      <c r="L27" s="21">
        <v>0</v>
      </c>
      <c r="M27" s="19" t="s">
        <v>85</v>
      </c>
      <c r="N27" s="17">
        <f>_xlfn.IFNA(IF(STLClientPriceCompute[[#This Row],[Base Price (USD)]]="","", STLClientPriceCompute[[#This Row],[Base Price (USD)]]*VLOOKUP(_xlfn.CONCAT(STLClientPriceCompute[[#This Row],[Exchange Rate Group]],STLClientSpecificSettings[Currency]),ClientPriceExRate[[#All],[Ex-Currency]:[Exchange Rate]],2,FALSE)),"")</f>
        <v>0</v>
      </c>
      <c r="O2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7" s="22" cm="1">
        <f t="array" ref="P27">IF(STLClientSpecificSettings[Core Pack Excluded from Std volume discount]="EX",1, IF(STLClientSpecificSettings[Volume Price Adjustment]="HV", STLClientPriceCompute[[#This Row],[Category search for HV Base Discount]], STLClientSpecificSettings[Volume %]/100))</f>
        <v>1.5</v>
      </c>
      <c r="Q27" s="12" cm="1">
        <f t="array" ref="Q27">IF(ISBLANK(STLClientPriceCompute[[#This Row],[Category]]), 1, IF(ISNUMBER(SEARCH(CONCATENATE(STLClientPriceCompute[[#This Row],[Category]],"-",STLClientPriceCompute[[#This Row],[Code]]),STLClientSpecificSettings[VolumeBasedPriceItems])),STLClientSpecificSettings[Volume %]/100,1))</f>
        <v>1</v>
      </c>
      <c r="R27" s="12" cm="1">
        <f t="array" ref="R27">IF(STLClientSpecificSettings[Core Pack Excluded from Std volume discount]="UP",IF(OR(E27="USR",E27="RBU"),STLClientSpecificSettings[Core Uplift %]/100+1,1),1)</f>
        <v>1</v>
      </c>
      <c r="S2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7" s="26" t="str">
        <f>IF(STLClientPriceCompute[[#This Row],[Available]]="Y", "P",IF(STLClientPriceCompute[[#This Row],[Available]]="N","O",""))</f>
        <v/>
      </c>
      <c r="U27" s="85" t="str">
        <f>TRIM(STLClientPriceCompute[[#This Row],[Description]])</f>
        <v>Land Transport (Road / Rail)</v>
      </c>
      <c r="V27" s="82" t="str">
        <f>IF(STLClientPriceCompute[[#This Row],[Item Level]]=0,STLClientPriceCompute[[#This Row],[Desc without indent]],"")</f>
        <v/>
      </c>
      <c r="W27" s="82" t="str">
        <f>IF(STLClientPriceCompute[[#This Row],[Item Level]]=1,STLClientPriceCompute[[#This Row],[Desc without indent]],"")</f>
        <v>Land Transport (Road / Rail)</v>
      </c>
      <c r="X27" s="82" t="str">
        <f>IF(STLClientPriceCompute[[#This Row],[Item Level]]=2,STLClientPriceCompute[[#This Row],[Desc without indent]],"")</f>
        <v/>
      </c>
      <c r="Y27" s="82" t="str">
        <f>IF(STLClientPriceCompute[[#This Row],[Item Level]]&gt;=3,_xlfn.CONCAT(REPT(" ",STLClientPriceCompute[[#This Row],[Item Level]]-3), STLClientPriceCompute[[#This Row],[Desc without indent]]),"")</f>
        <v/>
      </c>
      <c r="Z2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28" spans="2:26" x14ac:dyDescent="0.4">
      <c r="B28" s="15">
        <f>FIND(LEFT(TRIM(STLClientPriceCompute[[#This Row],[Description]]),1),STLClientPriceCompute[[#This Row],[Description]])-1</f>
        <v>2</v>
      </c>
      <c r="C28" s="19">
        <v>67</v>
      </c>
      <c r="D28" s="19"/>
      <c r="E28" s="19"/>
      <c r="F28" s="19" t="s">
        <v>126</v>
      </c>
      <c r="G28" s="19"/>
      <c r="H28" s="19" t="s">
        <v>87</v>
      </c>
      <c r="I28" s="20">
        <v>0</v>
      </c>
      <c r="J28" s="19"/>
      <c r="K28" s="19" t="s">
        <v>87</v>
      </c>
      <c r="L28" s="21">
        <v>0</v>
      </c>
      <c r="M28" s="19" t="s">
        <v>85</v>
      </c>
      <c r="N28" s="17">
        <f>_xlfn.IFNA(IF(STLClientPriceCompute[[#This Row],[Base Price (USD)]]="","", STLClientPriceCompute[[#This Row],[Base Price (USD)]]*VLOOKUP(_xlfn.CONCAT(STLClientPriceCompute[[#This Row],[Exchange Rate Group]],STLClientSpecificSettings[Currency]),ClientPriceExRate[[#All],[Ex-Currency]:[Exchange Rate]],2,FALSE)),"")</f>
        <v>0</v>
      </c>
      <c r="O2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28" s="22" cm="1">
        <f t="array" ref="P28">IF(STLClientSpecificSettings[Core Pack Excluded from Std volume discount]="EX",1, IF(STLClientSpecificSettings[Volume Price Adjustment]="HV", STLClientPriceCompute[[#This Row],[Category search for HV Base Discount]], STLClientSpecificSettings[Volume %]/100))</f>
        <v>1.5</v>
      </c>
      <c r="Q28" s="12" cm="1">
        <f t="array" ref="Q28">IF(ISBLANK(STLClientPriceCompute[[#This Row],[Category]]), 1, IF(ISNUMBER(SEARCH(CONCATENATE(STLClientPriceCompute[[#This Row],[Category]],"-",STLClientPriceCompute[[#This Row],[Code]]),STLClientSpecificSettings[VolumeBasedPriceItems])),STLClientSpecificSettings[Volume %]/100,1))</f>
        <v>1</v>
      </c>
      <c r="R28" s="12" cm="1">
        <f t="array" ref="R28">IF(STLClientSpecificSettings[Core Pack Excluded from Std volume discount]="UP",IF(OR(E28="USR",E28="RBU"),STLClientSpecificSettings[Core Uplift %]/100+1,1),1)</f>
        <v>1</v>
      </c>
      <c r="S2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28" s="26" t="str">
        <f>IF(STLClientPriceCompute[[#This Row],[Available]]="Y", "P",IF(STLClientPriceCompute[[#This Row],[Available]]="N","O",""))</f>
        <v/>
      </c>
      <c r="U28" s="85" t="str">
        <f>TRIM(STLClientPriceCompute[[#This Row],[Description]])</f>
        <v>Land Transport System</v>
      </c>
      <c r="V28" s="82" t="str">
        <f>IF(STLClientPriceCompute[[#This Row],[Item Level]]=0,STLClientPriceCompute[[#This Row],[Desc without indent]],"")</f>
        <v/>
      </c>
      <c r="W28" s="82" t="str">
        <f>IF(STLClientPriceCompute[[#This Row],[Item Level]]=1,STLClientPriceCompute[[#This Row],[Desc without indent]],"")</f>
        <v/>
      </c>
      <c r="X28" s="82" t="str">
        <f>IF(STLClientPriceCompute[[#This Row],[Item Level]]=2,STLClientPriceCompute[[#This Row],[Desc without indent]],"")</f>
        <v>Land Transport System</v>
      </c>
      <c r="Y28" s="82" t="str">
        <f>IF(STLClientPriceCompute[[#This Row],[Item Level]]&gt;=3,_xlfn.CONCAT(REPT(" ",STLClientPriceCompute[[#This Row],[Item Level]]-3), STLClientPriceCompute[[#This Row],[Desc without indent]]),"")</f>
        <v/>
      </c>
      <c r="Z2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29" spans="2:26" x14ac:dyDescent="0.4">
      <c r="B29" s="15">
        <f>FIND(LEFT(TRIM(STLClientPriceCompute[[#This Row],[Description]]),1),STLClientPriceCompute[[#This Row],[Description]])-1</f>
        <v>3</v>
      </c>
      <c r="C29" s="19">
        <v>68</v>
      </c>
      <c r="D29" s="19" t="s">
        <v>87</v>
      </c>
      <c r="E29" s="19" t="s">
        <v>127</v>
      </c>
      <c r="F29" s="19" t="s">
        <v>128</v>
      </c>
      <c r="G29" s="19"/>
      <c r="H29" s="19" t="s">
        <v>87</v>
      </c>
      <c r="I29" s="20">
        <v>1.1473629999999999</v>
      </c>
      <c r="J29" s="19" t="s">
        <v>107</v>
      </c>
      <c r="K29" s="19" t="s">
        <v>87</v>
      </c>
      <c r="L29" s="21">
        <v>11.47363</v>
      </c>
      <c r="M29" s="19" t="s">
        <v>85</v>
      </c>
      <c r="N29" s="17">
        <f>_xlfn.IFNA(IF(STLClientPriceCompute[[#This Row],[Base Price (USD)]]="","", STLClientPriceCompute[[#This Row],[Base Price (USD)]]*VLOOKUP(_xlfn.CONCAT(STLClientPriceCompute[[#This Row],[Exchange Rate Group]],STLClientSpecificSettings[Currency]),ClientPriceExRate[[#All],[Ex-Currency]:[Exchange Rate]],2,FALSE)),"")</f>
        <v>1.60247600758</v>
      </c>
      <c r="O2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2.40371401137</v>
      </c>
      <c r="P29" s="22" cm="1">
        <f t="array" ref="P29">IF(STLClientSpecificSettings[Core Pack Excluded from Std volume discount]="EX",1, IF(STLClientSpecificSettings[Volume Price Adjustment]="HV", STLClientPriceCompute[[#This Row],[Category search for HV Base Discount]], STLClientSpecificSettings[Volume %]/100))</f>
        <v>1.5</v>
      </c>
      <c r="Q29" s="12" cm="1">
        <f t="array" ref="Q29">IF(ISBLANK(STLClientPriceCompute[[#This Row],[Category]]), 1, IF(ISNUMBER(SEARCH(CONCATENATE(STLClientPriceCompute[[#This Row],[Category]],"-",STLClientPriceCompute[[#This Row],[Code]]),STLClientSpecificSettings[VolumeBasedPriceItems])),STLClientSpecificSettings[Volume %]/100,1))</f>
        <v>1</v>
      </c>
      <c r="R29" s="12" cm="1">
        <f t="array" ref="R29">IF(STLClientSpecificSettings[Core Pack Excluded from Std volume discount]="UP",IF(OR(E29="USR",E29="RBU"),STLClientSpecificSettings[Core Uplift %]/100+1,1),1)</f>
        <v>1</v>
      </c>
      <c r="S2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17.210445</v>
      </c>
      <c r="T29" s="26" t="str">
        <f>IF(STLClientPriceCompute[[#This Row],[Available]]="Y", "P",IF(STLClientPriceCompute[[#This Row],[Available]]="N","O",""))</f>
        <v/>
      </c>
      <c r="U29" s="85" t="str">
        <f>TRIM(STLClientPriceCompute[[#This Row],[Description]])</f>
        <v>LTL/General Freight (PUD + Line Haul)</v>
      </c>
      <c r="V29" s="82" t="str">
        <f>IF(STLClientPriceCompute[[#This Row],[Item Level]]=0,STLClientPriceCompute[[#This Row],[Desc without indent]],"")</f>
        <v/>
      </c>
      <c r="W29" s="82" t="str">
        <f>IF(STLClientPriceCompute[[#This Row],[Item Level]]=1,STLClientPriceCompute[[#This Row],[Desc without indent]],"")</f>
        <v/>
      </c>
      <c r="X29" s="82" t="str">
        <f>IF(STLClientPriceCompute[[#This Row],[Item Level]]=2,STLClientPriceCompute[[#This Row],[Desc without indent]],"")</f>
        <v/>
      </c>
      <c r="Y29" s="82" t="str">
        <f>IF(STLClientPriceCompute[[#This Row],[Item Level]]&gt;=3,_xlfn.CONCAT(REPT(" ",STLClientPriceCompute[[#This Row],[Item Level]]-3), STLClientPriceCompute[[#This Row],[Desc without indent]]),"")</f>
        <v>LTL/General Freight (PUD + Line Haul)</v>
      </c>
      <c r="Z2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Consignment</v>
      </c>
    </row>
    <row r="30" spans="2:26" x14ac:dyDescent="0.4">
      <c r="B30" s="15">
        <f>FIND(LEFT(TRIM(STLClientPriceCompute[[#This Row],[Description]]),1),STLClientPriceCompute[[#This Row],[Description]])-1</f>
        <v>3</v>
      </c>
      <c r="C30" s="19">
        <v>69</v>
      </c>
      <c r="D30" s="19"/>
      <c r="E30" s="19"/>
      <c r="F30" s="19" t="s">
        <v>129</v>
      </c>
      <c r="G30" s="19"/>
      <c r="H30" s="19" t="s">
        <v>87</v>
      </c>
      <c r="I30" s="20">
        <v>4.5894529999999998</v>
      </c>
      <c r="J30" s="19" t="s">
        <v>130</v>
      </c>
      <c r="K30" s="19" t="s">
        <v>87</v>
      </c>
      <c r="L30" s="21">
        <v>45.894530000000003</v>
      </c>
      <c r="M30" s="19" t="s">
        <v>85</v>
      </c>
      <c r="N30" s="17">
        <f>_xlfn.IFNA(IF(STLClientPriceCompute[[#This Row],[Base Price (USD)]]="","", STLClientPriceCompute[[#This Row],[Base Price (USD)]]*VLOOKUP(_xlfn.CONCAT(STLClientPriceCompute[[#This Row],[Exchange Rate Group]],STLClientSpecificSettings[Currency]),ClientPriceExRate[[#All],[Ex-Currency]:[Exchange Rate]],2,FALSE)),"")</f>
        <v>6.40990542698</v>
      </c>
      <c r="O3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9.61485814047</v>
      </c>
      <c r="P30" s="22" cm="1">
        <f t="array" ref="P30">IF(STLClientSpecificSettings[Core Pack Excluded from Std volume discount]="EX",1, IF(STLClientSpecificSettings[Volume Price Adjustment]="HV", STLClientPriceCompute[[#This Row],[Category search for HV Base Discount]], STLClientSpecificSettings[Volume %]/100))</f>
        <v>1.5</v>
      </c>
      <c r="Q30" s="12" cm="1">
        <f t="array" ref="Q30">IF(ISBLANK(STLClientPriceCompute[[#This Row],[Category]]), 1, IF(ISNUMBER(SEARCH(CONCATENATE(STLClientPriceCompute[[#This Row],[Category]],"-",STLClientPriceCompute[[#This Row],[Code]]),STLClientSpecificSettings[VolumeBasedPriceItems])),STLClientSpecificSettings[Volume %]/100,1))</f>
        <v>1</v>
      </c>
      <c r="R30" s="12" cm="1">
        <f t="array" ref="R30">IF(STLClientSpecificSettings[Core Pack Excluded from Std volume discount]="UP",IF(OR(E30="USR",E30="RBU"),STLClientSpecificSettings[Core Uplift %]/100+1,1),1)</f>
        <v>1</v>
      </c>
      <c r="S3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68.841795000000005</v>
      </c>
      <c r="T30" s="26" t="str">
        <f>IF(STLClientPriceCompute[[#This Row],[Available]]="Y", "P",IF(STLClientPriceCompute[[#This Row],[Available]]="N","O",""))</f>
        <v/>
      </c>
      <c r="U30" s="85" t="str">
        <f>TRIM(STLClientPriceCompute[[#This Row],[Description]])</f>
        <v>FTL/Bulk/Liquid/Livestock (Point to Point/Direct Move)</v>
      </c>
      <c r="V30" s="82" t="str">
        <f>IF(STLClientPriceCompute[[#This Row],[Item Level]]=0,STLClientPriceCompute[[#This Row],[Desc without indent]],"")</f>
        <v/>
      </c>
      <c r="W30" s="82" t="str">
        <f>IF(STLClientPriceCompute[[#This Row],[Item Level]]=1,STLClientPriceCompute[[#This Row],[Desc without indent]],"")</f>
        <v/>
      </c>
      <c r="X30" s="82" t="str">
        <f>IF(STLClientPriceCompute[[#This Row],[Item Level]]=2,STLClientPriceCompute[[#This Row],[Desc without indent]],"")</f>
        <v/>
      </c>
      <c r="Y30" s="82" t="str">
        <f>IF(STLClientPriceCompute[[#This Row],[Item Level]]&gt;=3,_xlfn.CONCAT(REPT(" ",STLClientPriceCompute[[#This Row],[Item Level]]-3), STLClientPriceCompute[[#This Row],[Desc without indent]]),"")</f>
        <v>FTL/Bulk/Liquid/Livestock (Point to Point/Direct Move)</v>
      </c>
      <c r="Z3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Move</v>
      </c>
    </row>
    <row r="31" spans="2:26" x14ac:dyDescent="0.4">
      <c r="B31" s="15">
        <f>FIND(LEFT(TRIM(STLClientPriceCompute[[#This Row],[Description]]),1),STLClientPriceCompute[[#This Row],[Description]])-1</f>
        <v>3</v>
      </c>
      <c r="C31" s="19">
        <v>70</v>
      </c>
      <c r="D31" s="19" t="s">
        <v>87</v>
      </c>
      <c r="E31" s="19" t="s">
        <v>131</v>
      </c>
      <c r="F31" s="19" t="s">
        <v>132</v>
      </c>
      <c r="G31" s="19"/>
      <c r="H31" s="19" t="s">
        <v>87</v>
      </c>
      <c r="I31" s="20">
        <v>2.294727</v>
      </c>
      <c r="J31" s="19" t="s">
        <v>115</v>
      </c>
      <c r="K31" s="19" t="s">
        <v>87</v>
      </c>
      <c r="L31" s="21">
        <v>22.94727</v>
      </c>
      <c r="M31" s="19" t="s">
        <v>85</v>
      </c>
      <c r="N31" s="17">
        <f>_xlfn.IFNA(IF(STLClientPriceCompute[[#This Row],[Base Price (USD)]]="","", STLClientPriceCompute[[#This Row],[Base Price (USD)]]*VLOOKUP(_xlfn.CONCAT(STLClientPriceCompute[[#This Row],[Exchange Rate Group]],STLClientSpecificSettings[Currency]),ClientPriceExRate[[#All],[Ex-Currency]:[Exchange Rate]],2,FALSE)),"")</f>
        <v>3.20495341182</v>
      </c>
      <c r="O3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31" s="22" cm="1">
        <f t="array" ref="P31">IF(STLClientSpecificSettings[Core Pack Excluded from Std volume discount]="EX",1, IF(STLClientSpecificSettings[Volume Price Adjustment]="HV", STLClientPriceCompute[[#This Row],[Category search for HV Base Discount]], STLClientSpecificSettings[Volume %]/100))</f>
        <v>1.5</v>
      </c>
      <c r="Q31" s="12" cm="1">
        <f t="array" ref="Q31">IF(ISBLANK(STLClientPriceCompute[[#This Row],[Category]]), 1, IF(ISNUMBER(SEARCH(CONCATENATE(STLClientPriceCompute[[#This Row],[Category]],"-",STLClientPriceCompute[[#This Row],[Code]]),STLClientSpecificSettings[VolumeBasedPriceItems])),STLClientSpecificSettings[Volume %]/100,1))</f>
        <v>1</v>
      </c>
      <c r="R31" s="12" cm="1">
        <f t="array" ref="R31">IF(STLClientSpecificSettings[Core Pack Excluded from Std volume discount]="UP",IF(OR(E31="USR",E31="RBU"),STLClientSpecificSettings[Core Uplift %]/100+1,1),1)</f>
        <v>1</v>
      </c>
      <c r="S3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31" s="26" t="str">
        <f>IF(STLClientPriceCompute[[#This Row],[Available]]="Y", "P",IF(STLClientPriceCompute[[#This Row],[Available]]="N","O",""))</f>
        <v/>
      </c>
      <c r="U31" s="85" t="str">
        <f>TRIM(STLClientPriceCompute[[#This Row],[Description]])</f>
        <v>Containerized Moves (Port/Door/CY, CY/Door/Port)</v>
      </c>
      <c r="V31" s="82" t="str">
        <f>IF(STLClientPriceCompute[[#This Row],[Item Level]]=0,STLClientPriceCompute[[#This Row],[Desc without indent]],"")</f>
        <v/>
      </c>
      <c r="W31" s="82" t="str">
        <f>IF(STLClientPriceCompute[[#This Row],[Item Level]]=1,STLClientPriceCompute[[#This Row],[Desc without indent]],"")</f>
        <v/>
      </c>
      <c r="X31" s="82" t="str">
        <f>IF(STLClientPriceCompute[[#This Row],[Item Level]]=2,STLClientPriceCompute[[#This Row],[Desc without indent]],"")</f>
        <v/>
      </c>
      <c r="Y31" s="82" t="str">
        <f>IF(STLClientPriceCompute[[#This Row],[Item Level]]&gt;=3,_xlfn.CONCAT(REPT(" ",STLClientPriceCompute[[#This Row],[Item Level]]-3), STLClientPriceCompute[[#This Row],[Desc without indent]]),"")</f>
        <v>Containerized Moves (Port/Door/CY, CY/Door/Port)</v>
      </c>
      <c r="Z3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Container</v>
      </c>
    </row>
    <row r="32" spans="2:26" x14ac:dyDescent="0.4">
      <c r="B32" s="15">
        <f>FIND(LEFT(TRIM(STLClientPriceCompute[[#This Row],[Description]]),1),STLClientPriceCompute[[#This Row],[Description]])-1</f>
        <v>1</v>
      </c>
      <c r="C32" s="19">
        <v>71</v>
      </c>
      <c r="D32" s="19"/>
      <c r="E32" s="19"/>
      <c r="F32" s="19" t="s">
        <v>133</v>
      </c>
      <c r="G32" s="19"/>
      <c r="H32" s="19" t="s">
        <v>87</v>
      </c>
      <c r="I32" s="20">
        <v>0</v>
      </c>
      <c r="J32" s="19"/>
      <c r="K32" s="19" t="s">
        <v>87</v>
      </c>
      <c r="L32" s="21">
        <v>0</v>
      </c>
      <c r="M32" s="19" t="s">
        <v>85</v>
      </c>
      <c r="N32" s="17">
        <f>_xlfn.IFNA(IF(STLClientPriceCompute[[#This Row],[Base Price (USD)]]="","", STLClientPriceCompute[[#This Row],[Base Price (USD)]]*VLOOKUP(_xlfn.CONCAT(STLClientPriceCompute[[#This Row],[Exchange Rate Group]],STLClientSpecificSettings[Currency]),ClientPriceExRate[[#All],[Ex-Currency]:[Exchange Rate]],2,FALSE)),"")</f>
        <v>0</v>
      </c>
      <c r="O3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32" s="22" cm="1">
        <f t="array" ref="P32">IF(STLClientSpecificSettings[Core Pack Excluded from Std volume discount]="EX",1, IF(STLClientSpecificSettings[Volume Price Adjustment]="HV", STLClientPriceCompute[[#This Row],[Category search for HV Base Discount]], STLClientSpecificSettings[Volume %]/100))</f>
        <v>1.5</v>
      </c>
      <c r="Q32" s="12" cm="1">
        <f t="array" ref="Q32">IF(ISBLANK(STLClientPriceCompute[[#This Row],[Category]]), 1, IF(ISNUMBER(SEARCH(CONCATENATE(STLClientPriceCompute[[#This Row],[Category]],"-",STLClientPriceCompute[[#This Row],[Code]]),STLClientSpecificSettings[VolumeBasedPriceItems])),STLClientSpecificSettings[Volume %]/100,1))</f>
        <v>1</v>
      </c>
      <c r="R32" s="12" cm="1">
        <f t="array" ref="R32">IF(STLClientSpecificSettings[Core Pack Excluded from Std volume discount]="UP",IF(OR(E32="USR",E32="RBU"),STLClientSpecificSettings[Core Uplift %]/100+1,1),1)</f>
        <v>1</v>
      </c>
      <c r="S3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32" s="26" t="str">
        <f>IF(STLClientPriceCompute[[#This Row],[Available]]="Y", "P",IF(STLClientPriceCompute[[#This Row],[Available]]="N","O",""))</f>
        <v/>
      </c>
      <c r="U32" s="85" t="str">
        <f>TRIM(STLClientPriceCompute[[#This Row],[Description]])</f>
        <v>Warehouse Manager</v>
      </c>
      <c r="V32" s="82" t="str">
        <f>IF(STLClientPriceCompute[[#This Row],[Item Level]]=0,STLClientPriceCompute[[#This Row],[Desc without indent]],"")</f>
        <v/>
      </c>
      <c r="W32" s="82" t="str">
        <f>IF(STLClientPriceCompute[[#This Row],[Item Level]]=1,STLClientPriceCompute[[#This Row],[Desc without indent]],"")</f>
        <v>Warehouse Manager</v>
      </c>
      <c r="X32" s="82" t="str">
        <f>IF(STLClientPriceCompute[[#This Row],[Item Level]]=2,STLClientPriceCompute[[#This Row],[Desc without indent]],"")</f>
        <v/>
      </c>
      <c r="Y32" s="82" t="str">
        <f>IF(STLClientPriceCompute[[#This Row],[Item Level]]&gt;=3,_xlfn.CONCAT(REPT(" ",STLClientPriceCompute[[#This Row],[Item Level]]-3), STLClientPriceCompute[[#This Row],[Desc without indent]]),"")</f>
        <v/>
      </c>
      <c r="Z3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33" spans="2:26" x14ac:dyDescent="0.4">
      <c r="B33" s="15">
        <f>FIND(LEFT(TRIM(STLClientPriceCompute[[#This Row],[Description]]),1),STLClientPriceCompute[[#This Row],[Description]])-1</f>
        <v>2</v>
      </c>
      <c r="C33" s="19">
        <v>72</v>
      </c>
      <c r="D33" s="19"/>
      <c r="E33" s="19"/>
      <c r="F33" s="19" t="s">
        <v>134</v>
      </c>
      <c r="G33" s="19"/>
      <c r="H33" s="19" t="s">
        <v>87</v>
      </c>
      <c r="I33" s="20">
        <v>0</v>
      </c>
      <c r="J33" s="19"/>
      <c r="K33" s="19" t="s">
        <v>87</v>
      </c>
      <c r="L33" s="21">
        <v>0</v>
      </c>
      <c r="M33" s="19" t="s">
        <v>85</v>
      </c>
      <c r="N33" s="17">
        <f>_xlfn.IFNA(IF(STLClientPriceCompute[[#This Row],[Base Price (USD)]]="","", STLClientPriceCompute[[#This Row],[Base Price (USD)]]*VLOOKUP(_xlfn.CONCAT(STLClientPriceCompute[[#This Row],[Exchange Rate Group]],STLClientSpecificSettings[Currency]),ClientPriceExRate[[#All],[Ex-Currency]:[Exchange Rate]],2,FALSE)),"")</f>
        <v>0</v>
      </c>
      <c r="O3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33" s="22" cm="1">
        <f t="array" ref="P33">IF(STLClientSpecificSettings[Core Pack Excluded from Std volume discount]="EX",1, IF(STLClientSpecificSettings[Volume Price Adjustment]="HV", STLClientPriceCompute[[#This Row],[Category search for HV Base Discount]], STLClientSpecificSettings[Volume %]/100))</f>
        <v>1.5</v>
      </c>
      <c r="Q33" s="12" cm="1">
        <f t="array" ref="Q33">IF(ISBLANK(STLClientPriceCompute[[#This Row],[Category]]), 1, IF(ISNUMBER(SEARCH(CONCATENATE(STLClientPriceCompute[[#This Row],[Category]],"-",STLClientPriceCompute[[#This Row],[Code]]),STLClientSpecificSettings[VolumeBasedPriceItems])),STLClientSpecificSettings[Volume %]/100,1))</f>
        <v>1</v>
      </c>
      <c r="R33" s="12" cm="1">
        <f t="array" ref="R33">IF(STLClientSpecificSettings[Core Pack Excluded from Std volume discount]="UP",IF(OR(E33="USR",E33="RBU"),STLClientSpecificSettings[Core Uplift %]/100+1,1),1)</f>
        <v>1</v>
      </c>
      <c r="S3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33" s="26" t="str">
        <f>IF(STLClientPriceCompute[[#This Row],[Available]]="Y", "P",IF(STLClientPriceCompute[[#This Row],[Available]]="N","O",""))</f>
        <v/>
      </c>
      <c r="U33" s="85" t="str">
        <f>TRIM(STLClientPriceCompute[[#This Row],[Description]])</f>
        <v>Contract Warehouse Functions(Warehouse including 3PL, 4PL)</v>
      </c>
      <c r="V33" s="82" t="str">
        <f>IF(STLClientPriceCompute[[#This Row],[Item Level]]=0,STLClientPriceCompute[[#This Row],[Desc without indent]],"")</f>
        <v/>
      </c>
      <c r="W33" s="82" t="str">
        <f>IF(STLClientPriceCompute[[#This Row],[Item Level]]=1,STLClientPriceCompute[[#This Row],[Desc without indent]],"")</f>
        <v/>
      </c>
      <c r="X33" s="82" t="str">
        <f>IF(STLClientPriceCompute[[#This Row],[Item Level]]=2,STLClientPriceCompute[[#This Row],[Desc without indent]],"")</f>
        <v>Contract Warehouse Functions(Warehouse including 3PL, 4PL)</v>
      </c>
      <c r="Y33" s="82" t="str">
        <f>IF(STLClientPriceCompute[[#This Row],[Item Level]]&gt;=3,_xlfn.CONCAT(REPT(" ",STLClientPriceCompute[[#This Row],[Item Level]]-3), STLClientPriceCompute[[#This Row],[Desc without indent]]),"")</f>
        <v/>
      </c>
      <c r="Z3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34" spans="2:26" x14ac:dyDescent="0.4">
      <c r="B34" s="15">
        <f>FIND(LEFT(TRIM(STLClientPriceCompute[[#This Row],[Description]]),1),STLClientPriceCompute[[#This Row],[Description]])-1</f>
        <v>3</v>
      </c>
      <c r="C34" s="19">
        <v>73</v>
      </c>
      <c r="D34" s="19" t="s">
        <v>87</v>
      </c>
      <c r="E34" s="19" t="s">
        <v>135</v>
      </c>
      <c r="F34" s="19" t="s">
        <v>136</v>
      </c>
      <c r="G34" s="19"/>
      <c r="H34" s="19" t="s">
        <v>87</v>
      </c>
      <c r="I34" s="20">
        <v>3.4420899999999999</v>
      </c>
      <c r="J34" s="19" t="s">
        <v>137</v>
      </c>
      <c r="K34" s="19" t="s">
        <v>87</v>
      </c>
      <c r="L34" s="21">
        <v>34.420900000000003</v>
      </c>
      <c r="M34" s="19" t="s">
        <v>85</v>
      </c>
      <c r="N34" s="17">
        <f>_xlfn.IFNA(IF(STLClientPriceCompute[[#This Row],[Base Price (USD)]]="","", STLClientPriceCompute[[#This Row],[Base Price (USD)]]*VLOOKUP(_xlfn.CONCAT(STLClientPriceCompute[[#This Row],[Exchange Rate Group]],STLClientSpecificSettings[Currency]),ClientPriceExRate[[#All],[Ex-Currency]:[Exchange Rate]],2,FALSE)),"")</f>
        <v>4.8074294194</v>
      </c>
      <c r="O3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34" s="22" cm="1">
        <f t="array" ref="P34">IF(STLClientSpecificSettings[Core Pack Excluded from Std volume discount]="EX",1, IF(STLClientSpecificSettings[Volume Price Adjustment]="HV", STLClientPriceCompute[[#This Row],[Category search for HV Base Discount]], STLClientSpecificSettings[Volume %]/100))</f>
        <v>1.5</v>
      </c>
      <c r="Q34" s="12" cm="1">
        <f t="array" ref="Q34">IF(ISBLANK(STLClientPriceCompute[[#This Row],[Category]]), 1, IF(ISNUMBER(SEARCH(CONCATENATE(STLClientPriceCompute[[#This Row],[Category]],"-",STLClientPriceCompute[[#This Row],[Code]]),STLClientSpecificSettings[VolumeBasedPriceItems])),STLClientSpecificSettings[Volume %]/100,1))</f>
        <v>1</v>
      </c>
      <c r="R34" s="12" cm="1">
        <f t="array" ref="R34">IF(STLClientSpecificSettings[Core Pack Excluded from Std volume discount]="UP",IF(OR(E34="USR",E34="RBU"),STLClientSpecificSettings[Core Uplift %]/100+1,1),1)</f>
        <v>1</v>
      </c>
      <c r="S3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34" s="26" t="str">
        <f>IF(STLClientPriceCompute[[#This Row],[Available]]="Y", "P",IF(STLClientPriceCompute[[#This Row],[Available]]="N","O",""))</f>
        <v/>
      </c>
      <c r="U34" s="85" t="str">
        <f>TRIM(STLClientPriceCompute[[#This Row],[Description]])</f>
        <v>Receipt Header</v>
      </c>
      <c r="V34" s="82" t="str">
        <f>IF(STLClientPriceCompute[[#This Row],[Item Level]]=0,STLClientPriceCompute[[#This Row],[Desc without indent]],"")</f>
        <v/>
      </c>
      <c r="W34" s="82" t="str">
        <f>IF(STLClientPriceCompute[[#This Row],[Item Level]]=1,STLClientPriceCompute[[#This Row],[Desc without indent]],"")</f>
        <v/>
      </c>
      <c r="X34" s="82" t="str">
        <f>IF(STLClientPriceCompute[[#This Row],[Item Level]]=2,STLClientPriceCompute[[#This Row],[Desc without indent]],"")</f>
        <v/>
      </c>
      <c r="Y34" s="82" t="str">
        <f>IF(STLClientPriceCompute[[#This Row],[Item Level]]&gt;=3,_xlfn.CONCAT(REPT(" ",STLClientPriceCompute[[#This Row],[Item Level]]-3), STLClientPriceCompute[[#This Row],[Desc without indent]]),"")</f>
        <v>Receipt Header</v>
      </c>
      <c r="Z3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Receipt Header</v>
      </c>
    </row>
    <row r="35" spans="2:26" x14ac:dyDescent="0.4">
      <c r="B35" s="15">
        <f>FIND(LEFT(TRIM(STLClientPriceCompute[[#This Row],[Description]]),1),STLClientPriceCompute[[#This Row],[Description]])-1</f>
        <v>3</v>
      </c>
      <c r="C35" s="19">
        <v>74</v>
      </c>
      <c r="D35" s="19" t="s">
        <v>87</v>
      </c>
      <c r="E35" s="19" t="s">
        <v>138</v>
      </c>
      <c r="F35" s="19" t="s">
        <v>139</v>
      </c>
      <c r="G35" s="19"/>
      <c r="H35" s="19" t="s">
        <v>87</v>
      </c>
      <c r="I35" s="20">
        <v>1.1473629999999999</v>
      </c>
      <c r="J35" s="19" t="s">
        <v>140</v>
      </c>
      <c r="K35" s="19" t="s">
        <v>87</v>
      </c>
      <c r="L35" s="21">
        <v>11.47363</v>
      </c>
      <c r="M35" s="19" t="s">
        <v>85</v>
      </c>
      <c r="N35" s="17">
        <f>_xlfn.IFNA(IF(STLClientPriceCompute[[#This Row],[Base Price (USD)]]="","", STLClientPriceCompute[[#This Row],[Base Price (USD)]]*VLOOKUP(_xlfn.CONCAT(STLClientPriceCompute[[#This Row],[Exchange Rate Group]],STLClientSpecificSettings[Currency]),ClientPriceExRate[[#All],[Ex-Currency]:[Exchange Rate]],2,FALSE)),"")</f>
        <v>1.60247600758</v>
      </c>
      <c r="O3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2.40371401137</v>
      </c>
      <c r="P35" s="22" cm="1">
        <f t="array" ref="P35">IF(STLClientSpecificSettings[Core Pack Excluded from Std volume discount]="EX",1, IF(STLClientSpecificSettings[Volume Price Adjustment]="HV", STLClientPriceCompute[[#This Row],[Category search for HV Base Discount]], STLClientSpecificSettings[Volume %]/100))</f>
        <v>1.5</v>
      </c>
      <c r="Q35" s="12" cm="1">
        <f t="array" ref="Q35">IF(ISBLANK(STLClientPriceCompute[[#This Row],[Category]]), 1, IF(ISNUMBER(SEARCH(CONCATENATE(STLClientPriceCompute[[#This Row],[Category]],"-",STLClientPriceCompute[[#This Row],[Code]]),STLClientSpecificSettings[VolumeBasedPriceItems])),STLClientSpecificSettings[Volume %]/100,1))</f>
        <v>1</v>
      </c>
      <c r="R35" s="12" cm="1">
        <f t="array" ref="R35">IF(STLClientSpecificSettings[Core Pack Excluded from Std volume discount]="UP",IF(OR(E35="USR",E35="RBU"),STLClientSpecificSettings[Core Uplift %]/100+1,1),1)</f>
        <v>1</v>
      </c>
      <c r="S3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17.210445</v>
      </c>
      <c r="T35" s="26" t="str">
        <f>IF(STLClientPriceCompute[[#This Row],[Available]]="Y", "P",IF(STLClientPriceCompute[[#This Row],[Available]]="N","O",""))</f>
        <v/>
      </c>
      <c r="U35" s="85" t="str">
        <f>TRIM(STLClientPriceCompute[[#This Row],[Description]])</f>
        <v>Outward Order Header</v>
      </c>
      <c r="V35" s="82" t="str">
        <f>IF(STLClientPriceCompute[[#This Row],[Item Level]]=0,STLClientPriceCompute[[#This Row],[Desc without indent]],"")</f>
        <v/>
      </c>
      <c r="W35" s="82" t="str">
        <f>IF(STLClientPriceCompute[[#This Row],[Item Level]]=1,STLClientPriceCompute[[#This Row],[Desc without indent]],"")</f>
        <v/>
      </c>
      <c r="X35" s="82" t="str">
        <f>IF(STLClientPriceCompute[[#This Row],[Item Level]]=2,STLClientPriceCompute[[#This Row],[Desc without indent]],"")</f>
        <v/>
      </c>
      <c r="Y35" s="82" t="str">
        <f>IF(STLClientPriceCompute[[#This Row],[Item Level]]&gt;=3,_xlfn.CONCAT(REPT(" ",STLClientPriceCompute[[#This Row],[Item Level]]-3), STLClientPriceCompute[[#This Row],[Desc without indent]]),"")</f>
        <v>Outward Order Header</v>
      </c>
      <c r="Z3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Header</v>
      </c>
    </row>
    <row r="36" spans="2:26" x14ac:dyDescent="0.4">
      <c r="B36" s="15">
        <f>FIND(LEFT(TRIM(STLClientPriceCompute[[#This Row],[Description]]),1),STLClientPriceCompute[[#This Row],[Description]])-1</f>
        <v>3</v>
      </c>
      <c r="C36" s="19">
        <v>75</v>
      </c>
      <c r="D36" s="19" t="s">
        <v>87</v>
      </c>
      <c r="E36" s="19" t="s">
        <v>141</v>
      </c>
      <c r="F36" s="19" t="s">
        <v>142</v>
      </c>
      <c r="G36" s="19"/>
      <c r="H36" s="19" t="s">
        <v>87</v>
      </c>
      <c r="I36" s="20">
        <v>0.17210500000000001</v>
      </c>
      <c r="J36" s="19" t="s">
        <v>143</v>
      </c>
      <c r="K36" s="19" t="s">
        <v>87</v>
      </c>
      <c r="L36" s="21">
        <v>1.72105</v>
      </c>
      <c r="M36" s="19" t="s">
        <v>85</v>
      </c>
      <c r="N36" s="17">
        <f>_xlfn.IFNA(IF(STLClientPriceCompute[[#This Row],[Base Price (USD)]]="","", STLClientPriceCompute[[#This Row],[Base Price (USD)]]*VLOOKUP(_xlfn.CONCAT(STLClientPriceCompute[[#This Row],[Exchange Rate Group]],STLClientSpecificSettings[Currency]),ClientPriceExRate[[#All],[Ex-Currency]:[Exchange Rate]],2,FALSE)),"")</f>
        <v>0.24037216930000002</v>
      </c>
      <c r="O3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0.36055825395000002</v>
      </c>
      <c r="P36" s="22" cm="1">
        <f t="array" ref="P36">IF(STLClientSpecificSettings[Core Pack Excluded from Std volume discount]="EX",1, IF(STLClientSpecificSettings[Volume Price Adjustment]="HV", STLClientPriceCompute[[#This Row],[Category search for HV Base Discount]], STLClientSpecificSettings[Volume %]/100))</f>
        <v>1.5</v>
      </c>
      <c r="Q36" s="12" cm="1">
        <f t="array" ref="Q36">IF(ISBLANK(STLClientPriceCompute[[#This Row],[Category]]), 1, IF(ISNUMBER(SEARCH(CONCATENATE(STLClientPriceCompute[[#This Row],[Category]],"-",STLClientPriceCompute[[#This Row],[Code]]),STLClientSpecificSettings[VolumeBasedPriceItems])),STLClientSpecificSettings[Volume %]/100,1))</f>
        <v>1</v>
      </c>
      <c r="R36" s="12" cm="1">
        <f t="array" ref="R36">IF(STLClientSpecificSettings[Core Pack Excluded from Std volume discount]="UP",IF(OR(E36="USR",E36="RBU"),STLClientSpecificSettings[Core Uplift %]/100+1,1),1)</f>
        <v>1</v>
      </c>
      <c r="S3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2.581575</v>
      </c>
      <c r="T36" s="26" t="str">
        <f>IF(STLClientPriceCompute[[#This Row],[Available]]="Y", "P",IF(STLClientPriceCompute[[#This Row],[Available]]="N","O",""))</f>
        <v/>
      </c>
      <c r="U36" s="85" t="str">
        <f>TRIM(STLClientPriceCompute[[#This Row],[Description]])</f>
        <v>Outward Order Line</v>
      </c>
      <c r="V36" s="82" t="str">
        <f>IF(STLClientPriceCompute[[#This Row],[Item Level]]=0,STLClientPriceCompute[[#This Row],[Desc without indent]],"")</f>
        <v/>
      </c>
      <c r="W36" s="82" t="str">
        <f>IF(STLClientPriceCompute[[#This Row],[Item Level]]=1,STLClientPriceCompute[[#This Row],[Desc without indent]],"")</f>
        <v/>
      </c>
      <c r="X36" s="82" t="str">
        <f>IF(STLClientPriceCompute[[#This Row],[Item Level]]=2,STLClientPriceCompute[[#This Row],[Desc without indent]],"")</f>
        <v/>
      </c>
      <c r="Y36" s="82" t="str">
        <f>IF(STLClientPriceCompute[[#This Row],[Item Level]]&gt;=3,_xlfn.CONCAT(REPT(" ",STLClientPriceCompute[[#This Row],[Item Level]]-3), STLClientPriceCompute[[#This Row],[Desc without indent]]),"")</f>
        <v>Outward Order Line</v>
      </c>
      <c r="Z3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Line</v>
      </c>
    </row>
    <row r="37" spans="2:26" x14ac:dyDescent="0.4">
      <c r="B37" s="15">
        <f>FIND(LEFT(TRIM(STLClientPriceCompute[[#This Row],[Description]]),1),STLClientPriceCompute[[#This Row],[Description]])-1</f>
        <v>3</v>
      </c>
      <c r="C37" s="19">
        <v>76</v>
      </c>
      <c r="D37" s="19" t="s">
        <v>87</v>
      </c>
      <c r="E37" s="19" t="s">
        <v>138</v>
      </c>
      <c r="F37" s="19" t="s">
        <v>144</v>
      </c>
      <c r="G37" s="19"/>
      <c r="H37" s="19" t="s">
        <v>87</v>
      </c>
      <c r="I37" s="20">
        <v>0.86052300000000004</v>
      </c>
      <c r="J37" s="19" t="s">
        <v>140</v>
      </c>
      <c r="K37" s="19" t="s">
        <v>87</v>
      </c>
      <c r="L37" s="21">
        <v>8.6052300000000006</v>
      </c>
      <c r="M37" s="19" t="s">
        <v>85</v>
      </c>
      <c r="N37"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3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37" s="22" cm="1">
        <f t="array" ref="P37">IF(STLClientSpecificSettings[Core Pack Excluded from Std volume discount]="EX",1, IF(STLClientSpecificSettings[Volume Price Adjustment]="HV", STLClientPriceCompute[[#This Row],[Category search for HV Base Discount]], STLClientSpecificSettings[Volume %]/100))</f>
        <v>1.5</v>
      </c>
      <c r="Q37" s="12" cm="1">
        <f t="array" ref="Q37">IF(ISBLANK(STLClientPriceCompute[[#This Row],[Category]]), 1, IF(ISNUMBER(SEARCH(CONCATENATE(STLClientPriceCompute[[#This Row],[Category]],"-",STLClientPriceCompute[[#This Row],[Code]]),STLClientSpecificSettings[VolumeBasedPriceItems])),STLClientSpecificSettings[Volume %]/100,1))</f>
        <v>1</v>
      </c>
      <c r="R37" s="12" cm="1">
        <f t="array" ref="R37">IF(STLClientSpecificSettings[Core Pack Excluded from Std volume discount]="UP",IF(OR(E37="USR",E37="RBU"),STLClientSpecificSettings[Core Uplift %]/100+1,1),1)</f>
        <v>1</v>
      </c>
      <c r="S3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37" s="26" t="str">
        <f>IF(STLClientPriceCompute[[#This Row],[Available]]="Y", "P",IF(STLClientPriceCompute[[#This Row],[Available]]="N","O",""))</f>
        <v/>
      </c>
      <c r="U37" s="85" t="str">
        <f>TRIM(STLClientPriceCompute[[#This Row],[Description]])</f>
        <v>Outward Order Header (Greater Than 1,000 Orders)</v>
      </c>
      <c r="V37" s="82" t="str">
        <f>IF(STLClientPriceCompute[[#This Row],[Item Level]]=0,STLClientPriceCompute[[#This Row],[Desc without indent]],"")</f>
        <v/>
      </c>
      <c r="W37" s="82" t="str">
        <f>IF(STLClientPriceCompute[[#This Row],[Item Level]]=1,STLClientPriceCompute[[#This Row],[Desc without indent]],"")</f>
        <v/>
      </c>
      <c r="X37" s="82" t="str">
        <f>IF(STLClientPriceCompute[[#This Row],[Item Level]]=2,STLClientPriceCompute[[#This Row],[Desc without indent]],"")</f>
        <v/>
      </c>
      <c r="Y37" s="82" t="str">
        <f>IF(STLClientPriceCompute[[#This Row],[Item Level]]&gt;=3,_xlfn.CONCAT(REPT(" ",STLClientPriceCompute[[#This Row],[Item Level]]-3), STLClientPriceCompute[[#This Row],[Desc without indent]]),"")</f>
        <v>Outward Order Header (Greater Than 1,000 Orders)</v>
      </c>
      <c r="Z3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Header</v>
      </c>
    </row>
    <row r="38" spans="2:26" x14ac:dyDescent="0.4">
      <c r="B38" s="15">
        <f>FIND(LEFT(TRIM(STLClientPriceCompute[[#This Row],[Description]]),1),STLClientPriceCompute[[#This Row],[Description]])-1</f>
        <v>3</v>
      </c>
      <c r="C38" s="19">
        <v>77</v>
      </c>
      <c r="D38" s="19" t="s">
        <v>87</v>
      </c>
      <c r="E38" s="19" t="s">
        <v>141</v>
      </c>
      <c r="F38" s="19" t="s">
        <v>142</v>
      </c>
      <c r="G38" s="19"/>
      <c r="H38" s="19" t="s">
        <v>87</v>
      </c>
      <c r="I38" s="20">
        <v>0.114736</v>
      </c>
      <c r="J38" s="19" t="s">
        <v>143</v>
      </c>
      <c r="K38" s="19" t="s">
        <v>87</v>
      </c>
      <c r="L38" s="21">
        <v>1.1473599999999999</v>
      </c>
      <c r="M38" s="19" t="s">
        <v>85</v>
      </c>
      <c r="N38" s="17">
        <f>_xlfn.IFNA(IF(STLClientPriceCompute[[#This Row],[Base Price (USD)]]="","", STLClientPriceCompute[[#This Row],[Base Price (USD)]]*VLOOKUP(_xlfn.CONCAT(STLClientPriceCompute[[#This Row],[Exchange Rate Group]],STLClientSpecificSettings[Currency]),ClientPriceExRate[[#All],[Ex-Currency]:[Exchange Rate]],2,FALSE)),"")</f>
        <v>0.16024718176</v>
      </c>
      <c r="O3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0.24037077264000001</v>
      </c>
      <c r="P38" s="22" cm="1">
        <f t="array" ref="P38">IF(STLClientSpecificSettings[Core Pack Excluded from Std volume discount]="EX",1, IF(STLClientSpecificSettings[Volume Price Adjustment]="HV", STLClientPriceCompute[[#This Row],[Category search for HV Base Discount]], STLClientSpecificSettings[Volume %]/100))</f>
        <v>1.5</v>
      </c>
      <c r="Q38" s="12" cm="1">
        <f t="array" ref="Q38">IF(ISBLANK(STLClientPriceCompute[[#This Row],[Category]]), 1, IF(ISNUMBER(SEARCH(CONCATENATE(STLClientPriceCompute[[#This Row],[Category]],"-",STLClientPriceCompute[[#This Row],[Code]]),STLClientSpecificSettings[VolumeBasedPriceItems])),STLClientSpecificSettings[Volume %]/100,1))</f>
        <v>1</v>
      </c>
      <c r="R38" s="12" cm="1">
        <f t="array" ref="R38">IF(STLClientSpecificSettings[Core Pack Excluded from Std volume discount]="UP",IF(OR(E38="USR",E38="RBU"),STLClientSpecificSettings[Core Uplift %]/100+1,1),1)</f>
        <v>1</v>
      </c>
      <c r="S3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1.7210399999999999</v>
      </c>
      <c r="T38" s="26" t="str">
        <f>IF(STLClientPriceCompute[[#This Row],[Available]]="Y", "P",IF(STLClientPriceCompute[[#This Row],[Available]]="N","O",""))</f>
        <v/>
      </c>
      <c r="U38" s="85" t="str">
        <f>TRIM(STLClientPriceCompute[[#This Row],[Description]])</f>
        <v>Outward Order Line</v>
      </c>
      <c r="V38" s="82" t="str">
        <f>IF(STLClientPriceCompute[[#This Row],[Item Level]]=0,STLClientPriceCompute[[#This Row],[Desc without indent]],"")</f>
        <v/>
      </c>
      <c r="W38" s="82" t="str">
        <f>IF(STLClientPriceCompute[[#This Row],[Item Level]]=1,STLClientPriceCompute[[#This Row],[Desc without indent]],"")</f>
        <v/>
      </c>
      <c r="X38" s="82" t="str">
        <f>IF(STLClientPriceCompute[[#This Row],[Item Level]]=2,STLClientPriceCompute[[#This Row],[Desc without indent]],"")</f>
        <v/>
      </c>
      <c r="Y38" s="82" t="str">
        <f>IF(STLClientPriceCompute[[#This Row],[Item Level]]&gt;=3,_xlfn.CONCAT(REPT(" ",STLClientPriceCompute[[#This Row],[Item Level]]-3), STLClientPriceCompute[[#This Row],[Desc without indent]]),"")</f>
        <v>Outward Order Line</v>
      </c>
      <c r="Z3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Line</v>
      </c>
    </row>
    <row r="39" spans="2:26" x14ac:dyDescent="0.4">
      <c r="B39" s="15">
        <f>FIND(LEFT(TRIM(STLClientPriceCompute[[#This Row],[Description]]),1),STLClientPriceCompute[[#This Row],[Description]])-1</f>
        <v>3</v>
      </c>
      <c r="C39" s="19">
        <v>78</v>
      </c>
      <c r="D39" s="19" t="s">
        <v>87</v>
      </c>
      <c r="E39" s="19" t="s">
        <v>138</v>
      </c>
      <c r="F39" s="19" t="s">
        <v>145</v>
      </c>
      <c r="G39" s="19"/>
      <c r="H39" s="19" t="s">
        <v>87</v>
      </c>
      <c r="I39" s="20">
        <v>0.57368200000000003</v>
      </c>
      <c r="J39" s="19" t="s">
        <v>140</v>
      </c>
      <c r="K39" s="19" t="s">
        <v>87</v>
      </c>
      <c r="L39" s="21">
        <v>5.7368199999999998</v>
      </c>
      <c r="M39" s="19" t="s">
        <v>85</v>
      </c>
      <c r="N39" s="17">
        <f>_xlfn.IFNA(IF(STLClientPriceCompute[[#This Row],[Base Price (USD)]]="","", STLClientPriceCompute[[#This Row],[Base Price (USD)]]*VLOOKUP(_xlfn.CONCAT(STLClientPriceCompute[[#This Row],[Exchange Rate Group]],STLClientSpecificSettings[Currency]),ClientPriceExRate[[#All],[Ex-Currency]:[Exchange Rate]],2,FALSE)),"")</f>
        <v>0.80123870212000003</v>
      </c>
      <c r="O3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1.2018580531800001</v>
      </c>
      <c r="P39" s="22" cm="1">
        <f t="array" ref="P39">IF(STLClientSpecificSettings[Core Pack Excluded from Std volume discount]="EX",1, IF(STLClientSpecificSettings[Volume Price Adjustment]="HV", STLClientPriceCompute[[#This Row],[Category search for HV Base Discount]], STLClientSpecificSettings[Volume %]/100))</f>
        <v>1.5</v>
      </c>
      <c r="Q39" s="12" cm="1">
        <f t="array" ref="Q39">IF(ISBLANK(STLClientPriceCompute[[#This Row],[Category]]), 1, IF(ISNUMBER(SEARCH(CONCATENATE(STLClientPriceCompute[[#This Row],[Category]],"-",STLClientPriceCompute[[#This Row],[Code]]),STLClientSpecificSettings[VolumeBasedPriceItems])),STLClientSpecificSettings[Volume %]/100,1))</f>
        <v>1</v>
      </c>
      <c r="R39" s="12" cm="1">
        <f t="array" ref="R39">IF(STLClientSpecificSettings[Core Pack Excluded from Std volume discount]="UP",IF(OR(E39="USR",E39="RBU"),STLClientSpecificSettings[Core Uplift %]/100+1,1),1)</f>
        <v>1</v>
      </c>
      <c r="S3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8.6052299999999988</v>
      </c>
      <c r="T39" s="26" t="str">
        <f>IF(STLClientPriceCompute[[#This Row],[Available]]="Y", "P",IF(STLClientPriceCompute[[#This Row],[Available]]="N","O",""))</f>
        <v/>
      </c>
      <c r="U39" s="85" t="str">
        <f>TRIM(STLClientPriceCompute[[#This Row],[Description]])</f>
        <v>Outward Order Header (Greater Than 5,000 Orders)</v>
      </c>
      <c r="V39" s="82" t="str">
        <f>IF(STLClientPriceCompute[[#This Row],[Item Level]]=0,STLClientPriceCompute[[#This Row],[Desc without indent]],"")</f>
        <v/>
      </c>
      <c r="W39" s="82" t="str">
        <f>IF(STLClientPriceCompute[[#This Row],[Item Level]]=1,STLClientPriceCompute[[#This Row],[Desc without indent]],"")</f>
        <v/>
      </c>
      <c r="X39" s="82" t="str">
        <f>IF(STLClientPriceCompute[[#This Row],[Item Level]]=2,STLClientPriceCompute[[#This Row],[Desc without indent]],"")</f>
        <v/>
      </c>
      <c r="Y39" s="82" t="str">
        <f>IF(STLClientPriceCompute[[#This Row],[Item Level]]&gt;=3,_xlfn.CONCAT(REPT(" ",STLClientPriceCompute[[#This Row],[Item Level]]-3), STLClientPriceCompute[[#This Row],[Desc without indent]]),"")</f>
        <v>Outward Order Header (Greater Than 5,000 Orders)</v>
      </c>
      <c r="Z3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Header</v>
      </c>
    </row>
    <row r="40" spans="2:26" x14ac:dyDescent="0.4">
      <c r="B40" s="15">
        <f>FIND(LEFT(TRIM(STLClientPriceCompute[[#This Row],[Description]]),1),STLClientPriceCompute[[#This Row],[Description]])-1</f>
        <v>3</v>
      </c>
      <c r="C40" s="19">
        <v>79</v>
      </c>
      <c r="D40" s="19" t="s">
        <v>87</v>
      </c>
      <c r="E40" s="19" t="s">
        <v>141</v>
      </c>
      <c r="F40" s="19" t="s">
        <v>142</v>
      </c>
      <c r="G40" s="19"/>
      <c r="H40" s="19" t="s">
        <v>87</v>
      </c>
      <c r="I40" s="20">
        <v>5.7368000000000002E-2</v>
      </c>
      <c r="J40" s="19" t="s">
        <v>143</v>
      </c>
      <c r="K40" s="19" t="s">
        <v>87</v>
      </c>
      <c r="L40" s="21">
        <v>0.57367999999999997</v>
      </c>
      <c r="M40" s="19" t="s">
        <v>85</v>
      </c>
      <c r="N40"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4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40" s="22" cm="1">
        <f t="array" ref="P40">IF(STLClientSpecificSettings[Core Pack Excluded from Std volume discount]="EX",1, IF(STLClientSpecificSettings[Volume Price Adjustment]="HV", STLClientPriceCompute[[#This Row],[Category search for HV Base Discount]], STLClientSpecificSettings[Volume %]/100))</f>
        <v>1.5</v>
      </c>
      <c r="Q40" s="12" cm="1">
        <f t="array" ref="Q40">IF(ISBLANK(STLClientPriceCompute[[#This Row],[Category]]), 1, IF(ISNUMBER(SEARCH(CONCATENATE(STLClientPriceCompute[[#This Row],[Category]],"-",STLClientPriceCompute[[#This Row],[Code]]),STLClientSpecificSettings[VolumeBasedPriceItems])),STLClientSpecificSettings[Volume %]/100,1))</f>
        <v>1</v>
      </c>
      <c r="R40" s="12" cm="1">
        <f t="array" ref="R40">IF(STLClientSpecificSettings[Core Pack Excluded from Std volume discount]="UP",IF(OR(E40="USR",E40="RBU"),STLClientSpecificSettings[Core Uplift %]/100+1,1),1)</f>
        <v>1</v>
      </c>
      <c r="S4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40" s="26" t="str">
        <f>IF(STLClientPriceCompute[[#This Row],[Available]]="Y", "P",IF(STLClientPriceCompute[[#This Row],[Available]]="N","O",""))</f>
        <v/>
      </c>
      <c r="U40" s="85" t="str">
        <f>TRIM(STLClientPriceCompute[[#This Row],[Description]])</f>
        <v>Outward Order Line</v>
      </c>
      <c r="V40" s="82" t="str">
        <f>IF(STLClientPriceCompute[[#This Row],[Item Level]]=0,STLClientPriceCompute[[#This Row],[Desc without indent]],"")</f>
        <v/>
      </c>
      <c r="W40" s="82" t="str">
        <f>IF(STLClientPriceCompute[[#This Row],[Item Level]]=1,STLClientPriceCompute[[#This Row],[Desc without indent]],"")</f>
        <v/>
      </c>
      <c r="X40" s="82" t="str">
        <f>IF(STLClientPriceCompute[[#This Row],[Item Level]]=2,STLClientPriceCompute[[#This Row],[Desc without indent]],"")</f>
        <v/>
      </c>
      <c r="Y40" s="82" t="str">
        <f>IF(STLClientPriceCompute[[#This Row],[Item Level]]&gt;=3,_xlfn.CONCAT(REPT(" ",STLClientPriceCompute[[#This Row],[Item Level]]-3), STLClientPriceCompute[[#This Row],[Desc without indent]]),"")</f>
        <v>Outward Order Line</v>
      </c>
      <c r="Z4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Line</v>
      </c>
    </row>
    <row r="41" spans="2:26" x14ac:dyDescent="0.4">
      <c r="B41" s="15">
        <f>FIND(LEFT(TRIM(STLClientPriceCompute[[#This Row],[Description]]),1),STLClientPriceCompute[[#This Row],[Description]])-1</f>
        <v>3</v>
      </c>
      <c r="C41" s="19">
        <v>80</v>
      </c>
      <c r="D41" s="19" t="s">
        <v>87</v>
      </c>
      <c r="E41" s="19" t="s">
        <v>138</v>
      </c>
      <c r="F41" s="19" t="s">
        <v>146</v>
      </c>
      <c r="G41" s="19"/>
      <c r="H41" s="19" t="s">
        <v>87</v>
      </c>
      <c r="I41" s="20">
        <v>0.22947300000000001</v>
      </c>
      <c r="J41" s="19" t="s">
        <v>140</v>
      </c>
      <c r="K41" s="19" t="s">
        <v>87</v>
      </c>
      <c r="L41" s="21">
        <v>2.2947299999999999</v>
      </c>
      <c r="M41" s="19" t="s">
        <v>85</v>
      </c>
      <c r="N41" s="17">
        <f>_xlfn.IFNA(IF(STLClientPriceCompute[[#This Row],[Base Price (USD)]]="","", STLClientPriceCompute[[#This Row],[Base Price (USD)]]*VLOOKUP(_xlfn.CONCAT(STLClientPriceCompute[[#This Row],[Exchange Rate Group]],STLClientSpecificSettings[Currency]),ClientPriceExRate[[#All],[Ex-Currency]:[Exchange Rate]],2,FALSE)),"")</f>
        <v>0.32049576018000003</v>
      </c>
      <c r="O4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0.48074364027000005</v>
      </c>
      <c r="P41" s="22" cm="1">
        <f t="array" ref="P41">IF(STLClientSpecificSettings[Core Pack Excluded from Std volume discount]="EX",1, IF(STLClientSpecificSettings[Volume Price Adjustment]="HV", STLClientPriceCompute[[#This Row],[Category search for HV Base Discount]], STLClientSpecificSettings[Volume %]/100))</f>
        <v>1.5</v>
      </c>
      <c r="Q41" s="12" cm="1">
        <f t="array" ref="Q41">IF(ISBLANK(STLClientPriceCompute[[#This Row],[Category]]), 1, IF(ISNUMBER(SEARCH(CONCATENATE(STLClientPriceCompute[[#This Row],[Category]],"-",STLClientPriceCompute[[#This Row],[Code]]),STLClientSpecificSettings[VolumeBasedPriceItems])),STLClientSpecificSettings[Volume %]/100,1))</f>
        <v>1</v>
      </c>
      <c r="R41" s="12" cm="1">
        <f t="array" ref="R41">IF(STLClientSpecificSettings[Core Pack Excluded from Std volume discount]="UP",IF(OR(E41="USR",E41="RBU"),STLClientSpecificSettings[Core Uplift %]/100+1,1),1)</f>
        <v>1</v>
      </c>
      <c r="S4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3.4420950000000001</v>
      </c>
      <c r="T41" s="26" t="str">
        <f>IF(STLClientPriceCompute[[#This Row],[Available]]="Y", "P",IF(STLClientPriceCompute[[#This Row],[Available]]="N","O",""))</f>
        <v/>
      </c>
      <c r="U41" s="85" t="str">
        <f>TRIM(STLClientPriceCompute[[#This Row],[Description]])</f>
        <v>Outward Order Header (Greater Than 20,000 Orders)</v>
      </c>
      <c r="V41" s="82" t="str">
        <f>IF(STLClientPriceCompute[[#This Row],[Item Level]]=0,STLClientPriceCompute[[#This Row],[Desc without indent]],"")</f>
        <v/>
      </c>
      <c r="W41" s="82" t="str">
        <f>IF(STLClientPriceCompute[[#This Row],[Item Level]]=1,STLClientPriceCompute[[#This Row],[Desc without indent]],"")</f>
        <v/>
      </c>
      <c r="X41" s="82" t="str">
        <f>IF(STLClientPriceCompute[[#This Row],[Item Level]]=2,STLClientPriceCompute[[#This Row],[Desc without indent]],"")</f>
        <v/>
      </c>
      <c r="Y41" s="82" t="str">
        <f>IF(STLClientPriceCompute[[#This Row],[Item Level]]&gt;=3,_xlfn.CONCAT(REPT(" ",STLClientPriceCompute[[#This Row],[Item Level]]-3), STLClientPriceCompute[[#This Row],[Desc without indent]]),"")</f>
        <v>Outward Order Header (Greater Than 20,000 Orders)</v>
      </c>
      <c r="Z4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Header</v>
      </c>
    </row>
    <row r="42" spans="2:26" x14ac:dyDescent="0.4">
      <c r="B42" s="15">
        <f>FIND(LEFT(TRIM(STLClientPriceCompute[[#This Row],[Description]]),1),STLClientPriceCompute[[#This Row],[Description]])-1</f>
        <v>3</v>
      </c>
      <c r="C42" s="19">
        <v>81</v>
      </c>
      <c r="D42" s="19" t="s">
        <v>87</v>
      </c>
      <c r="E42" s="19" t="s">
        <v>141</v>
      </c>
      <c r="F42" s="19" t="s">
        <v>142</v>
      </c>
      <c r="G42" s="19"/>
      <c r="H42" s="19" t="s">
        <v>87</v>
      </c>
      <c r="I42" s="20">
        <v>2.2946999999999999E-2</v>
      </c>
      <c r="J42" s="19" t="s">
        <v>143</v>
      </c>
      <c r="K42" s="19" t="s">
        <v>87</v>
      </c>
      <c r="L42" s="21">
        <v>0.22947000000000001</v>
      </c>
      <c r="M42" s="19" t="s">
        <v>85</v>
      </c>
      <c r="N42" s="17">
        <f>_xlfn.IFNA(IF(STLClientPriceCompute[[#This Row],[Base Price (USD)]]="","", STLClientPriceCompute[[#This Row],[Base Price (USD)]]*VLOOKUP(_xlfn.CONCAT(STLClientPriceCompute[[#This Row],[Exchange Rate Group]],STLClientSpecificSettings[Currency]),ClientPriceExRate[[#All],[Ex-Currency]:[Exchange Rate]],2,FALSE)),"")</f>
        <v>3.2049157019999996E-2</v>
      </c>
      <c r="O4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4.8073735529999995E-2</v>
      </c>
      <c r="P42" s="22" cm="1">
        <f t="array" ref="P42">IF(STLClientSpecificSettings[Core Pack Excluded from Std volume discount]="EX",1, IF(STLClientSpecificSettings[Volume Price Adjustment]="HV", STLClientPriceCompute[[#This Row],[Category search for HV Base Discount]], STLClientSpecificSettings[Volume %]/100))</f>
        <v>1.5</v>
      </c>
      <c r="Q42" s="12" cm="1">
        <f t="array" ref="Q42">IF(ISBLANK(STLClientPriceCompute[[#This Row],[Category]]), 1, IF(ISNUMBER(SEARCH(CONCATENATE(STLClientPriceCompute[[#This Row],[Category]],"-",STLClientPriceCompute[[#This Row],[Code]]),STLClientSpecificSettings[VolumeBasedPriceItems])),STLClientSpecificSettings[Volume %]/100,1))</f>
        <v>1</v>
      </c>
      <c r="R42" s="12" cm="1">
        <f t="array" ref="R42">IF(STLClientSpecificSettings[Core Pack Excluded from Std volume discount]="UP",IF(OR(E42="USR",E42="RBU"),STLClientSpecificSettings[Core Uplift %]/100+1,1),1)</f>
        <v>1</v>
      </c>
      <c r="S4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0.34420499999999998</v>
      </c>
      <c r="T42" s="26" t="str">
        <f>IF(STLClientPriceCompute[[#This Row],[Available]]="Y", "P",IF(STLClientPriceCompute[[#This Row],[Available]]="N","O",""))</f>
        <v/>
      </c>
      <c r="U42" s="85" t="str">
        <f>TRIM(STLClientPriceCompute[[#This Row],[Description]])</f>
        <v>Outward Order Line</v>
      </c>
      <c r="V42" s="82" t="str">
        <f>IF(STLClientPriceCompute[[#This Row],[Item Level]]=0,STLClientPriceCompute[[#This Row],[Desc without indent]],"")</f>
        <v/>
      </c>
      <c r="W42" s="82" t="str">
        <f>IF(STLClientPriceCompute[[#This Row],[Item Level]]=1,STLClientPriceCompute[[#This Row],[Desc without indent]],"")</f>
        <v/>
      </c>
      <c r="X42" s="82" t="str">
        <f>IF(STLClientPriceCompute[[#This Row],[Item Level]]=2,STLClientPriceCompute[[#This Row],[Desc without indent]],"")</f>
        <v/>
      </c>
      <c r="Y42" s="82" t="str">
        <f>IF(STLClientPriceCompute[[#This Row],[Item Level]]&gt;=3,_xlfn.CONCAT(REPT(" ",STLClientPriceCompute[[#This Row],[Item Level]]-3), STLClientPriceCompute[[#This Row],[Desc without indent]]),"")</f>
        <v>Outward Order Line</v>
      </c>
      <c r="Z4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Order Line</v>
      </c>
    </row>
    <row r="43" spans="2:26" x14ac:dyDescent="0.4">
      <c r="B43" s="15">
        <f>FIND(LEFT(TRIM(STLClientPriceCompute[[#This Row],[Description]]),1),STLClientPriceCompute[[#This Row],[Description]])-1</f>
        <v>3</v>
      </c>
      <c r="C43" s="19">
        <v>82</v>
      </c>
      <c r="D43" s="19" t="s">
        <v>87</v>
      </c>
      <c r="E43" s="19" t="s">
        <v>147</v>
      </c>
      <c r="F43" s="19" t="s">
        <v>148</v>
      </c>
      <c r="G43" s="19"/>
      <c r="H43" s="19" t="s">
        <v>87</v>
      </c>
      <c r="I43" s="20">
        <v>3.4420899999999999</v>
      </c>
      <c r="J43" s="19" t="s">
        <v>149</v>
      </c>
      <c r="K43" s="19" t="s">
        <v>87</v>
      </c>
      <c r="L43" s="21">
        <v>34.420900000000003</v>
      </c>
      <c r="M43" s="19" t="s">
        <v>85</v>
      </c>
      <c r="N43" s="17">
        <f>_xlfn.IFNA(IF(STLClientPriceCompute[[#This Row],[Base Price (USD)]]="","", STLClientPriceCompute[[#This Row],[Base Price (USD)]]*VLOOKUP(_xlfn.CONCAT(STLClientPriceCompute[[#This Row],[Exchange Rate Group]],STLClientSpecificSettings[Currency]),ClientPriceExRate[[#All],[Ex-Currency]:[Exchange Rate]],2,FALSE)),"")</f>
        <v>4.8074294194</v>
      </c>
      <c r="O4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43" s="22" cm="1">
        <f t="array" ref="P43">IF(STLClientSpecificSettings[Core Pack Excluded from Std volume discount]="EX",1, IF(STLClientSpecificSettings[Volume Price Adjustment]="HV", STLClientPriceCompute[[#This Row],[Category search for HV Base Discount]], STLClientSpecificSettings[Volume %]/100))</f>
        <v>1.5</v>
      </c>
      <c r="Q43" s="12" cm="1">
        <f t="array" ref="Q43">IF(ISBLANK(STLClientPriceCompute[[#This Row],[Category]]), 1, IF(ISNUMBER(SEARCH(CONCATENATE(STLClientPriceCompute[[#This Row],[Category]],"-",STLClientPriceCompute[[#This Row],[Code]]),STLClientSpecificSettings[VolumeBasedPriceItems])),STLClientSpecificSettings[Volume %]/100,1))</f>
        <v>1</v>
      </c>
      <c r="R43" s="12" cm="1">
        <f t="array" ref="R43">IF(STLClientSpecificSettings[Core Pack Excluded from Std volume discount]="UP",IF(OR(E43="USR",E43="RBU"),STLClientSpecificSettings[Core Uplift %]/100+1,1),1)</f>
        <v>1</v>
      </c>
      <c r="S4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43" s="26" t="str">
        <f>IF(STLClientPriceCompute[[#This Row],[Available]]="Y", "P",IF(STLClientPriceCompute[[#This Row],[Available]]="N","O",""))</f>
        <v/>
      </c>
      <c r="U43" s="85" t="str">
        <f>TRIM(STLClientPriceCompute[[#This Row],[Description]])</f>
        <v>Bill Of Material / Value Added Services Work Orders</v>
      </c>
      <c r="V43" s="82" t="str">
        <f>IF(STLClientPriceCompute[[#This Row],[Item Level]]=0,STLClientPriceCompute[[#This Row],[Desc without indent]],"")</f>
        <v/>
      </c>
      <c r="W43" s="82" t="str">
        <f>IF(STLClientPriceCompute[[#This Row],[Item Level]]=1,STLClientPriceCompute[[#This Row],[Desc without indent]],"")</f>
        <v/>
      </c>
      <c r="X43" s="82" t="str">
        <f>IF(STLClientPriceCompute[[#This Row],[Item Level]]=2,STLClientPriceCompute[[#This Row],[Desc without indent]],"")</f>
        <v/>
      </c>
      <c r="Y43" s="82" t="str">
        <f>IF(STLClientPriceCompute[[#This Row],[Item Level]]&gt;=3,_xlfn.CONCAT(REPT(" ",STLClientPriceCompute[[#This Row],[Item Level]]-3), STLClientPriceCompute[[#This Row],[Desc without indent]]),"")</f>
        <v>Bill Of Material / Value Added Services Work Orders</v>
      </c>
      <c r="Z4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Bill Of Material Work Order</v>
      </c>
    </row>
    <row r="44" spans="2:26" x14ac:dyDescent="0.4">
      <c r="B44" s="15">
        <f>FIND(LEFT(TRIM(STLClientPriceCompute[[#This Row],[Description]]),1),STLClientPriceCompute[[#This Row],[Description]])-1</f>
        <v>1</v>
      </c>
      <c r="C44" s="19">
        <v>83</v>
      </c>
      <c r="D44" s="19"/>
      <c r="E44" s="19"/>
      <c r="F44" s="19" t="s">
        <v>150</v>
      </c>
      <c r="G44" s="19"/>
      <c r="H44" s="19" t="s">
        <v>87</v>
      </c>
      <c r="I44" s="20">
        <v>0</v>
      </c>
      <c r="J44" s="19"/>
      <c r="K44" s="19" t="s">
        <v>87</v>
      </c>
      <c r="L44" s="21">
        <v>0</v>
      </c>
      <c r="M44" s="19" t="s">
        <v>85</v>
      </c>
      <c r="N44" s="17">
        <f>_xlfn.IFNA(IF(STLClientPriceCompute[[#This Row],[Base Price (USD)]]="","", STLClientPriceCompute[[#This Row],[Base Price (USD)]]*VLOOKUP(_xlfn.CONCAT(STLClientPriceCompute[[#This Row],[Exchange Rate Group]],STLClientSpecificSettings[Currency]),ClientPriceExRate[[#All],[Ex-Currency]:[Exchange Rate]],2,FALSE)),"")</f>
        <v>0</v>
      </c>
      <c r="O4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44" s="22" cm="1">
        <f t="array" ref="P44">IF(STLClientSpecificSettings[Core Pack Excluded from Std volume discount]="EX",1, IF(STLClientSpecificSettings[Volume Price Adjustment]="HV", STLClientPriceCompute[[#This Row],[Category search for HV Base Discount]], STLClientSpecificSettings[Volume %]/100))</f>
        <v>1.5</v>
      </c>
      <c r="Q44" s="12" cm="1">
        <f t="array" ref="Q44">IF(ISBLANK(STLClientPriceCompute[[#This Row],[Category]]), 1, IF(ISNUMBER(SEARCH(CONCATENATE(STLClientPriceCompute[[#This Row],[Category]],"-",STLClientPriceCompute[[#This Row],[Code]]),STLClientSpecificSettings[VolumeBasedPriceItems])),STLClientSpecificSettings[Volume %]/100,1))</f>
        <v>1</v>
      </c>
      <c r="R44" s="12" cm="1">
        <f t="array" ref="R44">IF(STLClientSpecificSettings[Core Pack Excluded from Std volume discount]="UP",IF(OR(E44="USR",E44="RBU"),STLClientSpecificSettings[Core Uplift %]/100+1,1),1)</f>
        <v>1</v>
      </c>
      <c r="S4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44" s="26" t="str">
        <f>IF(STLClientPriceCompute[[#This Row],[Available]]="Y", "P",IF(STLClientPriceCompute[[#This Row],[Available]]="N","O",""))</f>
        <v/>
      </c>
      <c r="U44" s="85" t="str">
        <f>TRIM(STLClientPriceCompute[[#This Row],[Description]])</f>
        <v>Integrated Warehouse / Inventory Management - Long Term Bond / FTZ</v>
      </c>
      <c r="V44" s="82" t="str">
        <f>IF(STLClientPriceCompute[[#This Row],[Item Level]]=0,STLClientPriceCompute[[#This Row],[Desc without indent]],"")</f>
        <v/>
      </c>
      <c r="W44" s="82" t="str">
        <f>IF(STLClientPriceCompute[[#This Row],[Item Level]]=1,STLClientPriceCompute[[#This Row],[Desc without indent]],"")</f>
        <v>Integrated Warehouse / Inventory Management - Long Term Bond / FTZ</v>
      </c>
      <c r="X44" s="82" t="str">
        <f>IF(STLClientPriceCompute[[#This Row],[Item Level]]=2,STLClientPriceCompute[[#This Row],[Desc without indent]],"")</f>
        <v/>
      </c>
      <c r="Y44" s="82" t="str">
        <f>IF(STLClientPriceCompute[[#This Row],[Item Level]]&gt;=3,_xlfn.CONCAT(REPT(" ",STLClientPriceCompute[[#This Row],[Item Level]]-3), STLClientPriceCompute[[#This Row],[Desc without indent]]),"")</f>
        <v/>
      </c>
      <c r="Z4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45" spans="2:26" x14ac:dyDescent="0.4">
      <c r="B45" s="15">
        <f>FIND(LEFT(TRIM(STLClientPriceCompute[[#This Row],[Description]]),1),STLClientPriceCompute[[#This Row],[Description]])-1</f>
        <v>3</v>
      </c>
      <c r="C45" s="19">
        <v>84</v>
      </c>
      <c r="D45" s="19" t="s">
        <v>87</v>
      </c>
      <c r="E45" s="19" t="s">
        <v>151</v>
      </c>
      <c r="F45" s="19" t="s">
        <v>152</v>
      </c>
      <c r="G45" s="19"/>
      <c r="H45" s="19" t="s">
        <v>87</v>
      </c>
      <c r="I45" s="20">
        <v>6.8841799999999997</v>
      </c>
      <c r="J45" s="19" t="s">
        <v>153</v>
      </c>
      <c r="K45" s="19" t="s">
        <v>87</v>
      </c>
      <c r="L45" s="21">
        <v>68.841800000000006</v>
      </c>
      <c r="M45" s="19" t="s">
        <v>85</v>
      </c>
      <c r="N45" s="17">
        <f>_xlfn.IFNA(IF(STLClientPriceCompute[[#This Row],[Base Price (USD)]]="","", STLClientPriceCompute[[#This Row],[Base Price (USD)]]*VLOOKUP(_xlfn.CONCAT(STLClientPriceCompute[[#This Row],[Exchange Rate Group]],STLClientSpecificSettings[Currency]),ClientPriceExRate[[#All],[Ex-Currency]:[Exchange Rate]],2,FALSE)),"")</f>
        <v>9.6148588388</v>
      </c>
      <c r="O4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45" s="22" cm="1">
        <f t="array" ref="P45">IF(STLClientSpecificSettings[Core Pack Excluded from Std volume discount]="EX",1, IF(STLClientSpecificSettings[Volume Price Adjustment]="HV", STLClientPriceCompute[[#This Row],[Category search for HV Base Discount]], STLClientSpecificSettings[Volume %]/100))</f>
        <v>1.5</v>
      </c>
      <c r="Q45" s="12" cm="1">
        <f t="array" ref="Q45">IF(ISBLANK(STLClientPriceCompute[[#This Row],[Category]]), 1, IF(ISNUMBER(SEARCH(CONCATENATE(STLClientPriceCompute[[#This Row],[Category]],"-",STLClientPriceCompute[[#This Row],[Code]]),STLClientSpecificSettings[VolumeBasedPriceItems])),STLClientSpecificSettings[Volume %]/100,1))</f>
        <v>1</v>
      </c>
      <c r="R45" s="12" cm="1">
        <f t="array" ref="R45">IF(STLClientSpecificSettings[Core Pack Excluded from Std volume discount]="UP",IF(OR(E45="USR",E45="RBU"),STLClientSpecificSettings[Core Uplift %]/100+1,1),1)</f>
        <v>1</v>
      </c>
      <c r="S4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45" s="26" t="str">
        <f>IF(STLClientPriceCompute[[#This Row],[Available]]="Y", "P",IF(STLClientPriceCompute[[#This Row],[Available]]="N","O",""))</f>
        <v/>
      </c>
      <c r="U45" s="85" t="str">
        <f>TRIM(STLClientPriceCompute[[#This Row],[Description]])</f>
        <v>W/H Receipt and W/H Withdrawal</v>
      </c>
      <c r="V45" s="82" t="str">
        <f>IF(STLClientPriceCompute[[#This Row],[Item Level]]=0,STLClientPriceCompute[[#This Row],[Desc without indent]],"")</f>
        <v/>
      </c>
      <c r="W45" s="82" t="str">
        <f>IF(STLClientPriceCompute[[#This Row],[Item Level]]=1,STLClientPriceCompute[[#This Row],[Desc without indent]],"")</f>
        <v/>
      </c>
      <c r="X45" s="82" t="str">
        <f>IF(STLClientPriceCompute[[#This Row],[Item Level]]=2,STLClientPriceCompute[[#This Row],[Desc without indent]],"")</f>
        <v/>
      </c>
      <c r="Y45" s="82" t="str">
        <f>IF(STLClientPriceCompute[[#This Row],[Item Level]]&gt;=3,_xlfn.CONCAT(REPT(" ",STLClientPriceCompute[[#This Row],[Item Level]]-3), STLClientPriceCompute[[#This Row],[Desc without indent]]),"")</f>
        <v>W/H Receipt and W/H Withdrawal</v>
      </c>
      <c r="Z4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W/H Inwards and Per W/H Withdrawal</v>
      </c>
    </row>
    <row r="46" spans="2:26" x14ac:dyDescent="0.4">
      <c r="B46" s="15">
        <f>FIND(LEFT(TRIM(STLClientPriceCompute[[#This Row],[Description]]),1),STLClientPriceCompute[[#This Row],[Description]])-1</f>
        <v>1</v>
      </c>
      <c r="C46" s="19">
        <v>85</v>
      </c>
      <c r="D46" s="19"/>
      <c r="E46" s="19"/>
      <c r="F46" s="19" t="s">
        <v>154</v>
      </c>
      <c r="G46" s="19"/>
      <c r="H46" s="19" t="s">
        <v>87</v>
      </c>
      <c r="I46" s="20">
        <v>0</v>
      </c>
      <c r="J46" s="19"/>
      <c r="K46" s="19" t="s">
        <v>87</v>
      </c>
      <c r="L46" s="21">
        <v>0</v>
      </c>
      <c r="M46" s="19" t="s">
        <v>85</v>
      </c>
      <c r="N46" s="17">
        <f>_xlfn.IFNA(IF(STLClientPriceCompute[[#This Row],[Base Price (USD)]]="","", STLClientPriceCompute[[#This Row],[Base Price (USD)]]*VLOOKUP(_xlfn.CONCAT(STLClientPriceCompute[[#This Row],[Exchange Rate Group]],STLClientSpecificSettings[Currency]),ClientPriceExRate[[#All],[Ex-Currency]:[Exchange Rate]],2,FALSE)),"")</f>
        <v>0</v>
      </c>
      <c r="O4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46" s="22" cm="1">
        <f t="array" ref="P46">IF(STLClientSpecificSettings[Core Pack Excluded from Std volume discount]="EX",1, IF(STLClientSpecificSettings[Volume Price Adjustment]="HV", STLClientPriceCompute[[#This Row],[Category search for HV Base Discount]], STLClientSpecificSettings[Volume %]/100))</f>
        <v>1.5</v>
      </c>
      <c r="Q46" s="12" cm="1">
        <f t="array" ref="Q46">IF(ISBLANK(STLClientPriceCompute[[#This Row],[Category]]), 1, IF(ISNUMBER(SEARCH(CONCATENATE(STLClientPriceCompute[[#This Row],[Category]],"-",STLClientPriceCompute[[#This Row],[Code]]),STLClientSpecificSettings[VolumeBasedPriceItems])),STLClientSpecificSettings[Volume %]/100,1))</f>
        <v>1</v>
      </c>
      <c r="R46" s="12" cm="1">
        <f t="array" ref="R46">IF(STLClientSpecificSettings[Core Pack Excluded from Std volume discount]="UP",IF(OR(E46="USR",E46="RBU"),STLClientSpecificSettings[Core Uplift %]/100+1,1),1)</f>
        <v>1</v>
      </c>
      <c r="S4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46" s="26" t="str">
        <f>IF(STLClientPriceCompute[[#This Row],[Available]]="Y", "P",IF(STLClientPriceCompute[[#This Row],[Available]]="N","O",""))</f>
        <v/>
      </c>
      <c r="U46" s="85" t="str">
        <f>TRIM(STLClientPriceCompute[[#This Row],[Description]])</f>
        <v>Transit Warehouse</v>
      </c>
      <c r="V46" s="82" t="str">
        <f>IF(STLClientPriceCompute[[#This Row],[Item Level]]=0,STLClientPriceCompute[[#This Row],[Desc without indent]],"")</f>
        <v/>
      </c>
      <c r="W46" s="82" t="str">
        <f>IF(STLClientPriceCompute[[#This Row],[Item Level]]=1,STLClientPriceCompute[[#This Row],[Desc without indent]],"")</f>
        <v>Transit Warehouse</v>
      </c>
      <c r="X46" s="82" t="str">
        <f>IF(STLClientPriceCompute[[#This Row],[Item Level]]=2,STLClientPriceCompute[[#This Row],[Desc without indent]],"")</f>
        <v/>
      </c>
      <c r="Y46" s="82" t="str">
        <f>IF(STLClientPriceCompute[[#This Row],[Item Level]]&gt;=3,_xlfn.CONCAT(REPT(" ",STLClientPriceCompute[[#This Row],[Item Level]]-3), STLClientPriceCompute[[#This Row],[Desc without indent]]),"")</f>
        <v/>
      </c>
      <c r="Z4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47" spans="2:26" x14ac:dyDescent="0.4">
      <c r="B47" s="15">
        <f>FIND(LEFT(TRIM(STLClientPriceCompute[[#This Row],[Description]]),1),STLClientPriceCompute[[#This Row],[Description]])-1</f>
        <v>3</v>
      </c>
      <c r="C47" s="19">
        <v>86</v>
      </c>
      <c r="D47" s="19" t="s">
        <v>87</v>
      </c>
      <c r="E47" s="19" t="s">
        <v>155</v>
      </c>
      <c r="F47" s="19" t="s">
        <v>156</v>
      </c>
      <c r="G47" s="19"/>
      <c r="H47" s="19" t="s">
        <v>87</v>
      </c>
      <c r="I47" s="20">
        <v>0.18540000000000001</v>
      </c>
      <c r="J47" s="19" t="s">
        <v>710</v>
      </c>
      <c r="K47" s="19" t="s">
        <v>87</v>
      </c>
      <c r="L47" s="21">
        <v>1.8540000000000001</v>
      </c>
      <c r="M47" s="19" t="s">
        <v>85</v>
      </c>
      <c r="N47" s="17">
        <f>_xlfn.IFNA(IF(STLClientPriceCompute[[#This Row],[Base Price (USD)]]="","", STLClientPriceCompute[[#This Row],[Base Price (USD)]]*VLOOKUP(_xlfn.CONCAT(STLClientPriceCompute[[#This Row],[Exchange Rate Group]],STLClientSpecificSettings[Currency]),ClientPriceExRate[[#All],[Ex-Currency]:[Exchange Rate]],2,FALSE)),"")</f>
        <v>0.25894076399999999</v>
      </c>
      <c r="O4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0.38841114599999998</v>
      </c>
      <c r="P47" s="22" cm="1">
        <f t="array" ref="P47">IF(STLClientSpecificSettings[Core Pack Excluded from Std volume discount]="EX",1, IF(STLClientSpecificSettings[Volume Price Adjustment]="HV", STLClientPriceCompute[[#This Row],[Category search for HV Base Discount]], STLClientSpecificSettings[Volume %]/100))</f>
        <v>1.5</v>
      </c>
      <c r="Q47" s="12" cm="1">
        <f t="array" ref="Q47">IF(ISBLANK(STLClientPriceCompute[[#This Row],[Category]]), 1, IF(ISNUMBER(SEARCH(CONCATENATE(STLClientPriceCompute[[#This Row],[Category]],"-",STLClientPriceCompute[[#This Row],[Code]]),STLClientSpecificSettings[VolumeBasedPriceItems])),STLClientSpecificSettings[Volume %]/100,1))</f>
        <v>1</v>
      </c>
      <c r="R47" s="12" cm="1">
        <f t="array" ref="R47">IF(STLClientSpecificSettings[Core Pack Excluded from Std volume discount]="UP",IF(OR(E47="USR",E47="RBU"),STLClientSpecificSettings[Core Uplift %]/100+1,1),1)</f>
        <v>1</v>
      </c>
      <c r="S4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2.7810000000000001</v>
      </c>
      <c r="T47" s="26" t="str">
        <f>IF(STLClientPriceCompute[[#This Row],[Available]]="Y", "P",IF(STLClientPriceCompute[[#This Row],[Available]]="N","O",""))</f>
        <v/>
      </c>
      <c r="U47" s="85" t="str">
        <f>TRIM(STLClientPriceCompute[[#This Row],[Description]])</f>
        <v>Less than or equal to 50,000</v>
      </c>
      <c r="V47" s="82" t="str">
        <f>IF(STLClientPriceCompute[[#This Row],[Item Level]]=0,STLClientPriceCompute[[#This Row],[Desc without indent]],"")</f>
        <v/>
      </c>
      <c r="W47" s="82" t="str">
        <f>IF(STLClientPriceCompute[[#This Row],[Item Level]]=1,STLClientPriceCompute[[#This Row],[Desc without indent]],"")</f>
        <v/>
      </c>
      <c r="X47" s="82" t="str">
        <f>IF(STLClientPriceCompute[[#This Row],[Item Level]]=2,STLClientPriceCompute[[#This Row],[Desc without indent]],"")</f>
        <v/>
      </c>
      <c r="Y47" s="82" t="str">
        <f>IF(STLClientPriceCompute[[#This Row],[Item Level]]&gt;=3,_xlfn.CONCAT(REPT(" ",STLClientPriceCompute[[#This Row],[Item Level]]-3), STLClientPriceCompute[[#This Row],[Desc without indent]]),"")</f>
        <v>Less than or equal to 50,000</v>
      </c>
      <c r="Z4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Package Per Warehouses Transitioned Through (Refer to Transit Warehouse Discount)</v>
      </c>
    </row>
    <row r="48" spans="2:26" x14ac:dyDescent="0.4">
      <c r="B48" s="15">
        <f>FIND(LEFT(TRIM(STLClientPriceCompute[[#This Row],[Description]]),1),STLClientPriceCompute[[#This Row],[Description]])-1</f>
        <v>3</v>
      </c>
      <c r="C48" s="19">
        <v>87</v>
      </c>
      <c r="D48" s="19" t="s">
        <v>87</v>
      </c>
      <c r="E48" s="19" t="s">
        <v>155</v>
      </c>
      <c r="F48" s="19" t="s">
        <v>157</v>
      </c>
      <c r="G48" s="19"/>
      <c r="H48" s="19" t="s">
        <v>87</v>
      </c>
      <c r="I48" s="20">
        <v>0.1545</v>
      </c>
      <c r="J48" s="19" t="s">
        <v>710</v>
      </c>
      <c r="K48" s="19" t="s">
        <v>87</v>
      </c>
      <c r="L48" s="21">
        <v>1.5449999999999999</v>
      </c>
      <c r="M48" s="19" t="s">
        <v>85</v>
      </c>
      <c r="N48" s="17">
        <f>_xlfn.IFNA(IF(STLClientPriceCompute[[#This Row],[Base Price (USD)]]="","", STLClientPriceCompute[[#This Row],[Base Price (USD)]]*VLOOKUP(_xlfn.CONCAT(STLClientPriceCompute[[#This Row],[Exchange Rate Group]],STLClientSpecificSettings[Currency]),ClientPriceExRate[[#All],[Ex-Currency]:[Exchange Rate]],2,FALSE)),"")</f>
        <v>0.21578396999999999</v>
      </c>
      <c r="O4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0.32367595500000002</v>
      </c>
      <c r="P48" s="22" cm="1">
        <f t="array" ref="P48">IF(STLClientSpecificSettings[Core Pack Excluded from Std volume discount]="EX",1, IF(STLClientSpecificSettings[Volume Price Adjustment]="HV", STLClientPriceCompute[[#This Row],[Category search for HV Base Discount]], STLClientSpecificSettings[Volume %]/100))</f>
        <v>1.5</v>
      </c>
      <c r="Q48" s="12" cm="1">
        <f t="array" ref="Q48">IF(ISBLANK(STLClientPriceCompute[[#This Row],[Category]]), 1, IF(ISNUMBER(SEARCH(CONCATENATE(STLClientPriceCompute[[#This Row],[Category]],"-",STLClientPriceCompute[[#This Row],[Code]]),STLClientSpecificSettings[VolumeBasedPriceItems])),STLClientSpecificSettings[Volume %]/100,1))</f>
        <v>1</v>
      </c>
      <c r="R48" s="12" cm="1">
        <f t="array" ref="R48">IF(STLClientSpecificSettings[Core Pack Excluded from Std volume discount]="UP",IF(OR(E48="USR",E48="RBU"),STLClientSpecificSettings[Core Uplift %]/100+1,1),1)</f>
        <v>1</v>
      </c>
      <c r="S4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2.3174999999999999</v>
      </c>
      <c r="T48" s="26" t="str">
        <f>IF(STLClientPriceCompute[[#This Row],[Available]]="Y", "P",IF(STLClientPriceCompute[[#This Row],[Available]]="N","O",""))</f>
        <v/>
      </c>
      <c r="U48" s="85" t="str">
        <f>TRIM(STLClientPriceCompute[[#This Row],[Description]])</f>
        <v>Greater than 50,000</v>
      </c>
      <c r="V48" s="82" t="str">
        <f>IF(STLClientPriceCompute[[#This Row],[Item Level]]=0,STLClientPriceCompute[[#This Row],[Desc without indent]],"")</f>
        <v/>
      </c>
      <c r="W48" s="82" t="str">
        <f>IF(STLClientPriceCompute[[#This Row],[Item Level]]=1,STLClientPriceCompute[[#This Row],[Desc without indent]],"")</f>
        <v/>
      </c>
      <c r="X48" s="82" t="str">
        <f>IF(STLClientPriceCompute[[#This Row],[Item Level]]=2,STLClientPriceCompute[[#This Row],[Desc without indent]],"")</f>
        <v/>
      </c>
      <c r="Y48" s="82" t="str">
        <f>IF(STLClientPriceCompute[[#This Row],[Item Level]]&gt;=3,_xlfn.CONCAT(REPT(" ",STLClientPriceCompute[[#This Row],[Item Level]]-3), STLClientPriceCompute[[#This Row],[Desc without indent]]),"")</f>
        <v>Greater than 50,000</v>
      </c>
      <c r="Z4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Package Per Warehouses Transitioned Through (Refer to Transit Warehouse Discount)</v>
      </c>
    </row>
    <row r="49" spans="2:26" x14ac:dyDescent="0.4">
      <c r="B49" s="15">
        <f>FIND(LEFT(TRIM(STLClientPriceCompute[[#This Row],[Description]]),1),STLClientPriceCompute[[#This Row],[Description]])-1</f>
        <v>3</v>
      </c>
      <c r="C49" s="19">
        <v>88</v>
      </c>
      <c r="D49" s="19" t="s">
        <v>87</v>
      </c>
      <c r="E49" s="19" t="s">
        <v>155</v>
      </c>
      <c r="F49" s="19" t="s">
        <v>158</v>
      </c>
      <c r="G49" s="19"/>
      <c r="H49" s="19" t="s">
        <v>87</v>
      </c>
      <c r="I49" s="20">
        <v>9.2700000000000005E-2</v>
      </c>
      <c r="J49" s="19" t="s">
        <v>710</v>
      </c>
      <c r="K49" s="19" t="s">
        <v>87</v>
      </c>
      <c r="L49" s="21">
        <v>0.92700000000000005</v>
      </c>
      <c r="M49" s="19" t="s">
        <v>85</v>
      </c>
      <c r="N49" s="17">
        <f>_xlfn.IFNA(IF(STLClientPriceCompute[[#This Row],[Base Price (USD)]]="","", STLClientPriceCompute[[#This Row],[Base Price (USD)]]*VLOOKUP(_xlfn.CONCAT(STLClientPriceCompute[[#This Row],[Exchange Rate Group]],STLClientSpecificSettings[Currency]),ClientPriceExRate[[#All],[Ex-Currency]:[Exchange Rate]],2,FALSE)),"")</f>
        <v>0.12947038199999999</v>
      </c>
      <c r="O4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0.19420557299999999</v>
      </c>
      <c r="P49" s="22" cm="1">
        <f t="array" ref="P49">IF(STLClientSpecificSettings[Core Pack Excluded from Std volume discount]="EX",1, IF(STLClientSpecificSettings[Volume Price Adjustment]="HV", STLClientPriceCompute[[#This Row],[Category search for HV Base Discount]], STLClientSpecificSettings[Volume %]/100))</f>
        <v>1.5</v>
      </c>
      <c r="Q49" s="12" cm="1">
        <f t="array" ref="Q49">IF(ISBLANK(STLClientPriceCompute[[#This Row],[Category]]), 1, IF(ISNUMBER(SEARCH(CONCATENATE(STLClientPriceCompute[[#This Row],[Category]],"-",STLClientPriceCompute[[#This Row],[Code]]),STLClientSpecificSettings[VolumeBasedPriceItems])),STLClientSpecificSettings[Volume %]/100,1))</f>
        <v>1</v>
      </c>
      <c r="R49" s="12" cm="1">
        <f t="array" ref="R49">IF(STLClientSpecificSettings[Core Pack Excluded from Std volume discount]="UP",IF(OR(E49="USR",E49="RBU"),STLClientSpecificSettings[Core Uplift %]/100+1,1),1)</f>
        <v>1</v>
      </c>
      <c r="S4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1.3905000000000001</v>
      </c>
      <c r="T49" s="26" t="str">
        <f>IF(STLClientPriceCompute[[#This Row],[Available]]="Y", "P",IF(STLClientPriceCompute[[#This Row],[Available]]="N","O",""))</f>
        <v/>
      </c>
      <c r="U49" s="85" t="str">
        <f>TRIM(STLClientPriceCompute[[#This Row],[Description]])</f>
        <v>Greater than 100,000</v>
      </c>
      <c r="V49" s="82" t="str">
        <f>IF(STLClientPriceCompute[[#This Row],[Item Level]]=0,STLClientPriceCompute[[#This Row],[Desc without indent]],"")</f>
        <v/>
      </c>
      <c r="W49" s="82" t="str">
        <f>IF(STLClientPriceCompute[[#This Row],[Item Level]]=1,STLClientPriceCompute[[#This Row],[Desc without indent]],"")</f>
        <v/>
      </c>
      <c r="X49" s="82" t="str">
        <f>IF(STLClientPriceCompute[[#This Row],[Item Level]]=2,STLClientPriceCompute[[#This Row],[Desc without indent]],"")</f>
        <v/>
      </c>
      <c r="Y49" s="82" t="str">
        <f>IF(STLClientPriceCompute[[#This Row],[Item Level]]&gt;=3,_xlfn.CONCAT(REPT(" ",STLClientPriceCompute[[#This Row],[Item Level]]-3), STLClientPriceCompute[[#This Row],[Desc without indent]]),"")</f>
        <v>Greater than 100,000</v>
      </c>
      <c r="Z4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Package Per Warehouses Transitioned Through (Refer to Transit Warehouse Discount)</v>
      </c>
    </row>
    <row r="50" spans="2:26" x14ac:dyDescent="0.4">
      <c r="B50" s="15">
        <f>FIND(LEFT(TRIM(STLClientPriceCompute[[#This Row],[Description]]),1),STLClientPriceCompute[[#This Row],[Description]])-1</f>
        <v>3</v>
      </c>
      <c r="C50" s="19">
        <v>89</v>
      </c>
      <c r="D50" s="19" t="s">
        <v>87</v>
      </c>
      <c r="E50" s="19" t="s">
        <v>155</v>
      </c>
      <c r="F50" s="19" t="s">
        <v>159</v>
      </c>
      <c r="G50" s="19"/>
      <c r="H50" s="19" t="s">
        <v>87</v>
      </c>
      <c r="I50" s="20">
        <v>7.2099999999999997E-2</v>
      </c>
      <c r="J50" s="19" t="s">
        <v>710</v>
      </c>
      <c r="K50" s="19" t="s">
        <v>87</v>
      </c>
      <c r="L50" s="21">
        <v>0.72099999999999997</v>
      </c>
      <c r="M50" s="19" t="s">
        <v>85</v>
      </c>
      <c r="N50" s="17">
        <f>_xlfn.IFNA(IF(STLClientPriceCompute[[#This Row],[Base Price (USD)]]="","", STLClientPriceCompute[[#This Row],[Base Price (USD)]]*VLOOKUP(_xlfn.CONCAT(STLClientPriceCompute[[#This Row],[Exchange Rate Group]],STLClientSpecificSettings[Currency]),ClientPriceExRate[[#All],[Ex-Currency]:[Exchange Rate]],2,FALSE)),"")</f>
        <v>0.100699186</v>
      </c>
      <c r="O5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0.15104877899999999</v>
      </c>
      <c r="P50" s="22" cm="1">
        <f t="array" ref="P50">IF(STLClientSpecificSettings[Core Pack Excluded from Std volume discount]="EX",1, IF(STLClientSpecificSettings[Volume Price Adjustment]="HV", STLClientPriceCompute[[#This Row],[Category search for HV Base Discount]], STLClientSpecificSettings[Volume %]/100))</f>
        <v>1.5</v>
      </c>
      <c r="Q50" s="12" cm="1">
        <f t="array" ref="Q50">IF(ISBLANK(STLClientPriceCompute[[#This Row],[Category]]), 1, IF(ISNUMBER(SEARCH(CONCATENATE(STLClientPriceCompute[[#This Row],[Category]],"-",STLClientPriceCompute[[#This Row],[Code]]),STLClientSpecificSettings[VolumeBasedPriceItems])),STLClientSpecificSettings[Volume %]/100,1))</f>
        <v>1</v>
      </c>
      <c r="R50" s="12" cm="1">
        <f t="array" ref="R50">IF(STLClientSpecificSettings[Core Pack Excluded from Std volume discount]="UP",IF(OR(E50="USR",E50="RBU"),STLClientSpecificSettings[Core Uplift %]/100+1,1),1)</f>
        <v>1</v>
      </c>
      <c r="S5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1.0814999999999999</v>
      </c>
      <c r="T50" s="26" t="str">
        <f>IF(STLClientPriceCompute[[#This Row],[Available]]="Y", "P",IF(STLClientPriceCompute[[#This Row],[Available]]="N","O",""))</f>
        <v/>
      </c>
      <c r="U50" s="85" t="str">
        <f>TRIM(STLClientPriceCompute[[#This Row],[Description]])</f>
        <v>Greater than 250,000</v>
      </c>
      <c r="V50" s="82" t="str">
        <f>IF(STLClientPriceCompute[[#This Row],[Item Level]]=0,STLClientPriceCompute[[#This Row],[Desc without indent]],"")</f>
        <v/>
      </c>
      <c r="W50" s="82" t="str">
        <f>IF(STLClientPriceCompute[[#This Row],[Item Level]]=1,STLClientPriceCompute[[#This Row],[Desc without indent]],"")</f>
        <v/>
      </c>
      <c r="X50" s="82" t="str">
        <f>IF(STLClientPriceCompute[[#This Row],[Item Level]]=2,STLClientPriceCompute[[#This Row],[Desc without indent]],"")</f>
        <v/>
      </c>
      <c r="Y50" s="82" t="str">
        <f>IF(STLClientPriceCompute[[#This Row],[Item Level]]&gt;=3,_xlfn.CONCAT(REPT(" ",STLClientPriceCompute[[#This Row],[Item Level]]-3), STLClientPriceCompute[[#This Row],[Desc without indent]]),"")</f>
        <v>Greater than 250,000</v>
      </c>
      <c r="Z5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Package Per Warehouses Transitioned Through (Refer to Transit Warehouse Discount)</v>
      </c>
    </row>
    <row r="51" spans="2:26" x14ac:dyDescent="0.4">
      <c r="B51" s="15">
        <f>FIND(LEFT(TRIM(STLClientPriceCompute[[#This Row],[Description]]),1),STLClientPriceCompute[[#This Row],[Description]])-1</f>
        <v>0</v>
      </c>
      <c r="C51" s="19">
        <v>90</v>
      </c>
      <c r="D51" s="19"/>
      <c r="E51" s="19"/>
      <c r="F51" s="19" t="s">
        <v>160</v>
      </c>
      <c r="G51" s="19"/>
      <c r="H51" s="19" t="s">
        <v>87</v>
      </c>
      <c r="I51" s="20">
        <v>0</v>
      </c>
      <c r="J51" s="19"/>
      <c r="K51" s="19" t="s">
        <v>87</v>
      </c>
      <c r="L51" s="21">
        <v>0</v>
      </c>
      <c r="M51" s="19" t="s">
        <v>85</v>
      </c>
      <c r="N51" s="17">
        <f>_xlfn.IFNA(IF(STLClientPriceCompute[[#This Row],[Base Price (USD)]]="","", STLClientPriceCompute[[#This Row],[Base Price (USD)]]*VLOOKUP(_xlfn.CONCAT(STLClientPriceCompute[[#This Row],[Exchange Rate Group]],STLClientSpecificSettings[Currency]),ClientPriceExRate[[#All],[Ex-Currency]:[Exchange Rate]],2,FALSE)),"")</f>
        <v>0</v>
      </c>
      <c r="O5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1" s="22" cm="1">
        <f t="array" ref="P51">IF(STLClientSpecificSettings[Core Pack Excluded from Std volume discount]="EX",1, IF(STLClientSpecificSettings[Volume Price Adjustment]="HV", STLClientPriceCompute[[#This Row],[Category search for HV Base Discount]], STLClientSpecificSettings[Volume %]/100))</f>
        <v>1.5</v>
      </c>
      <c r="Q51" s="12" cm="1">
        <f t="array" ref="Q51">IF(ISBLANK(STLClientPriceCompute[[#This Row],[Category]]), 1, IF(ISNUMBER(SEARCH(CONCATENATE(STLClientPriceCompute[[#This Row],[Category]],"-",STLClientPriceCompute[[#This Row],[Code]]),STLClientSpecificSettings[VolumeBasedPriceItems])),STLClientSpecificSettings[Volume %]/100,1))</f>
        <v>1</v>
      </c>
      <c r="R51" s="12" cm="1">
        <f t="array" ref="R51">IF(STLClientSpecificSettings[Core Pack Excluded from Std volume discount]="UP",IF(OR(E51="USR",E51="RBU"),STLClientSpecificSettings[Core Uplift %]/100+1,1),1)</f>
        <v>1</v>
      </c>
      <c r="S5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1" s="26" t="str">
        <f>IF(STLClientPriceCompute[[#This Row],[Available]]="Y", "P",IF(STLClientPriceCompute[[#This Row],[Available]]="N","O",""))</f>
        <v/>
      </c>
      <c r="U51" s="85" t="str">
        <f>TRIM(STLClientPriceCompute[[#This Row],[Description]])</f>
        <v>Customs &amp; Country Specific Integrations</v>
      </c>
      <c r="V51" s="82" t="str">
        <f>IF(STLClientPriceCompute[[#This Row],[Item Level]]=0,STLClientPriceCompute[[#This Row],[Desc without indent]],"")</f>
        <v>Customs &amp; Country Specific Integrations</v>
      </c>
      <c r="W51" s="82" t="str">
        <f>IF(STLClientPriceCompute[[#This Row],[Item Level]]=1,STLClientPriceCompute[[#This Row],[Desc without indent]],"")</f>
        <v/>
      </c>
      <c r="X51" s="82" t="str">
        <f>IF(STLClientPriceCompute[[#This Row],[Item Level]]=2,STLClientPriceCompute[[#This Row],[Desc without indent]],"")</f>
        <v/>
      </c>
      <c r="Y51" s="82" t="str">
        <f>IF(STLClientPriceCompute[[#This Row],[Item Level]]&gt;=3,_xlfn.CONCAT(REPT(" ",STLClientPriceCompute[[#This Row],[Item Level]]-3), STLClientPriceCompute[[#This Row],[Desc without indent]]),"")</f>
        <v/>
      </c>
      <c r="Z5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52" spans="2:26" x14ac:dyDescent="0.4">
      <c r="B52" s="15">
        <f>FIND(LEFT(TRIM(STLClientPriceCompute[[#This Row],[Description]]),1),STLClientPriceCompute[[#This Row],[Description]])-1</f>
        <v>1</v>
      </c>
      <c r="C52" s="19">
        <v>91</v>
      </c>
      <c r="D52" s="19"/>
      <c r="E52" s="19"/>
      <c r="F52" s="19" t="s">
        <v>161</v>
      </c>
      <c r="G52" s="19"/>
      <c r="H52" s="19" t="s">
        <v>87</v>
      </c>
      <c r="I52" s="20">
        <v>0</v>
      </c>
      <c r="J52" s="19"/>
      <c r="K52" s="19" t="s">
        <v>87</v>
      </c>
      <c r="L52" s="21">
        <v>0</v>
      </c>
      <c r="M52" s="19" t="s">
        <v>85</v>
      </c>
      <c r="N52" s="17">
        <f>_xlfn.IFNA(IF(STLClientPriceCompute[[#This Row],[Base Price (USD)]]="","", STLClientPriceCompute[[#This Row],[Base Price (USD)]]*VLOOKUP(_xlfn.CONCAT(STLClientPriceCompute[[#This Row],[Exchange Rate Group]],STLClientSpecificSettings[Currency]),ClientPriceExRate[[#All],[Ex-Currency]:[Exchange Rate]],2,FALSE)),"")</f>
        <v>0</v>
      </c>
      <c r="O5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2" s="22" cm="1">
        <f t="array" ref="P52">IF(STLClientSpecificSettings[Core Pack Excluded from Std volume discount]="EX",1, IF(STLClientSpecificSettings[Volume Price Adjustment]="HV", STLClientPriceCompute[[#This Row],[Category search for HV Base Discount]], STLClientSpecificSettings[Volume %]/100))</f>
        <v>1.5</v>
      </c>
      <c r="Q52" s="12" cm="1">
        <f t="array" ref="Q52">IF(ISBLANK(STLClientPriceCompute[[#This Row],[Category]]), 1, IF(ISNUMBER(SEARCH(CONCATENATE(STLClientPriceCompute[[#This Row],[Category]],"-",STLClientPriceCompute[[#This Row],[Code]]),STLClientSpecificSettings[VolumeBasedPriceItems])),STLClientSpecificSettings[Volume %]/100,1))</f>
        <v>1</v>
      </c>
      <c r="R52" s="12" cm="1">
        <f t="array" ref="R52">IF(STLClientSpecificSettings[Core Pack Excluded from Std volume discount]="UP",IF(OR(E52="USR",E52="RBU"),STLClientSpecificSettings[Core Uplift %]/100+1,1),1)</f>
        <v>1</v>
      </c>
      <c r="S5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2" s="26" t="str">
        <f>IF(STLClientPriceCompute[[#This Row],[Available]]="Y", "P",IF(STLClientPriceCompute[[#This Row],[Available]]="N","O",""))</f>
        <v/>
      </c>
      <c r="U52" s="85" t="str">
        <f>TRIM(STLClientPriceCompute[[#This Row],[Description]])</f>
        <v>Customs and Other Government Research Tools</v>
      </c>
      <c r="V52" s="82" t="str">
        <f>IF(STLClientPriceCompute[[#This Row],[Item Level]]=0,STLClientPriceCompute[[#This Row],[Desc without indent]],"")</f>
        <v/>
      </c>
      <c r="W52" s="82" t="str">
        <f>IF(STLClientPriceCompute[[#This Row],[Item Level]]=1,STLClientPriceCompute[[#This Row],[Desc without indent]],"")</f>
        <v>Customs and Other Government Research Tools</v>
      </c>
      <c r="X52" s="82" t="str">
        <f>IF(STLClientPriceCompute[[#This Row],[Item Level]]=2,STLClientPriceCompute[[#This Row],[Desc without indent]],"")</f>
        <v/>
      </c>
      <c r="Y52" s="82" t="str">
        <f>IF(STLClientPriceCompute[[#This Row],[Item Level]]&gt;=3,_xlfn.CONCAT(REPT(" ",STLClientPriceCompute[[#This Row],[Item Level]]-3), STLClientPriceCompute[[#This Row],[Desc without indent]]),"")</f>
        <v/>
      </c>
      <c r="Z5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53" spans="2:26" x14ac:dyDescent="0.4">
      <c r="B53" s="15">
        <f>FIND(LEFT(TRIM(STLClientPriceCompute[[#This Row],[Description]]),1),STLClientPriceCompute[[#This Row],[Description]])-1</f>
        <v>2</v>
      </c>
      <c r="C53" s="19">
        <v>92</v>
      </c>
      <c r="D53" s="19"/>
      <c r="E53" s="19"/>
      <c r="F53" s="19" t="s">
        <v>162</v>
      </c>
      <c r="G53" s="19"/>
      <c r="H53" s="19" t="s">
        <v>87</v>
      </c>
      <c r="I53" s="20">
        <v>0</v>
      </c>
      <c r="J53" s="19"/>
      <c r="K53" s="19" t="s">
        <v>87</v>
      </c>
      <c r="L53" s="21">
        <v>0</v>
      </c>
      <c r="M53" s="19" t="s">
        <v>85</v>
      </c>
      <c r="N53" s="17">
        <f>_xlfn.IFNA(IF(STLClientPriceCompute[[#This Row],[Base Price (USD)]]="","", STLClientPriceCompute[[#This Row],[Base Price (USD)]]*VLOOKUP(_xlfn.CONCAT(STLClientPriceCompute[[#This Row],[Exchange Rate Group]],STLClientSpecificSettings[Currency]),ClientPriceExRate[[#All],[Ex-Currency]:[Exchange Rate]],2,FALSE)),"")</f>
        <v>0</v>
      </c>
      <c r="O5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3" s="22" cm="1">
        <f t="array" ref="P53">IF(STLClientSpecificSettings[Core Pack Excluded from Std volume discount]="EX",1, IF(STLClientSpecificSettings[Volume Price Adjustment]="HV", STLClientPriceCompute[[#This Row],[Category search for HV Base Discount]], STLClientSpecificSettings[Volume %]/100))</f>
        <v>1.5</v>
      </c>
      <c r="Q53" s="12" cm="1">
        <f t="array" ref="Q53">IF(ISBLANK(STLClientPriceCompute[[#This Row],[Category]]), 1, IF(ISNUMBER(SEARCH(CONCATENATE(STLClientPriceCompute[[#This Row],[Category]],"-",STLClientPriceCompute[[#This Row],[Code]]),STLClientSpecificSettings[VolumeBasedPriceItems])),STLClientSpecificSettings[Volume %]/100,1))</f>
        <v>1</v>
      </c>
      <c r="R53" s="12" cm="1">
        <f t="array" ref="R53">IF(STLClientSpecificSettings[Core Pack Excluded from Std volume discount]="UP",IF(OR(E53="USR",E53="RBU"),STLClientSpecificSettings[Core Uplift %]/100+1,1),1)</f>
        <v>1</v>
      </c>
      <c r="S5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3" s="26" t="str">
        <f>IF(STLClientPriceCompute[[#This Row],[Available]]="Y", "P",IF(STLClientPriceCompute[[#This Row],[Available]]="N","O",""))</f>
        <v/>
      </c>
      <c r="U53" s="85" t="str">
        <f>TRIM(STLClientPriceCompute[[#This Row],[Description]])</f>
        <v>Global Compliance</v>
      </c>
      <c r="V53" s="82" t="str">
        <f>IF(STLClientPriceCompute[[#This Row],[Item Level]]=0,STLClientPriceCompute[[#This Row],[Desc without indent]],"")</f>
        <v/>
      </c>
      <c r="W53" s="82" t="str">
        <f>IF(STLClientPriceCompute[[#This Row],[Item Level]]=1,STLClientPriceCompute[[#This Row],[Desc without indent]],"")</f>
        <v/>
      </c>
      <c r="X53" s="82" t="str">
        <f>IF(STLClientPriceCompute[[#This Row],[Item Level]]=2,STLClientPriceCompute[[#This Row],[Desc without indent]],"")</f>
        <v>Global Compliance</v>
      </c>
      <c r="Y53" s="82" t="str">
        <f>IF(STLClientPriceCompute[[#This Row],[Item Level]]&gt;=3,_xlfn.CONCAT(REPT(" ",STLClientPriceCompute[[#This Row],[Item Level]]-3), STLClientPriceCompute[[#This Row],[Desc without indent]]),"")</f>
        <v/>
      </c>
      <c r="Z5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54" spans="2:26" x14ac:dyDescent="0.4">
      <c r="B54" s="15">
        <f>FIND(LEFT(TRIM(STLClientPriceCompute[[#This Row],[Description]]),1),STLClientPriceCompute[[#This Row],[Description]])-1</f>
        <v>3</v>
      </c>
      <c r="C54" s="19">
        <v>93</v>
      </c>
      <c r="D54" s="19"/>
      <c r="E54" s="19"/>
      <c r="F54" s="19" t="s">
        <v>163</v>
      </c>
      <c r="G54" s="19"/>
      <c r="H54" s="19" t="s">
        <v>87</v>
      </c>
      <c r="I54" s="20">
        <v>0</v>
      </c>
      <c r="J54" s="19" t="s">
        <v>164</v>
      </c>
      <c r="K54" s="19" t="s">
        <v>87</v>
      </c>
      <c r="L54" s="21">
        <v>0</v>
      </c>
      <c r="M54" s="19" t="s">
        <v>85</v>
      </c>
      <c r="N54" s="17">
        <f>_xlfn.IFNA(IF(STLClientPriceCompute[[#This Row],[Base Price (USD)]]="","", STLClientPriceCompute[[#This Row],[Base Price (USD)]]*VLOOKUP(_xlfn.CONCAT(STLClientPriceCompute[[#This Row],[Exchange Rate Group]],STLClientSpecificSettings[Currency]),ClientPriceExRate[[#All],[Ex-Currency]:[Exchange Rate]],2,FALSE)),"")</f>
        <v>0</v>
      </c>
      <c r="O5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4" s="22" cm="1">
        <f t="array" ref="P54">IF(STLClientSpecificSettings[Core Pack Excluded from Std volume discount]="EX",1, IF(STLClientSpecificSettings[Volume Price Adjustment]="HV", STLClientPriceCompute[[#This Row],[Category search for HV Base Discount]], STLClientSpecificSettings[Volume %]/100))</f>
        <v>1.5</v>
      </c>
      <c r="Q54" s="12" cm="1">
        <f t="array" ref="Q54">IF(ISBLANK(STLClientPriceCompute[[#This Row],[Category]]), 1, IF(ISNUMBER(SEARCH(CONCATENATE(STLClientPriceCompute[[#This Row],[Category]],"-",STLClientPriceCompute[[#This Row],[Code]]),STLClientSpecificSettings[VolumeBasedPriceItems])),STLClientSpecificSettings[Volume %]/100,1))</f>
        <v>1</v>
      </c>
      <c r="R54" s="12" cm="1">
        <f t="array" ref="R54">IF(STLClientSpecificSettings[Core Pack Excluded from Std volume discount]="UP",IF(OR(E54="USR",E54="RBU"),STLClientSpecificSettings[Core Uplift %]/100+1,1),1)</f>
        <v>1</v>
      </c>
      <c r="S5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4" s="26" t="str">
        <f>IF(STLClientPriceCompute[[#This Row],[Available]]="Y", "P",IF(STLClientPriceCompute[[#This Row],[Available]]="N","O",""))</f>
        <v/>
      </c>
      <c r="U54" s="85" t="str">
        <f>TRIM(STLClientPriceCompute[[#This Row],[Description]])</f>
        <v>Compliance Manager (Research &amp; Classification)</v>
      </c>
      <c r="V54" s="82" t="str">
        <f>IF(STLClientPriceCompute[[#This Row],[Item Level]]=0,STLClientPriceCompute[[#This Row],[Desc without indent]],"")</f>
        <v/>
      </c>
      <c r="W54" s="82" t="str">
        <f>IF(STLClientPriceCompute[[#This Row],[Item Level]]=1,STLClientPriceCompute[[#This Row],[Desc without indent]],"")</f>
        <v/>
      </c>
      <c r="X54" s="82" t="str">
        <f>IF(STLClientPriceCompute[[#This Row],[Item Level]]=2,STLClientPriceCompute[[#This Row],[Desc without indent]],"")</f>
        <v/>
      </c>
      <c r="Y54" s="82" t="str">
        <f>IF(STLClientPriceCompute[[#This Row],[Item Level]]&gt;=3,_xlfn.CONCAT(REPT(" ",STLClientPriceCompute[[#This Row],[Item Level]]-3), STLClientPriceCompute[[#This Row],[Desc without indent]]),"")</f>
        <v>Compliance Manager (Research &amp; Classification)</v>
      </c>
      <c r="Z5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(ediTariff)</v>
      </c>
    </row>
    <row r="55" spans="2:26" x14ac:dyDescent="0.4">
      <c r="B55" s="15">
        <f>FIND(LEFT(TRIM(STLClientPriceCompute[[#This Row],[Description]]),1),STLClientPriceCompute[[#This Row],[Description]])-1</f>
        <v>1</v>
      </c>
      <c r="C55" s="19">
        <v>94</v>
      </c>
      <c r="D55" s="19"/>
      <c r="E55" s="19"/>
      <c r="F55" s="19" t="s">
        <v>165</v>
      </c>
      <c r="G55" s="19"/>
      <c r="H55" s="19" t="s">
        <v>87</v>
      </c>
      <c r="I55" s="20">
        <v>0</v>
      </c>
      <c r="J55" s="19"/>
      <c r="K55" s="19" t="s">
        <v>87</v>
      </c>
      <c r="L55" s="21">
        <v>0</v>
      </c>
      <c r="M55" s="19" t="s">
        <v>85</v>
      </c>
      <c r="N55" s="17">
        <f>_xlfn.IFNA(IF(STLClientPriceCompute[[#This Row],[Base Price (USD)]]="","", STLClientPriceCompute[[#This Row],[Base Price (USD)]]*VLOOKUP(_xlfn.CONCAT(STLClientPriceCompute[[#This Row],[Exchange Rate Group]],STLClientSpecificSettings[Currency]),ClientPriceExRate[[#All],[Ex-Currency]:[Exchange Rate]],2,FALSE)),"")</f>
        <v>0</v>
      </c>
      <c r="O5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5" s="22" cm="1">
        <f t="array" ref="P55">IF(STLClientSpecificSettings[Core Pack Excluded from Std volume discount]="EX",1, IF(STLClientSpecificSettings[Volume Price Adjustment]="HV", STLClientPriceCompute[[#This Row],[Category search for HV Base Discount]], STLClientSpecificSettings[Volume %]/100))</f>
        <v>1.5</v>
      </c>
      <c r="Q55" s="12" cm="1">
        <f t="array" ref="Q55">IF(ISBLANK(STLClientPriceCompute[[#This Row],[Category]]), 1, IF(ISNUMBER(SEARCH(CONCATENATE(STLClientPriceCompute[[#This Row],[Category]],"-",STLClientPriceCompute[[#This Row],[Code]]),STLClientSpecificSettings[VolumeBasedPriceItems])),STLClientSpecificSettings[Volume %]/100,1))</f>
        <v>1</v>
      </c>
      <c r="R55" s="12" cm="1">
        <f t="array" ref="R55">IF(STLClientSpecificSettings[Core Pack Excluded from Std volume discount]="UP",IF(OR(E55="USR",E55="RBU"),STLClientSpecificSettings[Core Uplift %]/100+1,1),1)</f>
        <v>1</v>
      </c>
      <c r="S5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5" s="26" t="str">
        <f>IF(STLClientPriceCompute[[#This Row],[Available]]="Y", "P",IF(STLClientPriceCompute[[#This Row],[Available]]="N","O",""))</f>
        <v/>
      </c>
      <c r="U55" s="85" t="str">
        <f>TRIM(STLClientPriceCompute[[#This Row],[Description]])</f>
        <v>Pre Departure, Advanced Filing, Embargo and Denied Parties</v>
      </c>
      <c r="V55" s="82" t="str">
        <f>IF(STLClientPriceCompute[[#This Row],[Item Level]]=0,STLClientPriceCompute[[#This Row],[Desc without indent]],"")</f>
        <v/>
      </c>
      <c r="W55" s="82" t="str">
        <f>IF(STLClientPriceCompute[[#This Row],[Item Level]]=1,STLClientPriceCompute[[#This Row],[Desc without indent]],"")</f>
        <v>Pre Departure, Advanced Filing, Embargo and Denied Parties</v>
      </c>
      <c r="X55" s="82" t="str">
        <f>IF(STLClientPriceCompute[[#This Row],[Item Level]]=2,STLClientPriceCompute[[#This Row],[Desc without indent]],"")</f>
        <v/>
      </c>
      <c r="Y55" s="82" t="str">
        <f>IF(STLClientPriceCompute[[#This Row],[Item Level]]&gt;=3,_xlfn.CONCAT(REPT(" ",STLClientPriceCompute[[#This Row],[Item Level]]-3), STLClientPriceCompute[[#This Row],[Desc without indent]]),"")</f>
        <v/>
      </c>
      <c r="Z5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56" spans="2:26" x14ac:dyDescent="0.4">
      <c r="B56" s="15">
        <f>FIND(LEFT(TRIM(STLClientPriceCompute[[#This Row],[Description]]),1),STLClientPriceCompute[[#This Row],[Description]])-1</f>
        <v>2</v>
      </c>
      <c r="C56" s="19">
        <v>95</v>
      </c>
      <c r="D56" s="19"/>
      <c r="E56" s="19"/>
      <c r="F56" s="19" t="s">
        <v>166</v>
      </c>
      <c r="G56" s="19"/>
      <c r="H56" s="19" t="s">
        <v>87</v>
      </c>
      <c r="I56" s="20">
        <v>0</v>
      </c>
      <c r="J56" s="19"/>
      <c r="K56" s="19" t="s">
        <v>87</v>
      </c>
      <c r="L56" s="21">
        <v>0</v>
      </c>
      <c r="M56" s="19" t="s">
        <v>85</v>
      </c>
      <c r="N56" s="17">
        <f>_xlfn.IFNA(IF(STLClientPriceCompute[[#This Row],[Base Price (USD)]]="","", STLClientPriceCompute[[#This Row],[Base Price (USD)]]*VLOOKUP(_xlfn.CONCAT(STLClientPriceCompute[[#This Row],[Exchange Rate Group]],STLClientSpecificSettings[Currency]),ClientPriceExRate[[#All],[Ex-Currency]:[Exchange Rate]],2,FALSE)),"")</f>
        <v>0</v>
      </c>
      <c r="O5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56" s="22" cm="1">
        <f t="array" ref="P56">IF(STLClientSpecificSettings[Core Pack Excluded from Std volume discount]="EX",1, IF(STLClientSpecificSettings[Volume Price Adjustment]="HV", STLClientPriceCompute[[#This Row],[Category search for HV Base Discount]], STLClientSpecificSettings[Volume %]/100))</f>
        <v>1.5</v>
      </c>
      <c r="Q56" s="12" cm="1">
        <f t="array" ref="Q56">IF(ISBLANK(STLClientPriceCompute[[#This Row],[Category]]), 1, IF(ISNUMBER(SEARCH(CONCATENATE(STLClientPriceCompute[[#This Row],[Category]],"-",STLClientPriceCompute[[#This Row],[Code]]),STLClientSpecificSettings[VolumeBasedPriceItems])),STLClientSpecificSettings[Volume %]/100,1))</f>
        <v>1</v>
      </c>
      <c r="R56" s="12" cm="1">
        <f t="array" ref="R56">IF(STLClientSpecificSettings[Core Pack Excluded from Std volume discount]="UP",IF(OR(E56="USR",E56="RBU"),STLClientSpecificSettings[Core Uplift %]/100+1,1),1)</f>
        <v>1</v>
      </c>
      <c r="S5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56" s="26" t="str">
        <f>IF(STLClientPriceCompute[[#This Row],[Available]]="Y", "P",IF(STLClientPriceCompute[[#This Row],[Available]]="N","O",""))</f>
        <v/>
      </c>
      <c r="U56" s="85" t="str">
        <f>TRIM(STLClientPriceCompute[[#This Row],[Description]])</f>
        <v>Embargo / Denied Parties / Parties of Interest etc</v>
      </c>
      <c r="V56" s="82" t="str">
        <f>IF(STLClientPriceCompute[[#This Row],[Item Level]]=0,STLClientPriceCompute[[#This Row],[Desc without indent]],"")</f>
        <v/>
      </c>
      <c r="W56" s="82" t="str">
        <f>IF(STLClientPriceCompute[[#This Row],[Item Level]]=1,STLClientPriceCompute[[#This Row],[Desc without indent]],"")</f>
        <v/>
      </c>
      <c r="X56" s="82" t="str">
        <f>IF(STLClientPriceCompute[[#This Row],[Item Level]]=2,STLClientPriceCompute[[#This Row],[Desc without indent]],"")</f>
        <v>Embargo / Denied Parties / Parties of Interest etc</v>
      </c>
      <c r="Y56" s="82" t="str">
        <f>IF(STLClientPriceCompute[[#This Row],[Item Level]]&gt;=3,_xlfn.CONCAT(REPT(" ",STLClientPriceCompute[[#This Row],[Item Level]]-3), STLClientPriceCompute[[#This Row],[Desc without indent]]),"")</f>
        <v/>
      </c>
      <c r="Z5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57" spans="2:26" x14ac:dyDescent="0.4">
      <c r="B57" s="15">
        <f>FIND(LEFT(TRIM(STLClientPriceCompute[[#This Row],[Description]]),1),STLClientPriceCompute[[#This Row],[Description]])-1</f>
        <v>3</v>
      </c>
      <c r="C57" s="19">
        <v>96</v>
      </c>
      <c r="D57" s="19"/>
      <c r="E57" s="19"/>
      <c r="F57" s="19" t="s">
        <v>167</v>
      </c>
      <c r="G57" s="19"/>
      <c r="H57" s="19" t="s">
        <v>87</v>
      </c>
      <c r="I57" s="20">
        <v>3.4420899999999999</v>
      </c>
      <c r="J57" s="19" t="s">
        <v>168</v>
      </c>
      <c r="K57" s="19" t="s">
        <v>87</v>
      </c>
      <c r="L57" s="21">
        <v>34.420900000000003</v>
      </c>
      <c r="M57" s="19" t="s">
        <v>85</v>
      </c>
      <c r="N57" s="17">
        <f>_xlfn.IFNA(IF(STLClientPriceCompute[[#This Row],[Base Price (USD)]]="","", STLClientPriceCompute[[#This Row],[Base Price (USD)]]*VLOOKUP(_xlfn.CONCAT(STLClientPriceCompute[[#This Row],[Exchange Rate Group]],STLClientSpecificSettings[Currency]),ClientPriceExRate[[#All],[Ex-Currency]:[Exchange Rate]],2,FALSE)),"")</f>
        <v>4.8074294194</v>
      </c>
      <c r="O5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57" s="22" cm="1">
        <f t="array" ref="P57">IF(STLClientSpecificSettings[Core Pack Excluded from Std volume discount]="EX",1, IF(STLClientSpecificSettings[Volume Price Adjustment]="HV", STLClientPriceCompute[[#This Row],[Category search for HV Base Discount]], STLClientSpecificSettings[Volume %]/100))</f>
        <v>1.5</v>
      </c>
      <c r="Q57" s="12" cm="1">
        <f t="array" ref="Q57">IF(ISBLANK(STLClientPriceCompute[[#This Row],[Category]]), 1, IF(ISNUMBER(SEARCH(CONCATENATE(STLClientPriceCompute[[#This Row],[Category]],"-",STLClientPriceCompute[[#This Row],[Code]]),STLClientSpecificSettings[VolumeBasedPriceItems])),STLClientSpecificSettings[Volume %]/100,1))</f>
        <v>1</v>
      </c>
      <c r="R57" s="12" cm="1">
        <f t="array" ref="R57">IF(STLClientSpecificSettings[Core Pack Excluded from Std volume discount]="UP",IF(OR(E57="USR",E57="RBU"),STLClientSpecificSettings[Core Uplift %]/100+1,1),1)</f>
        <v>1</v>
      </c>
      <c r="S5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57" s="26" t="str">
        <f>IF(STLClientPriceCompute[[#This Row],[Available]]="Y", "P",IF(STLClientPriceCompute[[#This Row],[Available]]="N","O",""))</f>
        <v/>
      </c>
      <c r="U57" s="85" t="str">
        <f>TRIM(STLClientPriceCompute[[#This Row],[Description]])</f>
        <v>Embargo Management</v>
      </c>
      <c r="V57" s="82" t="str">
        <f>IF(STLClientPriceCompute[[#This Row],[Item Level]]=0,STLClientPriceCompute[[#This Row],[Desc without indent]],"")</f>
        <v/>
      </c>
      <c r="W57" s="82" t="str">
        <f>IF(STLClientPriceCompute[[#This Row],[Item Level]]=1,STLClientPriceCompute[[#This Row],[Desc without indent]],"")</f>
        <v/>
      </c>
      <c r="X57" s="82" t="str">
        <f>IF(STLClientPriceCompute[[#This Row],[Item Level]]=2,STLClientPriceCompute[[#This Row],[Desc without indent]],"")</f>
        <v/>
      </c>
      <c r="Y57" s="82" t="str">
        <f>IF(STLClientPriceCompute[[#This Row],[Item Level]]&gt;=3,_xlfn.CONCAT(REPT(" ",STLClientPriceCompute[[#This Row],[Item Level]]-3), STLClientPriceCompute[[#This Row],[Desc without indent]]),"")</f>
        <v>Embargo Management</v>
      </c>
      <c r="Z5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Screened Movement/Shipment</v>
      </c>
    </row>
    <row r="58" spans="2:26" x14ac:dyDescent="0.4">
      <c r="B58" s="15">
        <f>FIND(LEFT(TRIM(STLClientPriceCompute[[#This Row],[Description]]),1),STLClientPriceCompute[[#This Row],[Description]])-1</f>
        <v>3</v>
      </c>
      <c r="C58" s="19">
        <v>97</v>
      </c>
      <c r="D58" s="19" t="s">
        <v>169</v>
      </c>
      <c r="E58" s="19" t="s">
        <v>169</v>
      </c>
      <c r="F58" s="19" t="s">
        <v>170</v>
      </c>
      <c r="G58" s="19"/>
      <c r="H58" s="19" t="s">
        <v>87</v>
      </c>
      <c r="I58" s="20">
        <v>1.7210449999999999</v>
      </c>
      <c r="J58" s="19" t="s">
        <v>171</v>
      </c>
      <c r="K58" s="19" t="s">
        <v>87</v>
      </c>
      <c r="L58" s="21">
        <v>17.210450000000002</v>
      </c>
      <c r="M58" s="19" t="s">
        <v>85</v>
      </c>
      <c r="N58" s="17">
        <f>_xlfn.IFNA(IF(STLClientPriceCompute[[#This Row],[Base Price (USD)]]="","", STLClientPriceCompute[[#This Row],[Base Price (USD)]]*VLOOKUP(_xlfn.CONCAT(STLClientPriceCompute[[#This Row],[Exchange Rate Group]],STLClientSpecificSettings[Currency]),ClientPriceExRate[[#All],[Ex-Currency]:[Exchange Rate]],2,FALSE)),"")</f>
        <v>2.4037147097</v>
      </c>
      <c r="O5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58" s="22" cm="1">
        <f t="array" ref="P58">IF(STLClientSpecificSettings[Core Pack Excluded from Std volume discount]="EX",1, IF(STLClientSpecificSettings[Volume Price Adjustment]="HV", STLClientPriceCompute[[#This Row],[Category search for HV Base Discount]], STLClientSpecificSettings[Volume %]/100))</f>
        <v>1.5</v>
      </c>
      <c r="Q58" s="12" cm="1">
        <f t="array" ref="Q58">IF(ISBLANK(STLClientPriceCompute[[#This Row],[Category]]), 1, IF(ISNUMBER(SEARCH(CONCATENATE(STLClientPriceCompute[[#This Row],[Category]],"-",STLClientPriceCompute[[#This Row],[Code]]),STLClientSpecificSettings[VolumeBasedPriceItems])),STLClientSpecificSettings[Volume %]/100,1))</f>
        <v>1</v>
      </c>
      <c r="R58" s="12" cm="1">
        <f t="array" ref="R58">IF(STLClientSpecificSettings[Core Pack Excluded from Std volume discount]="UP",IF(OR(E58="USR",E58="RBU"),STLClientSpecificSettings[Core Uplift %]/100+1,1),1)</f>
        <v>1</v>
      </c>
      <c r="S5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58" s="26" t="str">
        <f>IF(STLClientPriceCompute[[#This Row],[Available]]="Y", "P",IF(STLClientPriceCompute[[#This Row],[Available]]="N","O",""))</f>
        <v/>
      </c>
      <c r="U58" s="85" t="str">
        <f>TRIM(STLClientPriceCompute[[#This Row],[Description]])</f>
        <v>Importer Security Filing (eg: ISF/10+2 and other similar)</v>
      </c>
      <c r="V58" s="82" t="str">
        <f>IF(STLClientPriceCompute[[#This Row],[Item Level]]=0,STLClientPriceCompute[[#This Row],[Desc without indent]],"")</f>
        <v/>
      </c>
      <c r="W58" s="82" t="str">
        <f>IF(STLClientPriceCompute[[#This Row],[Item Level]]=1,STLClientPriceCompute[[#This Row],[Desc without indent]],"")</f>
        <v/>
      </c>
      <c r="X58" s="82" t="str">
        <f>IF(STLClientPriceCompute[[#This Row],[Item Level]]=2,STLClientPriceCompute[[#This Row],[Desc without indent]],"")</f>
        <v/>
      </c>
      <c r="Y58" s="82" t="str">
        <f>IF(STLClientPriceCompute[[#This Row],[Item Level]]&gt;=3,_xlfn.CONCAT(REPT(" ",STLClientPriceCompute[[#This Row],[Item Level]]-3), STLClientPriceCompute[[#This Row],[Desc without indent]]),"")</f>
        <v>Importer Security Filing (eg: ISF/10+2 and other similar)</v>
      </c>
      <c r="Z5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Original Transmission</v>
      </c>
    </row>
    <row r="59" spans="2:26" x14ac:dyDescent="0.4">
      <c r="B59" s="15">
        <f>FIND(LEFT(TRIM(STLClientPriceCompute[[#This Row],[Description]]),1),STLClientPriceCompute[[#This Row],[Description]])-1</f>
        <v>3</v>
      </c>
      <c r="C59" s="19">
        <v>98</v>
      </c>
      <c r="D59" s="19" t="s">
        <v>87</v>
      </c>
      <c r="E59" s="19" t="s">
        <v>172</v>
      </c>
      <c r="F59" s="19" t="s">
        <v>173</v>
      </c>
      <c r="G59" s="19"/>
      <c r="H59" s="19" t="s">
        <v>87</v>
      </c>
      <c r="I59" s="20">
        <v>1.7210449999999999</v>
      </c>
      <c r="J59" s="19" t="s">
        <v>171</v>
      </c>
      <c r="K59" s="19" t="s">
        <v>87</v>
      </c>
      <c r="L59" s="21">
        <v>17.210450000000002</v>
      </c>
      <c r="M59" s="19" t="s">
        <v>85</v>
      </c>
      <c r="N59" s="17">
        <f>_xlfn.IFNA(IF(STLClientPriceCompute[[#This Row],[Base Price (USD)]]="","", STLClientPriceCompute[[#This Row],[Base Price (USD)]]*VLOOKUP(_xlfn.CONCAT(STLClientPriceCompute[[#This Row],[Exchange Rate Group]],STLClientSpecificSettings[Currency]),ClientPriceExRate[[#All],[Ex-Currency]:[Exchange Rate]],2,FALSE)),"")</f>
        <v>2.4037147097</v>
      </c>
      <c r="O5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59" s="22" cm="1">
        <f t="array" ref="P59">IF(STLClientSpecificSettings[Core Pack Excluded from Std volume discount]="EX",1, IF(STLClientSpecificSettings[Volume Price Adjustment]="HV", STLClientPriceCompute[[#This Row],[Category search for HV Base Discount]], STLClientSpecificSettings[Volume %]/100))</f>
        <v>1.5</v>
      </c>
      <c r="Q59" s="12" cm="1">
        <f t="array" ref="Q59">IF(ISBLANK(STLClientPriceCompute[[#This Row],[Category]]), 1, IF(ISNUMBER(SEARCH(CONCATENATE(STLClientPriceCompute[[#This Row],[Category]],"-",STLClientPriceCompute[[#This Row],[Code]]),STLClientSpecificSettings[VolumeBasedPriceItems])),STLClientSpecificSettings[Volume %]/100,1))</f>
        <v>1</v>
      </c>
      <c r="R59" s="12" cm="1">
        <f t="array" ref="R59">IF(STLClientSpecificSettings[Core Pack Excluded from Std volume discount]="UP",IF(OR(E59="USR",E59="RBU"),STLClientSpecificSettings[Core Uplift %]/100+1,1),1)</f>
        <v>1</v>
      </c>
      <c r="S5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59" s="26" t="str">
        <f>IF(STLClientPriceCompute[[#This Row],[Available]]="Y", "P",IF(STLClientPriceCompute[[#This Row],[Available]]="N","O",""))</f>
        <v/>
      </c>
      <c r="U59" s="85" t="str">
        <f>TRIM(STLClientPriceCompute[[#This Row],[Description]])</f>
        <v>Pre Departure Manifest (eManifest, AMS, ACI, ICS, AFR etc)</v>
      </c>
      <c r="V59" s="82" t="str">
        <f>IF(STLClientPriceCompute[[#This Row],[Item Level]]=0,STLClientPriceCompute[[#This Row],[Desc without indent]],"")</f>
        <v/>
      </c>
      <c r="W59" s="82" t="str">
        <f>IF(STLClientPriceCompute[[#This Row],[Item Level]]=1,STLClientPriceCompute[[#This Row],[Desc without indent]],"")</f>
        <v/>
      </c>
      <c r="X59" s="82" t="str">
        <f>IF(STLClientPriceCompute[[#This Row],[Item Level]]=2,STLClientPriceCompute[[#This Row],[Desc without indent]],"")</f>
        <v/>
      </c>
      <c r="Y59" s="82" t="str">
        <f>IF(STLClientPriceCompute[[#This Row],[Item Level]]&gt;=3,_xlfn.CONCAT(REPT(" ",STLClientPriceCompute[[#This Row],[Item Level]]-3), STLClientPriceCompute[[#This Row],[Desc without indent]]),"")</f>
        <v>Pre Departure Manifest (eManifest, AMS, ACI, ICS, AFR etc)</v>
      </c>
      <c r="Z5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Original Transmission</v>
      </c>
    </row>
    <row r="60" spans="2:26" x14ac:dyDescent="0.4">
      <c r="B60" s="15">
        <f>FIND(LEFT(TRIM(STLClientPriceCompute[[#This Row],[Description]]),1),STLClientPriceCompute[[#This Row],[Description]])-1</f>
        <v>1</v>
      </c>
      <c r="C60" s="19">
        <v>99</v>
      </c>
      <c r="D60" s="19"/>
      <c r="E60" s="19"/>
      <c r="F60" s="19" t="s">
        <v>174</v>
      </c>
      <c r="G60" s="19"/>
      <c r="H60" s="19" t="s">
        <v>87</v>
      </c>
      <c r="I60" s="20">
        <v>0</v>
      </c>
      <c r="J60" s="19"/>
      <c r="K60" s="19" t="s">
        <v>87</v>
      </c>
      <c r="L60" s="21">
        <v>0</v>
      </c>
      <c r="M60" s="19" t="s">
        <v>85</v>
      </c>
      <c r="N60" s="17">
        <f>_xlfn.IFNA(IF(STLClientPriceCompute[[#This Row],[Base Price (USD)]]="","", STLClientPriceCompute[[#This Row],[Base Price (USD)]]*VLOOKUP(_xlfn.CONCAT(STLClientPriceCompute[[#This Row],[Exchange Rate Group]],STLClientSpecificSettings[Currency]),ClientPriceExRate[[#All],[Ex-Currency]:[Exchange Rate]],2,FALSE)),"")</f>
        <v>0</v>
      </c>
      <c r="O6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60" s="22" cm="1">
        <f t="array" ref="P60">IF(STLClientSpecificSettings[Core Pack Excluded from Std volume discount]="EX",1, IF(STLClientSpecificSettings[Volume Price Adjustment]="HV", STLClientPriceCompute[[#This Row],[Category search for HV Base Discount]], STLClientSpecificSettings[Volume %]/100))</f>
        <v>1.5</v>
      </c>
      <c r="Q60" s="12" cm="1">
        <f t="array" ref="Q60">IF(ISBLANK(STLClientPriceCompute[[#This Row],[Category]]), 1, IF(ISNUMBER(SEARCH(CONCATENATE(STLClientPriceCompute[[#This Row],[Category]],"-",STLClientPriceCompute[[#This Row],[Code]]),STLClientSpecificSettings[VolumeBasedPriceItems])),STLClientSpecificSettings[Volume %]/100,1))</f>
        <v>1</v>
      </c>
      <c r="R60" s="12" cm="1">
        <f t="array" ref="R60">IF(STLClientSpecificSettings[Core Pack Excluded from Std volume discount]="UP",IF(OR(E60="USR",E60="RBU"),STLClientSpecificSettings[Core Uplift %]/100+1,1),1)</f>
        <v>1</v>
      </c>
      <c r="S6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60" s="26" t="str">
        <f>IF(STLClientPriceCompute[[#This Row],[Available]]="Y", "P",IF(STLClientPriceCompute[[#This Row],[Available]]="N","O",""))</f>
        <v/>
      </c>
      <c r="U60" s="85" t="str">
        <f>TRIM(STLClientPriceCompute[[#This Row],[Description]])</f>
        <v>Customs &amp; Other Government Communication</v>
      </c>
      <c r="V60" s="82" t="str">
        <f>IF(STLClientPriceCompute[[#This Row],[Item Level]]=0,STLClientPriceCompute[[#This Row],[Desc without indent]],"")</f>
        <v/>
      </c>
      <c r="W60" s="82" t="str">
        <f>IF(STLClientPriceCompute[[#This Row],[Item Level]]=1,STLClientPriceCompute[[#This Row],[Desc without indent]],"")</f>
        <v>Customs &amp; Other Government Communication</v>
      </c>
      <c r="X60" s="82" t="str">
        <f>IF(STLClientPriceCompute[[#This Row],[Item Level]]=2,STLClientPriceCompute[[#This Row],[Desc without indent]],"")</f>
        <v/>
      </c>
      <c r="Y60" s="82" t="str">
        <f>IF(STLClientPriceCompute[[#This Row],[Item Level]]&gt;=3,_xlfn.CONCAT(REPT(" ",STLClientPriceCompute[[#This Row],[Item Level]]-3), STLClientPriceCompute[[#This Row],[Desc without indent]]),"")</f>
        <v/>
      </c>
      <c r="Z6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61" spans="2:26" x14ac:dyDescent="0.4">
      <c r="B61" s="15">
        <f>FIND(LEFT(TRIM(STLClientPriceCompute[[#This Row],[Description]]),1),STLClientPriceCompute[[#This Row],[Description]])-1</f>
        <v>2</v>
      </c>
      <c r="C61" s="19">
        <v>100</v>
      </c>
      <c r="D61" s="19"/>
      <c r="E61" s="19"/>
      <c r="F61" s="19" t="s">
        <v>175</v>
      </c>
      <c r="G61" s="19"/>
      <c r="H61" s="19" t="s">
        <v>87</v>
      </c>
      <c r="I61" s="20">
        <v>0</v>
      </c>
      <c r="J61" s="19"/>
      <c r="K61" s="19" t="s">
        <v>87</v>
      </c>
      <c r="L61" s="21">
        <v>0</v>
      </c>
      <c r="M61" s="19" t="s">
        <v>85</v>
      </c>
      <c r="N61" s="17">
        <f>_xlfn.IFNA(IF(STLClientPriceCompute[[#This Row],[Base Price (USD)]]="","", STLClientPriceCompute[[#This Row],[Base Price (USD)]]*VLOOKUP(_xlfn.CONCAT(STLClientPriceCompute[[#This Row],[Exchange Rate Group]],STLClientSpecificSettings[Currency]),ClientPriceExRate[[#All],[Ex-Currency]:[Exchange Rate]],2,FALSE)),"")</f>
        <v>0</v>
      </c>
      <c r="O6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61" s="22" cm="1">
        <f t="array" ref="P61">IF(STLClientSpecificSettings[Core Pack Excluded from Std volume discount]="EX",1, IF(STLClientSpecificSettings[Volume Price Adjustment]="HV", STLClientPriceCompute[[#This Row],[Category search for HV Base Discount]], STLClientSpecificSettings[Volume %]/100))</f>
        <v>1.5</v>
      </c>
      <c r="Q61" s="12" cm="1">
        <f t="array" ref="Q61">IF(ISBLANK(STLClientPriceCompute[[#This Row],[Category]]), 1, IF(ISNUMBER(SEARCH(CONCATENATE(STLClientPriceCompute[[#This Row],[Category]],"-",STLClientPriceCompute[[#This Row],[Code]]),STLClientSpecificSettings[VolumeBasedPriceItems])),STLClientSpecificSettings[Volume %]/100,1))</f>
        <v>1</v>
      </c>
      <c r="R61" s="12" cm="1">
        <f t="array" ref="R61">IF(STLClientSpecificSettings[Core Pack Excluded from Std volume discount]="UP",IF(OR(E61="USR",E61="RBU"),STLClientSpecificSettings[Core Uplift %]/100+1,1),1)</f>
        <v>1</v>
      </c>
      <c r="S6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61" s="26" t="str">
        <f>IF(STLClientPriceCompute[[#This Row],[Available]]="Y", "P",IF(STLClientPriceCompute[[#This Row],[Available]]="N","O",""))</f>
        <v/>
      </c>
      <c r="U61" s="85" t="str">
        <f>TRIM(STLClientPriceCompute[[#This Row],[Description]])</f>
        <v>Export Formal Customs/Statistics Entry Compliance</v>
      </c>
      <c r="V61" s="82" t="str">
        <f>IF(STLClientPriceCompute[[#This Row],[Item Level]]=0,STLClientPriceCompute[[#This Row],[Desc without indent]],"")</f>
        <v/>
      </c>
      <c r="W61" s="82" t="str">
        <f>IF(STLClientPriceCompute[[#This Row],[Item Level]]=1,STLClientPriceCompute[[#This Row],[Desc without indent]],"")</f>
        <v/>
      </c>
      <c r="X61" s="82" t="str">
        <f>IF(STLClientPriceCompute[[#This Row],[Item Level]]=2,STLClientPriceCompute[[#This Row],[Desc without indent]],"")</f>
        <v>Export Formal Customs/Statistics Entry Compliance</v>
      </c>
      <c r="Y61" s="82" t="str">
        <f>IF(STLClientPriceCompute[[#This Row],[Item Level]]&gt;=3,_xlfn.CONCAT(REPT(" ",STLClientPriceCompute[[#This Row],[Item Level]]-3), STLClientPriceCompute[[#This Row],[Desc without indent]]),"")</f>
        <v/>
      </c>
      <c r="Z6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62" spans="2:26" x14ac:dyDescent="0.4">
      <c r="B62" s="15">
        <f>FIND(LEFT(TRIM(STLClientPriceCompute[[#This Row],[Description]]),1),STLClientPriceCompute[[#This Row],[Description]])-1</f>
        <v>3</v>
      </c>
      <c r="C62" s="19">
        <v>101</v>
      </c>
      <c r="D62" s="19" t="s">
        <v>87</v>
      </c>
      <c r="E62" s="19" t="s">
        <v>176</v>
      </c>
      <c r="F62" s="19" t="s">
        <v>694</v>
      </c>
      <c r="G62" s="19"/>
      <c r="H62" s="19" t="s">
        <v>87</v>
      </c>
      <c r="I62" s="20">
        <v>2.65225</v>
      </c>
      <c r="J62" s="19" t="s">
        <v>177</v>
      </c>
      <c r="K62" s="19" t="s">
        <v>87</v>
      </c>
      <c r="L62" s="21">
        <v>26.522500000000001</v>
      </c>
      <c r="M62" s="19" t="s">
        <v>85</v>
      </c>
      <c r="N62" s="17">
        <f>_xlfn.IFNA(IF(STLClientPriceCompute[[#This Row],[Base Price (USD)]]="","", STLClientPriceCompute[[#This Row],[Base Price (USD)]]*VLOOKUP(_xlfn.CONCAT(STLClientPriceCompute[[#This Row],[Exchange Rate Group]],STLClientSpecificSettings[Currency]),ClientPriceExRate[[#All],[Ex-Currency]:[Exchange Rate]],2,FALSE)),"")</f>
        <v>3.7042914850000002</v>
      </c>
      <c r="O6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5.5564372275</v>
      </c>
      <c r="P62" s="22" cm="1">
        <f t="array" ref="P62">IF(STLClientSpecificSettings[Core Pack Excluded from Std volume discount]="EX",1, IF(STLClientSpecificSettings[Volume Price Adjustment]="HV", STLClientPriceCompute[[#This Row],[Category search for HV Base Discount]], STLClientSpecificSettings[Volume %]/100))</f>
        <v>1.5</v>
      </c>
      <c r="Q62" s="12" cm="1">
        <f t="array" ref="Q62">IF(ISBLANK(STLClientPriceCompute[[#This Row],[Category]]), 1, IF(ISNUMBER(SEARCH(CONCATENATE(STLClientPriceCompute[[#This Row],[Category]],"-",STLClientPriceCompute[[#This Row],[Code]]),STLClientSpecificSettings[VolumeBasedPriceItems])),STLClientSpecificSettings[Volume %]/100,1))</f>
        <v>1</v>
      </c>
      <c r="R62" s="12" cm="1">
        <f t="array" ref="R62">IF(STLClientSpecificSettings[Core Pack Excluded from Std volume discount]="UP",IF(OR(E62="USR",E62="RBU"),STLClientSpecificSettings[Core Uplift %]/100+1,1),1)</f>
        <v>1</v>
      </c>
      <c r="S6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39.783749999999998</v>
      </c>
      <c r="T62" s="26" t="str">
        <f>IF(STLClientPriceCompute[[#This Row],[Available]]="Y", "P",IF(STLClientPriceCompute[[#This Row],[Available]]="N","O",""))</f>
        <v/>
      </c>
      <c r="U62" s="85" t="str">
        <f>TRIM(STLClientPriceCompute[[#This Row],[Description]])</f>
        <v>Export Formal Clearance / Fiscal Report _x000D_
 Includes Air/Sea Schedules, Address Cleansing &amp; Geocoding, Denied Party Screening* (*External Services)</v>
      </c>
      <c r="V62" s="82" t="str">
        <f>IF(STLClientPriceCompute[[#This Row],[Item Level]]=0,STLClientPriceCompute[[#This Row],[Desc without indent]],"")</f>
        <v/>
      </c>
      <c r="W62" s="82" t="str">
        <f>IF(STLClientPriceCompute[[#This Row],[Item Level]]=1,STLClientPriceCompute[[#This Row],[Desc without indent]],"")</f>
        <v/>
      </c>
      <c r="X62" s="82" t="str">
        <f>IF(STLClientPriceCompute[[#This Row],[Item Level]]=2,STLClientPriceCompute[[#This Row],[Desc without indent]],"")</f>
        <v/>
      </c>
      <c r="Y62" s="82" t="str">
        <f>IF(STLClientPriceCompute[[#This Row],[Item Level]]&gt;=3,_xlfn.CONCAT(REPT(" ",STLClientPriceCompute[[#This Row],[Item Level]]-3), STLClientPriceCompute[[#This Row],[Desc without indent]]),"")</f>
        <v>Export Formal Clearance / Fiscal Report _x000D_
 Includes Air/Sea Schedules, Address Cleansing &amp; Geocoding, Denied Party Screening* (*External Services)</v>
      </c>
      <c r="Z6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63" spans="2:26" x14ac:dyDescent="0.4">
      <c r="B63" s="15">
        <f>FIND(LEFT(TRIM(STLClientPriceCompute[[#This Row],[Description]]),1),STLClientPriceCompute[[#This Row],[Description]])-1</f>
        <v>3</v>
      </c>
      <c r="C63" s="19">
        <v>102</v>
      </c>
      <c r="D63" s="19"/>
      <c r="E63" s="19"/>
      <c r="F63" s="19" t="s">
        <v>695</v>
      </c>
      <c r="G63" s="19"/>
      <c r="H63" s="19" t="s">
        <v>87</v>
      </c>
      <c r="I63" s="20">
        <v>2.65225</v>
      </c>
      <c r="J63" s="19" t="s">
        <v>177</v>
      </c>
      <c r="K63" s="19" t="s">
        <v>87</v>
      </c>
      <c r="L63" s="21">
        <v>26.522500000000001</v>
      </c>
      <c r="M63" s="19" t="s">
        <v>85</v>
      </c>
      <c r="N63" s="17">
        <f>_xlfn.IFNA(IF(STLClientPriceCompute[[#This Row],[Base Price (USD)]]="","", STLClientPriceCompute[[#This Row],[Base Price (USD)]]*VLOOKUP(_xlfn.CONCAT(STLClientPriceCompute[[#This Row],[Exchange Rate Group]],STLClientSpecificSettings[Currency]),ClientPriceExRate[[#All],[Ex-Currency]:[Exchange Rate]],2,FALSE)),"")</f>
        <v>3.7042914850000002</v>
      </c>
      <c r="O6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5.5564372275</v>
      </c>
      <c r="P63" s="22" cm="1">
        <f t="array" ref="P63">IF(STLClientSpecificSettings[Core Pack Excluded from Std volume discount]="EX",1, IF(STLClientSpecificSettings[Volume Price Adjustment]="HV", STLClientPriceCompute[[#This Row],[Category search for HV Base Discount]], STLClientSpecificSettings[Volume %]/100))</f>
        <v>1.5</v>
      </c>
      <c r="Q63" s="12" cm="1">
        <f t="array" ref="Q63">IF(ISBLANK(STLClientPriceCompute[[#This Row],[Category]]), 1, IF(ISNUMBER(SEARCH(CONCATENATE(STLClientPriceCompute[[#This Row],[Category]],"-",STLClientPriceCompute[[#This Row],[Code]]),STLClientSpecificSettings[VolumeBasedPriceItems])),STLClientSpecificSettings[Volume %]/100,1))</f>
        <v>1</v>
      </c>
      <c r="R63" s="12" cm="1">
        <f t="array" ref="R63">IF(STLClientSpecificSettings[Core Pack Excluded from Std volume discount]="UP",IF(OR(E63="USR",E63="RBU"),STLClientSpecificSettings[Core Uplift %]/100+1,1),1)</f>
        <v>1</v>
      </c>
      <c r="S6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39.783749999999998</v>
      </c>
      <c r="T63" s="26" t="str">
        <f>IF(STLClientPriceCompute[[#This Row],[Available]]="Y", "P",IF(STLClientPriceCompute[[#This Row],[Available]]="N","O",""))</f>
        <v/>
      </c>
      <c r="U63" s="85" t="str">
        <f>TRIM(STLClientPriceCompute[[#This Row],[Description]])</f>
        <v>Export Formal Clearance / Fiscal Report</v>
      </c>
      <c r="V63" s="82" t="str">
        <f>IF(STLClientPriceCompute[[#This Row],[Item Level]]=0,STLClientPriceCompute[[#This Row],[Desc without indent]],"")</f>
        <v/>
      </c>
      <c r="W63" s="82" t="str">
        <f>IF(STLClientPriceCompute[[#This Row],[Item Level]]=1,STLClientPriceCompute[[#This Row],[Desc without indent]],"")</f>
        <v/>
      </c>
      <c r="X63" s="82" t="str">
        <f>IF(STLClientPriceCompute[[#This Row],[Item Level]]=2,STLClientPriceCompute[[#This Row],[Desc without indent]],"")</f>
        <v/>
      </c>
      <c r="Y63" s="82" t="str">
        <f>IF(STLClientPriceCompute[[#This Row],[Item Level]]&gt;=3,_xlfn.CONCAT(REPT(" ",STLClientPriceCompute[[#This Row],[Item Level]]-3), STLClientPriceCompute[[#This Row],[Desc without indent]]),"")</f>
        <v>Export Formal Clearance / Fiscal Report</v>
      </c>
      <c r="Z6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64" spans="2:26" x14ac:dyDescent="0.4">
      <c r="B64" s="15">
        <f>FIND(LEFT(TRIM(STLClientPriceCompute[[#This Row],[Description]]),1),STLClientPriceCompute[[#This Row],[Description]])-1</f>
        <v>2</v>
      </c>
      <c r="C64" s="19">
        <v>103</v>
      </c>
      <c r="D64" s="19"/>
      <c r="E64" s="19"/>
      <c r="F64" s="19" t="s">
        <v>178</v>
      </c>
      <c r="G64" s="19"/>
      <c r="H64" s="19" t="s">
        <v>87</v>
      </c>
      <c r="I64" s="20">
        <v>0</v>
      </c>
      <c r="J64" s="19"/>
      <c r="K64" s="19" t="s">
        <v>87</v>
      </c>
      <c r="L64" s="21">
        <v>0</v>
      </c>
      <c r="M64" s="19" t="s">
        <v>85</v>
      </c>
      <c r="N64" s="17">
        <f>_xlfn.IFNA(IF(STLClientPriceCompute[[#This Row],[Base Price (USD)]]="","", STLClientPriceCompute[[#This Row],[Base Price (USD)]]*VLOOKUP(_xlfn.CONCAT(STLClientPriceCompute[[#This Row],[Exchange Rate Group]],STLClientSpecificSettings[Currency]),ClientPriceExRate[[#All],[Ex-Currency]:[Exchange Rate]],2,FALSE)),"")</f>
        <v>0</v>
      </c>
      <c r="O6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64" s="22" cm="1">
        <f t="array" ref="P64">IF(STLClientSpecificSettings[Core Pack Excluded from Std volume discount]="EX",1, IF(STLClientSpecificSettings[Volume Price Adjustment]="HV", STLClientPriceCompute[[#This Row],[Category search for HV Base Discount]], STLClientSpecificSettings[Volume %]/100))</f>
        <v>1.5</v>
      </c>
      <c r="Q64" s="12" cm="1">
        <f t="array" ref="Q64">IF(ISBLANK(STLClientPriceCompute[[#This Row],[Category]]), 1, IF(ISNUMBER(SEARCH(CONCATENATE(STLClientPriceCompute[[#This Row],[Category]],"-",STLClientPriceCompute[[#This Row],[Code]]),STLClientSpecificSettings[VolumeBasedPriceItems])),STLClientSpecificSettings[Volume %]/100,1))</f>
        <v>1</v>
      </c>
      <c r="R64" s="12" cm="1">
        <f t="array" ref="R64">IF(STLClientSpecificSettings[Core Pack Excluded from Std volume discount]="UP",IF(OR(E64="USR",E64="RBU"),STLClientSpecificSettings[Core Uplift %]/100+1,1),1)</f>
        <v>1</v>
      </c>
      <c r="S6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64" s="26" t="str">
        <f>IF(STLClientPriceCompute[[#This Row],[Available]]="Y", "P",IF(STLClientPriceCompute[[#This Row],[Available]]="N","O",""))</f>
        <v/>
      </c>
      <c r="U64" s="85" t="str">
        <f>TRIM(STLClientPriceCompute[[#This Row],[Description]])</f>
        <v>Import Formal Customs Entry Compliance</v>
      </c>
      <c r="V64" s="82" t="str">
        <f>IF(STLClientPriceCompute[[#This Row],[Item Level]]=0,STLClientPriceCompute[[#This Row],[Desc without indent]],"")</f>
        <v/>
      </c>
      <c r="W64" s="82" t="str">
        <f>IF(STLClientPriceCompute[[#This Row],[Item Level]]=1,STLClientPriceCompute[[#This Row],[Desc without indent]],"")</f>
        <v/>
      </c>
      <c r="X64" s="82" t="str">
        <f>IF(STLClientPriceCompute[[#This Row],[Item Level]]=2,STLClientPriceCompute[[#This Row],[Desc without indent]],"")</f>
        <v>Import Formal Customs Entry Compliance</v>
      </c>
      <c r="Y64" s="82" t="str">
        <f>IF(STLClientPriceCompute[[#This Row],[Item Level]]&gt;=3,_xlfn.CONCAT(REPT(" ",STLClientPriceCompute[[#This Row],[Item Level]]-3), STLClientPriceCompute[[#This Row],[Desc without indent]]),"")</f>
        <v/>
      </c>
      <c r="Z6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65" spans="2:26" x14ac:dyDescent="0.4">
      <c r="B65" s="15">
        <f>FIND(LEFT(TRIM(STLClientPriceCompute[[#This Row],[Description]]),1),STLClientPriceCompute[[#This Row],[Description]])-1</f>
        <v>3</v>
      </c>
      <c r="C65" s="19">
        <v>104</v>
      </c>
      <c r="D65" s="19" t="s">
        <v>87</v>
      </c>
      <c r="E65" s="19" t="s">
        <v>179</v>
      </c>
      <c r="F65" s="19" t="s">
        <v>696</v>
      </c>
      <c r="G65" s="19"/>
      <c r="H65" s="19" t="s">
        <v>87</v>
      </c>
      <c r="I65" s="20">
        <v>3.812875</v>
      </c>
      <c r="J65" s="19" t="s">
        <v>177</v>
      </c>
      <c r="K65" s="19" t="s">
        <v>87</v>
      </c>
      <c r="L65" s="21">
        <v>38.128749999999997</v>
      </c>
      <c r="M65" s="19" t="s">
        <v>85</v>
      </c>
      <c r="N65" s="17">
        <f>_xlfn.IFNA(IF(STLClientPriceCompute[[#This Row],[Base Price (USD)]]="","", STLClientPriceCompute[[#This Row],[Base Price (USD)]]*VLOOKUP(_xlfn.CONCAT(STLClientPriceCompute[[#This Row],[Exchange Rate Group]],STLClientSpecificSettings[Currency]),ClientPriceExRate[[#All],[Ex-Currency]:[Exchange Rate]],2,FALSE)),"")</f>
        <v>5.3252899974999997</v>
      </c>
      <c r="O6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7.987934996249999</v>
      </c>
      <c r="P65" s="22" cm="1">
        <f t="array" ref="P65">IF(STLClientSpecificSettings[Core Pack Excluded from Std volume discount]="EX",1, IF(STLClientSpecificSettings[Volume Price Adjustment]="HV", STLClientPriceCompute[[#This Row],[Category search for HV Base Discount]], STLClientSpecificSettings[Volume %]/100))</f>
        <v>1.5</v>
      </c>
      <c r="Q65" s="12" cm="1">
        <f t="array" ref="Q65">IF(ISBLANK(STLClientPriceCompute[[#This Row],[Category]]), 1, IF(ISNUMBER(SEARCH(CONCATENATE(STLClientPriceCompute[[#This Row],[Category]],"-",STLClientPriceCompute[[#This Row],[Code]]),STLClientSpecificSettings[VolumeBasedPriceItems])),STLClientSpecificSettings[Volume %]/100,1))</f>
        <v>1</v>
      </c>
      <c r="R65" s="12" cm="1">
        <f t="array" ref="R65">IF(STLClientSpecificSettings[Core Pack Excluded from Std volume discount]="UP",IF(OR(E65="USR",E65="RBU"),STLClientSpecificSettings[Core Uplift %]/100+1,1),1)</f>
        <v>1</v>
      </c>
      <c r="S6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57.193124999999995</v>
      </c>
      <c r="T65" s="26" t="str">
        <f>IF(STLClientPriceCompute[[#This Row],[Available]]="Y", "P",IF(STLClientPriceCompute[[#This Row],[Available]]="N","O",""))</f>
        <v/>
      </c>
      <c r="U65" s="85" t="str">
        <f>TRIM(STLClientPriceCompute[[#This Row],[Description]])</f>
        <v>Import Clearance Full / Detailed Formal Entry / Fiscal Report _x000D_
 Includes Air/Sea Schedules, Address Cleansing &amp; Geocoding, Denied Party Screening* (*External Services)</v>
      </c>
      <c r="V65" s="82" t="str">
        <f>IF(STLClientPriceCompute[[#This Row],[Item Level]]=0,STLClientPriceCompute[[#This Row],[Desc without indent]],"")</f>
        <v/>
      </c>
      <c r="W65" s="82" t="str">
        <f>IF(STLClientPriceCompute[[#This Row],[Item Level]]=1,STLClientPriceCompute[[#This Row],[Desc without indent]],"")</f>
        <v/>
      </c>
      <c r="X65" s="82" t="str">
        <f>IF(STLClientPriceCompute[[#This Row],[Item Level]]=2,STLClientPriceCompute[[#This Row],[Desc without indent]],"")</f>
        <v/>
      </c>
      <c r="Y65" s="82" t="str">
        <f>IF(STLClientPriceCompute[[#This Row],[Item Level]]&gt;=3,_xlfn.CONCAT(REPT(" ",STLClientPriceCompute[[#This Row],[Item Level]]-3), STLClientPriceCompute[[#This Row],[Desc without indent]]),"")</f>
        <v>Import Clearance Full / Detailed Formal Entry / Fiscal Report _x000D_
 Includes Air/Sea Schedules, Address Cleansing &amp; Geocoding, Denied Party Screening* (*External Services)</v>
      </c>
      <c r="Z6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66" spans="2:26" x14ac:dyDescent="0.4">
      <c r="B66" s="15">
        <f>FIND(LEFT(TRIM(STLClientPriceCompute[[#This Row],[Description]]),1),STLClientPriceCompute[[#This Row],[Description]])-1</f>
        <v>3</v>
      </c>
      <c r="C66" s="19">
        <v>105</v>
      </c>
      <c r="D66" s="19"/>
      <c r="E66" s="19"/>
      <c r="F66" s="19" t="s">
        <v>697</v>
      </c>
      <c r="G66" s="19"/>
      <c r="H66" s="19" t="s">
        <v>87</v>
      </c>
      <c r="I66" s="20">
        <v>3.812875</v>
      </c>
      <c r="J66" s="19" t="s">
        <v>177</v>
      </c>
      <c r="K66" s="19" t="s">
        <v>87</v>
      </c>
      <c r="L66" s="21">
        <v>38.128749999999997</v>
      </c>
      <c r="M66" s="19" t="s">
        <v>85</v>
      </c>
      <c r="N66" s="17">
        <f>_xlfn.IFNA(IF(STLClientPriceCompute[[#This Row],[Base Price (USD)]]="","", STLClientPriceCompute[[#This Row],[Base Price (USD)]]*VLOOKUP(_xlfn.CONCAT(STLClientPriceCompute[[#This Row],[Exchange Rate Group]],STLClientSpecificSettings[Currency]),ClientPriceExRate[[#All],[Ex-Currency]:[Exchange Rate]],2,FALSE)),"")</f>
        <v>5.3252899974999997</v>
      </c>
      <c r="O6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7.987934996249999</v>
      </c>
      <c r="P66" s="22" cm="1">
        <f t="array" ref="P66">IF(STLClientSpecificSettings[Core Pack Excluded from Std volume discount]="EX",1, IF(STLClientSpecificSettings[Volume Price Adjustment]="HV", STLClientPriceCompute[[#This Row],[Category search for HV Base Discount]], STLClientSpecificSettings[Volume %]/100))</f>
        <v>1.5</v>
      </c>
      <c r="Q66" s="12" cm="1">
        <f t="array" ref="Q66">IF(ISBLANK(STLClientPriceCompute[[#This Row],[Category]]), 1, IF(ISNUMBER(SEARCH(CONCATENATE(STLClientPriceCompute[[#This Row],[Category]],"-",STLClientPriceCompute[[#This Row],[Code]]),STLClientSpecificSettings[VolumeBasedPriceItems])),STLClientSpecificSettings[Volume %]/100,1))</f>
        <v>1</v>
      </c>
      <c r="R66" s="12" cm="1">
        <f t="array" ref="R66">IF(STLClientSpecificSettings[Core Pack Excluded from Std volume discount]="UP",IF(OR(E66="USR",E66="RBU"),STLClientSpecificSettings[Core Uplift %]/100+1,1),1)</f>
        <v>1</v>
      </c>
      <c r="S6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57.193124999999995</v>
      </c>
      <c r="T66" s="26" t="str">
        <f>IF(STLClientPriceCompute[[#This Row],[Available]]="Y", "P",IF(STLClientPriceCompute[[#This Row],[Available]]="N","O",""))</f>
        <v/>
      </c>
      <c r="U66" s="85" t="str">
        <f>TRIM(STLClientPriceCompute[[#This Row],[Description]])</f>
        <v>Import Clearance Full / Detailed Formal Entry / Fiscal Report</v>
      </c>
      <c r="V66" s="82" t="str">
        <f>IF(STLClientPriceCompute[[#This Row],[Item Level]]=0,STLClientPriceCompute[[#This Row],[Desc without indent]],"")</f>
        <v/>
      </c>
      <c r="W66" s="82" t="str">
        <f>IF(STLClientPriceCompute[[#This Row],[Item Level]]=1,STLClientPriceCompute[[#This Row],[Desc without indent]],"")</f>
        <v/>
      </c>
      <c r="X66" s="82" t="str">
        <f>IF(STLClientPriceCompute[[#This Row],[Item Level]]=2,STLClientPriceCompute[[#This Row],[Desc without indent]],"")</f>
        <v/>
      </c>
      <c r="Y66" s="82" t="str">
        <f>IF(STLClientPriceCompute[[#This Row],[Item Level]]&gt;=3,_xlfn.CONCAT(REPT(" ",STLClientPriceCompute[[#This Row],[Item Level]]-3), STLClientPriceCompute[[#This Row],[Desc without indent]]),"")</f>
        <v>Import Clearance Full / Detailed Formal Entry / Fiscal Report</v>
      </c>
      <c r="Z6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67" spans="2:26" x14ac:dyDescent="0.4">
      <c r="B67" s="15">
        <f>FIND(LEFT(TRIM(STLClientPriceCompute[[#This Row],[Description]]),1),STLClientPriceCompute[[#This Row],[Description]])-1</f>
        <v>3</v>
      </c>
      <c r="C67" s="19">
        <v>106</v>
      </c>
      <c r="D67" s="19" t="s">
        <v>87</v>
      </c>
      <c r="E67" s="19" t="s">
        <v>180</v>
      </c>
      <c r="F67" s="19" t="s">
        <v>181</v>
      </c>
      <c r="G67" s="19"/>
      <c r="H67" s="19" t="s">
        <v>87</v>
      </c>
      <c r="I67" s="20">
        <v>1.7210449999999999</v>
      </c>
      <c r="J67" s="19" t="s">
        <v>182</v>
      </c>
      <c r="K67" s="19" t="s">
        <v>87</v>
      </c>
      <c r="L67" s="21">
        <v>17.210450000000002</v>
      </c>
      <c r="M67" s="19" t="s">
        <v>85</v>
      </c>
      <c r="N67" s="17">
        <f>_xlfn.IFNA(IF(STLClientPriceCompute[[#This Row],[Base Price (USD)]]="","", STLClientPriceCompute[[#This Row],[Base Price (USD)]]*VLOOKUP(_xlfn.CONCAT(STLClientPriceCompute[[#This Row],[Exchange Rate Group]],STLClientSpecificSettings[Currency]),ClientPriceExRate[[#All],[Ex-Currency]:[Exchange Rate]],2,FALSE)),"")</f>
        <v>2.4037147097</v>
      </c>
      <c r="O6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67" s="22" cm="1">
        <f t="array" ref="P67">IF(STLClientSpecificSettings[Core Pack Excluded from Std volume discount]="EX",1, IF(STLClientSpecificSettings[Volume Price Adjustment]="HV", STLClientPriceCompute[[#This Row],[Category search for HV Base Discount]], STLClientSpecificSettings[Volume %]/100))</f>
        <v>1.5</v>
      </c>
      <c r="Q67" s="12" cm="1">
        <f t="array" ref="Q67">IF(ISBLANK(STLClientPriceCompute[[#This Row],[Category]]), 1, IF(ISNUMBER(SEARCH(CONCATENATE(STLClientPriceCompute[[#This Row],[Category]],"-",STLClientPriceCompute[[#This Row],[Code]]),STLClientSpecificSettings[VolumeBasedPriceItems])),STLClientSpecificSettings[Volume %]/100,1))</f>
        <v>1</v>
      </c>
      <c r="R67" s="12" cm="1">
        <f t="array" ref="R67">IF(STLClientSpecificSettings[Core Pack Excluded from Std volume discount]="UP",IF(OR(E67="USR",E67="RBU"),STLClientSpecificSettings[Core Uplift %]/100+1,1),1)</f>
        <v>1</v>
      </c>
      <c r="S6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67" s="26" t="str">
        <f>IF(STLClientPriceCompute[[#This Row],[Available]]="Y", "P",IF(STLClientPriceCompute[[#This Row],[Available]]="N","O",""))</f>
        <v/>
      </c>
      <c r="U67" s="85" t="str">
        <f>TRIM(STLClientPriceCompute[[#This Row],[Description]])</f>
        <v>Land Border Clearance (Truck and Rail)</v>
      </c>
      <c r="V67" s="82" t="str">
        <f>IF(STLClientPriceCompute[[#This Row],[Item Level]]=0,STLClientPriceCompute[[#This Row],[Desc without indent]],"")</f>
        <v/>
      </c>
      <c r="W67" s="82" t="str">
        <f>IF(STLClientPriceCompute[[#This Row],[Item Level]]=1,STLClientPriceCompute[[#This Row],[Desc without indent]],"")</f>
        <v/>
      </c>
      <c r="X67" s="82" t="str">
        <f>IF(STLClientPriceCompute[[#This Row],[Item Level]]=2,STLClientPriceCompute[[#This Row],[Desc without indent]],"")</f>
        <v/>
      </c>
      <c r="Y67" s="82" t="str">
        <f>IF(STLClientPriceCompute[[#This Row],[Item Level]]&gt;=3,_xlfn.CONCAT(REPT(" ",STLClientPriceCompute[[#This Row],[Item Level]]-3), STLClientPriceCompute[[#This Row],[Desc without indent]]),"")</f>
        <v>Land Border Clearance (Truck and Rail)</v>
      </c>
      <c r="Z6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v>
      </c>
    </row>
    <row r="68" spans="2:26" x14ac:dyDescent="0.4">
      <c r="B68" s="15">
        <f>FIND(LEFT(TRIM(STLClientPriceCompute[[#This Row],[Description]]),1),STLClientPriceCompute[[#This Row],[Description]])-1</f>
        <v>3</v>
      </c>
      <c r="C68" s="19">
        <v>107</v>
      </c>
      <c r="D68" s="19" t="s">
        <v>183</v>
      </c>
      <c r="E68" s="19" t="s">
        <v>183</v>
      </c>
      <c r="F68" s="19" t="s">
        <v>184</v>
      </c>
      <c r="G68" s="19"/>
      <c r="H68" s="19" t="s">
        <v>87</v>
      </c>
      <c r="I68" s="20">
        <v>143.42041900000001</v>
      </c>
      <c r="J68" s="19" t="s">
        <v>185</v>
      </c>
      <c r="K68" s="19" t="s">
        <v>87</v>
      </c>
      <c r="L68" s="21">
        <v>0</v>
      </c>
      <c r="M68" s="19" t="s">
        <v>85</v>
      </c>
      <c r="N68" s="17">
        <f>_xlfn.IFNA(IF(STLClientPriceCompute[[#This Row],[Base Price (USD)]]="","", STLClientPriceCompute[[#This Row],[Base Price (USD)]]*VLOOKUP(_xlfn.CONCAT(STLClientPriceCompute[[#This Row],[Exchange Rate Group]],STLClientSpecificSettings[Currency]),ClientPriceExRate[[#All],[Ex-Currency]:[Exchange Rate]],2,FALSE)),"")</f>
        <v>200.30956240054002</v>
      </c>
      <c r="O6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300.46434360081003</v>
      </c>
      <c r="P68" s="22" cm="1">
        <f t="array" ref="P68">IF(STLClientSpecificSettings[Core Pack Excluded from Std volume discount]="EX",1, IF(STLClientSpecificSettings[Volume Price Adjustment]="HV", STLClientPriceCompute[[#This Row],[Category search for HV Base Discount]], STLClientSpecificSettings[Volume %]/100))</f>
        <v>1.5</v>
      </c>
      <c r="Q68" s="12" cm="1">
        <f t="array" ref="Q68">IF(ISBLANK(STLClientPriceCompute[[#This Row],[Category]]), 1, IF(ISNUMBER(SEARCH(CONCATENATE(STLClientPriceCompute[[#This Row],[Category]],"-",STLClientPriceCompute[[#This Row],[Code]]),STLClientSpecificSettings[VolumeBasedPriceItems])),STLClientSpecificSettings[Volume %]/100,1))</f>
        <v>1</v>
      </c>
      <c r="R68" s="12" cm="1">
        <f t="array" ref="R68">IF(STLClientSpecificSettings[Core Pack Excluded from Std volume discount]="UP",IF(OR(E68="USR",E68="RBU"),STLClientSpecificSettings[Core Uplift %]/100+1,1),1)</f>
        <v>1</v>
      </c>
      <c r="S6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68" s="26" t="str">
        <f>IF(STLClientPriceCompute[[#This Row],[Available]]="Y", "P",IF(STLClientPriceCompute[[#This Row],[Available]]="N","O",""))</f>
        <v/>
      </c>
      <c r="U68" s="85" t="str">
        <f>TRIM(STLClientPriceCompute[[#This Row],[Description]])</f>
        <v>UK Customs (HCI Terminal Clearance)</v>
      </c>
      <c r="V68" s="82" t="str">
        <f>IF(STLClientPriceCompute[[#This Row],[Item Level]]=0,STLClientPriceCompute[[#This Row],[Desc without indent]],"")</f>
        <v/>
      </c>
      <c r="W68" s="82" t="str">
        <f>IF(STLClientPriceCompute[[#This Row],[Item Level]]=1,STLClientPriceCompute[[#This Row],[Desc without indent]],"")</f>
        <v/>
      </c>
      <c r="X68" s="82" t="str">
        <f>IF(STLClientPriceCompute[[#This Row],[Item Level]]=2,STLClientPriceCompute[[#This Row],[Desc without indent]],"")</f>
        <v/>
      </c>
      <c r="Y68" s="82" t="str">
        <f>IF(STLClientPriceCompute[[#This Row],[Item Level]]&gt;=3,_xlfn.CONCAT(REPT(" ",STLClientPriceCompute[[#This Row],[Item Level]]-3), STLClientPriceCompute[[#This Row],[Desc without indent]]),"")</f>
        <v>UK Customs (HCI Terminal Clearance)</v>
      </c>
      <c r="Z6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Month Per licence</v>
      </c>
    </row>
    <row r="69" spans="2:26" x14ac:dyDescent="0.4">
      <c r="B69" s="15">
        <f>FIND(LEFT(TRIM(STLClientPriceCompute[[#This Row],[Description]]),1),STLClientPriceCompute[[#This Row],[Description]])-1</f>
        <v>3</v>
      </c>
      <c r="C69" s="19">
        <v>108</v>
      </c>
      <c r="D69" s="19"/>
      <c r="E69" s="19"/>
      <c r="F69" s="19" t="s">
        <v>186</v>
      </c>
      <c r="G69" s="19"/>
      <c r="H69" s="19" t="s">
        <v>87</v>
      </c>
      <c r="I69" s="20">
        <v>2.294727</v>
      </c>
      <c r="J69" s="19" t="s">
        <v>187</v>
      </c>
      <c r="K69" s="19" t="s">
        <v>87</v>
      </c>
      <c r="L69" s="21">
        <v>22.94727</v>
      </c>
      <c r="M69" s="19" t="s">
        <v>85</v>
      </c>
      <c r="N69" s="17">
        <f>_xlfn.IFNA(IF(STLClientPriceCompute[[#This Row],[Base Price (USD)]]="","", STLClientPriceCompute[[#This Row],[Base Price (USD)]]*VLOOKUP(_xlfn.CONCAT(STLClientPriceCompute[[#This Row],[Exchange Rate Group]],STLClientSpecificSettings[Currency]),ClientPriceExRate[[#All],[Ex-Currency]:[Exchange Rate]],2,FALSE)),"")</f>
        <v>3.20495341182</v>
      </c>
      <c r="O6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69" s="22" cm="1">
        <f t="array" ref="P69">IF(STLClientSpecificSettings[Core Pack Excluded from Std volume discount]="EX",1, IF(STLClientSpecificSettings[Volume Price Adjustment]="HV", STLClientPriceCompute[[#This Row],[Category search for HV Base Discount]], STLClientSpecificSettings[Volume %]/100))</f>
        <v>1.5</v>
      </c>
      <c r="Q69" s="12" cm="1">
        <f t="array" ref="Q69">IF(ISBLANK(STLClientPriceCompute[[#This Row],[Category]]), 1, IF(ISNUMBER(SEARCH(CONCATENATE(STLClientPriceCompute[[#This Row],[Category]],"-",STLClientPriceCompute[[#This Row],[Code]]),STLClientSpecificSettings[VolumeBasedPriceItems])),STLClientSpecificSettings[Volume %]/100,1))</f>
        <v>1</v>
      </c>
      <c r="R69" s="12" cm="1">
        <f t="array" ref="R69">IF(STLClientSpecificSettings[Core Pack Excluded from Std volume discount]="UP",IF(OR(E69="USR",E69="RBU"),STLClientSpecificSettings[Core Uplift %]/100+1,1),1)</f>
        <v>1</v>
      </c>
      <c r="S6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69" s="26" t="str">
        <f>IF(STLClientPriceCompute[[#This Row],[Available]]="Y", "P",IF(STLClientPriceCompute[[#This Row],[Available]]="N","O",""))</f>
        <v/>
      </c>
      <c r="U69" s="85" t="str">
        <f>TRIM(STLClientPriceCompute[[#This Row],[Description]])</f>
        <v>Informal / Simplified Entry</v>
      </c>
      <c r="V69" s="82" t="str">
        <f>IF(STLClientPriceCompute[[#This Row],[Item Level]]=0,STLClientPriceCompute[[#This Row],[Desc without indent]],"")</f>
        <v/>
      </c>
      <c r="W69" s="82" t="str">
        <f>IF(STLClientPriceCompute[[#This Row],[Item Level]]=1,STLClientPriceCompute[[#This Row],[Desc without indent]],"")</f>
        <v/>
      </c>
      <c r="X69" s="82" t="str">
        <f>IF(STLClientPriceCompute[[#This Row],[Item Level]]=2,STLClientPriceCompute[[#This Row],[Desc without indent]],"")</f>
        <v/>
      </c>
      <c r="Y69" s="82" t="str">
        <f>IF(STLClientPriceCompute[[#This Row],[Item Level]]&gt;=3,_xlfn.CONCAT(REPT(" ",STLClientPriceCompute[[#This Row],[Item Level]]-3), STLClientPriceCompute[[#This Row],[Desc without indent]]),"")</f>
        <v>Informal / Simplified Entry</v>
      </c>
      <c r="Z6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Registration/First Message</v>
      </c>
    </row>
    <row r="70" spans="2:26" x14ac:dyDescent="0.4">
      <c r="B70" s="15">
        <f>FIND(LEFT(TRIM(STLClientPriceCompute[[#This Row],[Description]]),1),STLClientPriceCompute[[#This Row],[Description]])-1</f>
        <v>3</v>
      </c>
      <c r="C70" s="19">
        <v>109</v>
      </c>
      <c r="D70" s="19" t="s">
        <v>87</v>
      </c>
      <c r="E70" s="19" t="s">
        <v>188</v>
      </c>
      <c r="F70" s="19" t="s">
        <v>698</v>
      </c>
      <c r="G70" s="19"/>
      <c r="H70" s="19" t="s">
        <v>87</v>
      </c>
      <c r="I70" s="20">
        <v>0.45894499999999999</v>
      </c>
      <c r="J70" s="19" t="s">
        <v>187</v>
      </c>
      <c r="K70" s="19" t="s">
        <v>87</v>
      </c>
      <c r="L70" s="21">
        <v>4.5894500000000003</v>
      </c>
      <c r="M70" s="19" t="s">
        <v>85</v>
      </c>
      <c r="N70" s="17">
        <f>_xlfn.IFNA(IF(STLClientPriceCompute[[#This Row],[Base Price (USD)]]="","", STLClientPriceCompute[[#This Row],[Base Price (USD)]]*VLOOKUP(_xlfn.CONCAT(STLClientPriceCompute[[#This Row],[Exchange Rate Group]],STLClientSpecificSettings[Currency]),ClientPriceExRate[[#All],[Ex-Currency]:[Exchange Rate]],2,FALSE)),"")</f>
        <v>0.64099012369999997</v>
      </c>
      <c r="O7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0.96148518554999995</v>
      </c>
      <c r="P70" s="22" cm="1">
        <f t="array" ref="P70">IF(STLClientSpecificSettings[Core Pack Excluded from Std volume discount]="EX",1, IF(STLClientSpecificSettings[Volume Price Adjustment]="HV", STLClientPriceCompute[[#This Row],[Category search for HV Base Discount]], STLClientSpecificSettings[Volume %]/100))</f>
        <v>1.5</v>
      </c>
      <c r="Q70" s="12" cm="1">
        <f t="array" ref="Q70">IF(ISBLANK(STLClientPriceCompute[[#This Row],[Category]]), 1, IF(ISNUMBER(SEARCH(CONCATENATE(STLClientPriceCompute[[#This Row],[Category]],"-",STLClientPriceCompute[[#This Row],[Code]]),STLClientSpecificSettings[VolumeBasedPriceItems])),STLClientSpecificSettings[Volume %]/100,1))</f>
        <v>1</v>
      </c>
      <c r="R70" s="12" cm="1">
        <f t="array" ref="R70">IF(STLClientSpecificSettings[Core Pack Excluded from Std volume discount]="UP",IF(OR(E70="USR",E70="RBU"),STLClientSpecificSettings[Core Uplift %]/100+1,1),1)</f>
        <v>1</v>
      </c>
      <c r="S7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6.8841750000000008</v>
      </c>
      <c r="T70" s="26" t="str">
        <f>IF(STLClientPriceCompute[[#This Row],[Available]]="Y", "P",IF(STLClientPriceCompute[[#This Row],[Available]]="N","O",""))</f>
        <v/>
      </c>
      <c r="U70" s="85" t="str">
        <f>TRIM(STLClientPriceCompute[[#This Row],[Description]])</f>
        <v>Low Value/Write Off/Deminimus Clearance</v>
      </c>
      <c r="V70" s="82" t="str">
        <f>IF(STLClientPriceCompute[[#This Row],[Item Level]]=0,STLClientPriceCompute[[#This Row],[Desc without indent]],"")</f>
        <v/>
      </c>
      <c r="W70" s="82" t="str">
        <f>IF(STLClientPriceCompute[[#This Row],[Item Level]]=1,STLClientPriceCompute[[#This Row],[Desc without indent]],"")</f>
        <v/>
      </c>
      <c r="X70" s="82" t="str">
        <f>IF(STLClientPriceCompute[[#This Row],[Item Level]]=2,STLClientPriceCompute[[#This Row],[Desc without indent]],"")</f>
        <v/>
      </c>
      <c r="Y70" s="82" t="str">
        <f>IF(STLClientPriceCompute[[#This Row],[Item Level]]&gt;=3,_xlfn.CONCAT(REPT(" ",STLClientPriceCompute[[#This Row],[Item Level]]-3), STLClientPriceCompute[[#This Row],[Desc without indent]]),"")</f>
        <v>Low Value/Write Off/Deminimus Clearance</v>
      </c>
      <c r="Z7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Registration/First Message</v>
      </c>
    </row>
    <row r="71" spans="2:26" x14ac:dyDescent="0.4">
      <c r="B71" s="15">
        <f>FIND(LEFT(TRIM(STLClientPriceCompute[[#This Row],[Description]]),1),STLClientPriceCompute[[#This Row],[Description]])-1</f>
        <v>2</v>
      </c>
      <c r="C71" s="19">
        <v>110</v>
      </c>
      <c r="D71" s="19" t="s">
        <v>87</v>
      </c>
      <c r="E71" s="19" t="s">
        <v>189</v>
      </c>
      <c r="F71" s="19" t="s">
        <v>190</v>
      </c>
      <c r="G71" s="19"/>
      <c r="H71" s="19" t="s">
        <v>87</v>
      </c>
      <c r="I71" s="20">
        <v>1.9064369999999999</v>
      </c>
      <c r="J71" s="19" t="s">
        <v>187</v>
      </c>
      <c r="K71" s="19" t="s">
        <v>87</v>
      </c>
      <c r="L71" s="21">
        <v>19.06437</v>
      </c>
      <c r="M71" s="19" t="s">
        <v>85</v>
      </c>
      <c r="N71" s="17">
        <f>_xlfn.IFNA(IF(STLClientPriceCompute[[#This Row],[Base Price (USD)]]="","", STLClientPriceCompute[[#This Row],[Base Price (USD)]]*VLOOKUP(_xlfn.CONCAT(STLClientPriceCompute[[#This Row],[Exchange Rate Group]],STLClientSpecificSettings[Currency]),ClientPriceExRate[[#All],[Ex-Currency]:[Exchange Rate]],2,FALSE)),"")</f>
        <v>2.6626443004199998</v>
      </c>
      <c r="O7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3.9939664506299994</v>
      </c>
      <c r="P71" s="22" cm="1">
        <f t="array" ref="P71">IF(STLClientSpecificSettings[Core Pack Excluded from Std volume discount]="EX",1, IF(STLClientSpecificSettings[Volume Price Adjustment]="HV", STLClientPriceCompute[[#This Row],[Category search for HV Base Discount]], STLClientSpecificSettings[Volume %]/100))</f>
        <v>1.5</v>
      </c>
      <c r="Q71" s="12" cm="1">
        <f t="array" ref="Q71">IF(ISBLANK(STLClientPriceCompute[[#This Row],[Category]]), 1, IF(ISNUMBER(SEARCH(CONCATENATE(STLClientPriceCompute[[#This Row],[Category]],"-",STLClientPriceCompute[[#This Row],[Code]]),STLClientSpecificSettings[VolumeBasedPriceItems])),STLClientSpecificSettings[Volume %]/100,1))</f>
        <v>1</v>
      </c>
      <c r="R71" s="12" cm="1">
        <f t="array" ref="R71">IF(STLClientSpecificSettings[Core Pack Excluded from Std volume discount]="UP",IF(OR(E71="USR",E71="RBU"),STLClientSpecificSettings[Core Uplift %]/100+1,1),1)</f>
        <v>1</v>
      </c>
      <c r="S7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28.596555000000002</v>
      </c>
      <c r="T71" s="26" t="str">
        <f>IF(STLClientPriceCompute[[#This Row],[Available]]="Y", "P",IF(STLClientPriceCompute[[#This Row],[Available]]="N","O",""))</f>
        <v/>
      </c>
      <c r="U71" s="85" t="str">
        <f>TRIM(STLClientPriceCompute[[#This Row],[Description]])</f>
        <v>Core Customs Processing (applies exclusively in non-integrated countries)</v>
      </c>
      <c r="V71" s="82" t="str">
        <f>IF(STLClientPriceCompute[[#This Row],[Item Level]]=0,STLClientPriceCompute[[#This Row],[Desc without indent]],"")</f>
        <v/>
      </c>
      <c r="W71" s="82" t="str">
        <f>IF(STLClientPriceCompute[[#This Row],[Item Level]]=1,STLClientPriceCompute[[#This Row],[Desc without indent]],"")</f>
        <v/>
      </c>
      <c r="X71" s="82" t="str">
        <f>IF(STLClientPriceCompute[[#This Row],[Item Level]]=2,STLClientPriceCompute[[#This Row],[Desc without indent]],"")</f>
        <v>Core Customs Processing (applies exclusively in non-integrated countries)</v>
      </c>
      <c r="Y71" s="82" t="str">
        <f>IF(STLClientPriceCompute[[#This Row],[Item Level]]&gt;=3,_xlfn.CONCAT(REPT(" ",STLClientPriceCompute[[#This Row],[Item Level]]-3), STLClientPriceCompute[[#This Row],[Desc without indent]]),"")</f>
        <v/>
      </c>
      <c r="Z7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Registration/First Message</v>
      </c>
    </row>
    <row r="72" spans="2:26" x14ac:dyDescent="0.4">
      <c r="B72" s="15">
        <f>FIND(LEFT(TRIM(STLClientPriceCompute[[#This Row],[Description]]),1),STLClientPriceCompute[[#This Row],[Description]])-1</f>
        <v>2</v>
      </c>
      <c r="C72" s="19">
        <v>111</v>
      </c>
      <c r="D72" s="19"/>
      <c r="E72" s="19"/>
      <c r="F72" s="19" t="s">
        <v>191</v>
      </c>
      <c r="G72" s="19"/>
      <c r="H72" s="19" t="s">
        <v>87</v>
      </c>
      <c r="I72" s="20">
        <v>0</v>
      </c>
      <c r="J72" s="19"/>
      <c r="K72" s="19" t="s">
        <v>87</v>
      </c>
      <c r="L72" s="21">
        <v>0</v>
      </c>
      <c r="M72" s="19" t="s">
        <v>85</v>
      </c>
      <c r="N72" s="17">
        <f>_xlfn.IFNA(IF(STLClientPriceCompute[[#This Row],[Base Price (USD)]]="","", STLClientPriceCompute[[#This Row],[Base Price (USD)]]*VLOOKUP(_xlfn.CONCAT(STLClientPriceCompute[[#This Row],[Exchange Rate Group]],STLClientSpecificSettings[Currency]),ClientPriceExRate[[#All],[Ex-Currency]:[Exchange Rate]],2,FALSE)),"")</f>
        <v>0</v>
      </c>
      <c r="O7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72" s="22" cm="1">
        <f t="array" ref="P72">IF(STLClientSpecificSettings[Core Pack Excluded from Std volume discount]="EX",1, IF(STLClientSpecificSettings[Volume Price Adjustment]="HV", STLClientPriceCompute[[#This Row],[Category search for HV Base Discount]], STLClientSpecificSettings[Volume %]/100))</f>
        <v>1.5</v>
      </c>
      <c r="Q72" s="12" cm="1">
        <f t="array" ref="Q72">IF(ISBLANK(STLClientPriceCompute[[#This Row],[Category]]), 1, IF(ISNUMBER(SEARCH(CONCATENATE(STLClientPriceCompute[[#This Row],[Category]],"-",STLClientPriceCompute[[#This Row],[Code]]),STLClientSpecificSettings[VolumeBasedPriceItems])),STLClientSpecificSettings[Volume %]/100,1))</f>
        <v>1</v>
      </c>
      <c r="R72" s="12" cm="1">
        <f t="array" ref="R72">IF(STLClientSpecificSettings[Core Pack Excluded from Std volume discount]="UP",IF(OR(E72="USR",E72="RBU"),STLClientSpecificSettings[Core Uplift %]/100+1,1),1)</f>
        <v>1</v>
      </c>
      <c r="S7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72" s="26" t="str">
        <f>IF(STLClientPriceCompute[[#This Row],[Available]]="Y", "P",IF(STLClientPriceCompute[[#This Row],[Available]]="N","O",""))</f>
        <v/>
      </c>
      <c r="U72" s="85" t="str">
        <f>TRIM(STLClientPriceCompute[[#This Row],[Description]])</f>
        <v>Special Entry Types</v>
      </c>
      <c r="V72" s="82" t="str">
        <f>IF(STLClientPriceCompute[[#This Row],[Item Level]]=0,STLClientPriceCompute[[#This Row],[Desc without indent]],"")</f>
        <v/>
      </c>
      <c r="W72" s="82" t="str">
        <f>IF(STLClientPriceCompute[[#This Row],[Item Level]]=1,STLClientPriceCompute[[#This Row],[Desc without indent]],"")</f>
        <v/>
      </c>
      <c r="X72" s="82" t="str">
        <f>IF(STLClientPriceCompute[[#This Row],[Item Level]]=2,STLClientPriceCompute[[#This Row],[Desc without indent]],"")</f>
        <v>Special Entry Types</v>
      </c>
      <c r="Y72" s="82" t="str">
        <f>IF(STLClientPriceCompute[[#This Row],[Item Level]]&gt;=3,_xlfn.CONCAT(REPT(" ",STLClientPriceCompute[[#This Row],[Item Level]]-3), STLClientPriceCompute[[#This Row],[Desc without indent]]),"")</f>
        <v/>
      </c>
      <c r="Z7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73" spans="2:26" x14ac:dyDescent="0.4">
      <c r="B73" s="15">
        <f>FIND(LEFT(TRIM(STLClientPriceCompute[[#This Row],[Description]]),1),STLClientPriceCompute[[#This Row],[Description]])-1</f>
        <v>3</v>
      </c>
      <c r="C73" s="19">
        <v>112</v>
      </c>
      <c r="D73" s="19" t="s">
        <v>87</v>
      </c>
      <c r="E73" s="19" t="s">
        <v>192</v>
      </c>
      <c r="F73" s="19" t="s">
        <v>193</v>
      </c>
      <c r="G73" s="19"/>
      <c r="H73" s="19" t="s">
        <v>87</v>
      </c>
      <c r="I73" s="20">
        <v>2.294727</v>
      </c>
      <c r="J73" s="19" t="s">
        <v>177</v>
      </c>
      <c r="K73" s="19" t="s">
        <v>87</v>
      </c>
      <c r="L73" s="21">
        <v>22.94727</v>
      </c>
      <c r="M73" s="19" t="s">
        <v>85</v>
      </c>
      <c r="N73" s="17">
        <f>_xlfn.IFNA(IF(STLClientPriceCompute[[#This Row],[Base Price (USD)]]="","", STLClientPriceCompute[[#This Row],[Base Price (USD)]]*VLOOKUP(_xlfn.CONCAT(STLClientPriceCompute[[#This Row],[Exchange Rate Group]],STLClientSpecificSettings[Currency]),ClientPriceExRate[[#All],[Ex-Currency]:[Exchange Rate]],2,FALSE)),"")</f>
        <v>3.20495341182</v>
      </c>
      <c r="O7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73" s="22" cm="1">
        <f t="array" ref="P73">IF(STLClientSpecificSettings[Core Pack Excluded from Std volume discount]="EX",1, IF(STLClientSpecificSettings[Volume Price Adjustment]="HV", STLClientPriceCompute[[#This Row],[Category search for HV Base Discount]], STLClientSpecificSettings[Volume %]/100))</f>
        <v>1.5</v>
      </c>
      <c r="Q73" s="12" cm="1">
        <f t="array" ref="Q73">IF(ISBLANK(STLClientPriceCompute[[#This Row],[Category]]), 1, IF(ISNUMBER(SEARCH(CONCATENATE(STLClientPriceCompute[[#This Row],[Category]],"-",STLClientPriceCompute[[#This Row],[Code]]),STLClientSpecificSettings[VolumeBasedPriceItems])),STLClientSpecificSettings[Volume %]/100,1))</f>
        <v>1</v>
      </c>
      <c r="R73" s="12" cm="1">
        <f t="array" ref="R73">IF(STLClientSpecificSettings[Core Pack Excluded from Std volume discount]="UP",IF(OR(E73="USR",E73="RBU"),STLClientSpecificSettings[Core Uplift %]/100+1,1),1)</f>
        <v>1</v>
      </c>
      <c r="S7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73" s="26" t="str">
        <f>IF(STLClientPriceCompute[[#This Row],[Available]]="Y", "P",IF(STLClientPriceCompute[[#This Row],[Available]]="N","O",""))</f>
        <v/>
      </c>
      <c r="U73" s="85" t="str">
        <f>TRIM(STLClientPriceCompute[[#This Row],[Description]])</f>
        <v>Miscellaneous/External Broker In-Out Customs Jobs</v>
      </c>
      <c r="V73" s="82" t="str">
        <f>IF(STLClientPriceCompute[[#This Row],[Item Level]]=0,STLClientPriceCompute[[#This Row],[Desc without indent]],"")</f>
        <v/>
      </c>
      <c r="W73" s="82" t="str">
        <f>IF(STLClientPriceCompute[[#This Row],[Item Level]]=1,STLClientPriceCompute[[#This Row],[Desc without indent]],"")</f>
        <v/>
      </c>
      <c r="X73" s="82" t="str">
        <f>IF(STLClientPriceCompute[[#This Row],[Item Level]]=2,STLClientPriceCompute[[#This Row],[Desc without indent]],"")</f>
        <v/>
      </c>
      <c r="Y73" s="82" t="str">
        <f>IF(STLClientPriceCompute[[#This Row],[Item Level]]&gt;=3,_xlfn.CONCAT(REPT(" ",STLClientPriceCompute[[#This Row],[Item Level]]-3), STLClientPriceCompute[[#This Row],[Desc without indent]]),"")</f>
        <v>Miscellaneous/External Broker In-Out Customs Jobs</v>
      </c>
      <c r="Z7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74" spans="2:26" x14ac:dyDescent="0.4">
      <c r="B74" s="15">
        <f>FIND(LEFT(TRIM(STLClientPriceCompute[[#This Row],[Description]]),1),STLClientPriceCompute[[#This Row],[Description]])-1</f>
        <v>3</v>
      </c>
      <c r="C74" s="19">
        <v>113</v>
      </c>
      <c r="D74" s="19" t="s">
        <v>87</v>
      </c>
      <c r="E74" s="19" t="s">
        <v>194</v>
      </c>
      <c r="F74" s="19" t="s">
        <v>195</v>
      </c>
      <c r="G74" s="19"/>
      <c r="H74" s="19" t="s">
        <v>87</v>
      </c>
      <c r="I74" s="20">
        <v>6.8841799999999997</v>
      </c>
      <c r="J74" s="19" t="s">
        <v>177</v>
      </c>
      <c r="K74" s="19" t="s">
        <v>87</v>
      </c>
      <c r="L74" s="21">
        <v>68.841800000000006</v>
      </c>
      <c r="M74" s="19" t="s">
        <v>85</v>
      </c>
      <c r="N74" s="17">
        <f>_xlfn.IFNA(IF(STLClientPriceCompute[[#This Row],[Base Price (USD)]]="","", STLClientPriceCompute[[#This Row],[Base Price (USD)]]*VLOOKUP(_xlfn.CONCAT(STLClientPriceCompute[[#This Row],[Exchange Rate Group]],STLClientSpecificSettings[Currency]),ClientPriceExRate[[#All],[Ex-Currency]:[Exchange Rate]],2,FALSE)),"")</f>
        <v>9.6148588388</v>
      </c>
      <c r="O7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74" s="22" cm="1">
        <f t="array" ref="P74">IF(STLClientSpecificSettings[Core Pack Excluded from Std volume discount]="EX",1, IF(STLClientSpecificSettings[Volume Price Adjustment]="HV", STLClientPriceCompute[[#This Row],[Category search for HV Base Discount]], STLClientSpecificSettings[Volume %]/100))</f>
        <v>1.5</v>
      </c>
      <c r="Q74" s="12" cm="1">
        <f t="array" ref="Q74">IF(ISBLANK(STLClientPriceCompute[[#This Row],[Category]]), 1, IF(ISNUMBER(SEARCH(CONCATENATE(STLClientPriceCompute[[#This Row],[Category]],"-",STLClientPriceCompute[[#This Row],[Code]]),STLClientSpecificSettings[VolumeBasedPriceItems])),STLClientSpecificSettings[Volume %]/100,1))</f>
        <v>1</v>
      </c>
      <c r="R74" s="12" cm="1">
        <f t="array" ref="R74">IF(STLClientSpecificSettings[Core Pack Excluded from Std volume discount]="UP",IF(OR(E74="USR",E74="RBU"),STLClientSpecificSettings[Core Uplift %]/100+1,1),1)</f>
        <v>1</v>
      </c>
      <c r="S7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74" s="26" t="str">
        <f>IF(STLClientPriceCompute[[#This Row],[Available]]="Y", "P",IF(STLClientPriceCompute[[#This Row],[Available]]="N","O",""))</f>
        <v/>
      </c>
      <c r="U74" s="85" t="str">
        <f>TRIM(STLClientPriceCompute[[#This Row],[Description]])</f>
        <v>Drawbacks (integrated with Warehousing and BOM)</v>
      </c>
      <c r="V74" s="82" t="str">
        <f>IF(STLClientPriceCompute[[#This Row],[Item Level]]=0,STLClientPriceCompute[[#This Row],[Desc without indent]],"")</f>
        <v/>
      </c>
      <c r="W74" s="82" t="str">
        <f>IF(STLClientPriceCompute[[#This Row],[Item Level]]=1,STLClientPriceCompute[[#This Row],[Desc without indent]],"")</f>
        <v/>
      </c>
      <c r="X74" s="82" t="str">
        <f>IF(STLClientPriceCompute[[#This Row],[Item Level]]=2,STLClientPriceCompute[[#This Row],[Desc without indent]],"")</f>
        <v/>
      </c>
      <c r="Y74" s="82" t="str">
        <f>IF(STLClientPriceCompute[[#This Row],[Item Level]]&gt;=3,_xlfn.CONCAT(REPT(" ",STLClientPriceCompute[[#This Row],[Item Level]]-3), STLClientPriceCompute[[#This Row],[Desc without indent]]),"")</f>
        <v>Drawbacks (integrated with Warehousing and BOM)</v>
      </c>
      <c r="Z7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75" spans="2:26" x14ac:dyDescent="0.4">
      <c r="B75" s="15">
        <f>FIND(LEFT(TRIM(STLClientPriceCompute[[#This Row],[Description]]),1),STLClientPriceCompute[[#This Row],[Description]])-1</f>
        <v>3</v>
      </c>
      <c r="C75" s="19">
        <v>114</v>
      </c>
      <c r="D75" s="19" t="s">
        <v>87</v>
      </c>
      <c r="E75" s="19" t="s">
        <v>196</v>
      </c>
      <c r="F75" s="19" t="s">
        <v>197</v>
      </c>
      <c r="G75" s="19"/>
      <c r="H75" s="19" t="s">
        <v>87</v>
      </c>
      <c r="I75" s="20">
        <v>6.8841799999999997</v>
      </c>
      <c r="J75" s="19" t="s">
        <v>177</v>
      </c>
      <c r="K75" s="19" t="s">
        <v>87</v>
      </c>
      <c r="L75" s="21">
        <v>68.841800000000006</v>
      </c>
      <c r="M75" s="19" t="s">
        <v>85</v>
      </c>
      <c r="N75" s="17">
        <f>_xlfn.IFNA(IF(STLClientPriceCompute[[#This Row],[Base Price (USD)]]="","", STLClientPriceCompute[[#This Row],[Base Price (USD)]]*VLOOKUP(_xlfn.CONCAT(STLClientPriceCompute[[#This Row],[Exchange Rate Group]],STLClientSpecificSettings[Currency]),ClientPriceExRate[[#All],[Ex-Currency]:[Exchange Rate]],2,FALSE)),"")</f>
        <v>9.6148588388</v>
      </c>
      <c r="O7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75" s="22" cm="1">
        <f t="array" ref="P75">IF(STLClientSpecificSettings[Core Pack Excluded from Std volume discount]="EX",1, IF(STLClientSpecificSettings[Volume Price Adjustment]="HV", STLClientPriceCompute[[#This Row],[Category search for HV Base Discount]], STLClientSpecificSettings[Volume %]/100))</f>
        <v>1.5</v>
      </c>
      <c r="Q75" s="12" cm="1">
        <f t="array" ref="Q75">IF(ISBLANK(STLClientPriceCompute[[#This Row],[Category]]), 1, IF(ISNUMBER(SEARCH(CONCATENATE(STLClientPriceCompute[[#This Row],[Category]],"-",STLClientPriceCompute[[#This Row],[Code]]),STLClientSpecificSettings[VolumeBasedPriceItems])),STLClientSpecificSettings[Volume %]/100,1))</f>
        <v>1</v>
      </c>
      <c r="R75" s="12" cm="1">
        <f t="array" ref="R75">IF(STLClientSpecificSettings[Core Pack Excluded from Std volume discount]="UP",IF(OR(E75="USR",E75="RBU"),STLClientSpecificSettings[Core Uplift %]/100+1,1),1)</f>
        <v>1</v>
      </c>
      <c r="S7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75" s="26" t="str">
        <f>IF(STLClientPriceCompute[[#This Row],[Available]]="Y", "P",IF(STLClientPriceCompute[[#This Row],[Available]]="N","O",""))</f>
        <v/>
      </c>
      <c r="U75" s="85" t="str">
        <f>TRIM(STLClientPriceCompute[[#This Row],[Description]])</f>
        <v>Free Trade Zone Entry/Protest/Reconciliation/B2 Entries</v>
      </c>
      <c r="V75" s="82" t="str">
        <f>IF(STLClientPriceCompute[[#This Row],[Item Level]]=0,STLClientPriceCompute[[#This Row],[Desc without indent]],"")</f>
        <v/>
      </c>
      <c r="W75" s="82" t="str">
        <f>IF(STLClientPriceCompute[[#This Row],[Item Level]]=1,STLClientPriceCompute[[#This Row],[Desc without indent]],"")</f>
        <v/>
      </c>
      <c r="X75" s="82" t="str">
        <f>IF(STLClientPriceCompute[[#This Row],[Item Level]]=2,STLClientPriceCompute[[#This Row],[Desc without indent]],"")</f>
        <v/>
      </c>
      <c r="Y75" s="82" t="str">
        <f>IF(STLClientPriceCompute[[#This Row],[Item Level]]&gt;=3,_xlfn.CONCAT(REPT(" ",STLClientPriceCompute[[#This Row],[Item Level]]-3), STLClientPriceCompute[[#This Row],[Desc without indent]]),"")</f>
        <v>Free Trade Zone Entry/Protest/Reconciliation/B2 Entries</v>
      </c>
      <c r="Z7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 (Including First Entry) and Per Additional Entry</v>
      </c>
    </row>
    <row r="76" spans="2:26" x14ac:dyDescent="0.4">
      <c r="B76" s="15">
        <f>FIND(LEFT(TRIM(STLClientPriceCompute[[#This Row],[Description]]),1),STLClientPriceCompute[[#This Row],[Description]])-1</f>
        <v>3</v>
      </c>
      <c r="C76" s="19">
        <v>115</v>
      </c>
      <c r="D76" s="19" t="s">
        <v>87</v>
      </c>
      <c r="E76" s="19" t="s">
        <v>198</v>
      </c>
      <c r="F76" s="19" t="s">
        <v>199</v>
      </c>
      <c r="G76" s="19"/>
      <c r="H76" s="19" t="s">
        <v>87</v>
      </c>
      <c r="I76" s="20">
        <v>6.8841799999999997</v>
      </c>
      <c r="J76" s="19" t="s">
        <v>200</v>
      </c>
      <c r="K76" s="19" t="s">
        <v>87</v>
      </c>
      <c r="L76" s="21">
        <v>68.841800000000006</v>
      </c>
      <c r="M76" s="19" t="s">
        <v>85</v>
      </c>
      <c r="N76" s="17">
        <f>_xlfn.IFNA(IF(STLClientPriceCompute[[#This Row],[Base Price (USD)]]="","", STLClientPriceCompute[[#This Row],[Base Price (USD)]]*VLOOKUP(_xlfn.CONCAT(STLClientPriceCompute[[#This Row],[Exchange Rate Group]],STLClientSpecificSettings[Currency]),ClientPriceExRate[[#All],[Ex-Currency]:[Exchange Rate]],2,FALSE)),"")</f>
        <v>9.6148588388</v>
      </c>
      <c r="O7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76" s="22" cm="1">
        <f t="array" ref="P76">IF(STLClientSpecificSettings[Core Pack Excluded from Std volume discount]="EX",1, IF(STLClientSpecificSettings[Volume Price Adjustment]="HV", STLClientPriceCompute[[#This Row],[Category search for HV Base Discount]], STLClientSpecificSettings[Volume %]/100))</f>
        <v>1.5</v>
      </c>
      <c r="Q76" s="12" cm="1">
        <f t="array" ref="Q76">IF(ISBLANK(STLClientPriceCompute[[#This Row],[Category]]), 1, IF(ISNUMBER(SEARCH(CONCATENATE(STLClientPriceCompute[[#This Row],[Category]],"-",STLClientPriceCompute[[#This Row],[Code]]),STLClientSpecificSettings[VolumeBasedPriceItems])),STLClientSpecificSettings[Volume %]/100,1))</f>
        <v>1</v>
      </c>
      <c r="R76" s="12" cm="1">
        <f t="array" ref="R76">IF(STLClientSpecificSettings[Core Pack Excluded from Std volume discount]="UP",IF(OR(E76="USR",E76="RBU"),STLClientSpecificSettings[Core Uplift %]/100+1,1),1)</f>
        <v>1</v>
      </c>
      <c r="S7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76" s="26" t="str">
        <f>IF(STLClientPriceCompute[[#This Row],[Available]]="Y", "P",IF(STLClientPriceCompute[[#This Row],[Available]]="N","O",""))</f>
        <v/>
      </c>
      <c r="U76" s="85" t="str">
        <f>TRIM(STLClientPriceCompute[[#This Row],[Description]])</f>
        <v>Landed Costing</v>
      </c>
      <c r="V76" s="82" t="str">
        <f>IF(STLClientPriceCompute[[#This Row],[Item Level]]=0,STLClientPriceCompute[[#This Row],[Desc without indent]],"")</f>
        <v/>
      </c>
      <c r="W76" s="82" t="str">
        <f>IF(STLClientPriceCompute[[#This Row],[Item Level]]=1,STLClientPriceCompute[[#This Row],[Desc without indent]],"")</f>
        <v/>
      </c>
      <c r="X76" s="82" t="str">
        <f>IF(STLClientPriceCompute[[#This Row],[Item Level]]=2,STLClientPriceCompute[[#This Row],[Desc without indent]],"")</f>
        <v/>
      </c>
      <c r="Y76" s="82" t="str">
        <f>IF(STLClientPriceCompute[[#This Row],[Item Level]]&gt;=3,_xlfn.CONCAT(REPT(" ",STLClientPriceCompute[[#This Row],[Item Level]]-3), STLClientPriceCompute[[#This Row],[Desc without indent]]),"")</f>
        <v>Landed Costing</v>
      </c>
      <c r="Z7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Landed Cost</v>
      </c>
    </row>
    <row r="77" spans="2:26" x14ac:dyDescent="0.4">
      <c r="B77" s="15">
        <f>FIND(LEFT(TRIM(STLClientPriceCompute[[#This Row],[Description]]),1),STLClientPriceCompute[[#This Row],[Description]])-1</f>
        <v>3</v>
      </c>
      <c r="C77" s="19">
        <v>116</v>
      </c>
      <c r="D77" s="19" t="s">
        <v>87</v>
      </c>
      <c r="E77" s="19" t="s">
        <v>201</v>
      </c>
      <c r="F77" s="19" t="s">
        <v>202</v>
      </c>
      <c r="G77" s="19"/>
      <c r="H77" s="19" t="s">
        <v>87</v>
      </c>
      <c r="I77" s="20">
        <v>0.75</v>
      </c>
      <c r="J77" s="19" t="s">
        <v>203</v>
      </c>
      <c r="K77" s="19" t="s">
        <v>87</v>
      </c>
      <c r="L77" s="21">
        <v>7.5</v>
      </c>
      <c r="M77" s="19" t="s">
        <v>85</v>
      </c>
      <c r="N77" s="17">
        <f>_xlfn.IFNA(IF(STLClientPriceCompute[[#This Row],[Base Price (USD)]]="","", STLClientPriceCompute[[#This Row],[Base Price (USD)]]*VLOOKUP(_xlfn.CONCAT(STLClientPriceCompute[[#This Row],[Exchange Rate Group]],STLClientSpecificSettings[Currency]),ClientPriceExRate[[#All],[Ex-Currency]:[Exchange Rate]],2,FALSE)),"")</f>
        <v>1.0474950000000001</v>
      </c>
      <c r="O7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1.5712425000000001</v>
      </c>
      <c r="P77" s="22" cm="1">
        <f t="array" ref="P77">IF(STLClientSpecificSettings[Core Pack Excluded from Std volume discount]="EX",1, IF(STLClientSpecificSettings[Volume Price Adjustment]="HV", STLClientPriceCompute[[#This Row],[Category search for HV Base Discount]], STLClientSpecificSettings[Volume %]/100))</f>
        <v>1.5</v>
      </c>
      <c r="Q77" s="12" cm="1">
        <f t="array" ref="Q77">IF(ISBLANK(STLClientPriceCompute[[#This Row],[Category]]), 1, IF(ISNUMBER(SEARCH(CONCATENATE(STLClientPriceCompute[[#This Row],[Category]],"-",STLClientPriceCompute[[#This Row],[Code]]),STLClientSpecificSettings[VolumeBasedPriceItems])),STLClientSpecificSettings[Volume %]/100,1))</f>
        <v>1</v>
      </c>
      <c r="R77" s="12" cm="1">
        <f t="array" ref="R77">IF(STLClientSpecificSettings[Core Pack Excluded from Std volume discount]="UP",IF(OR(E77="USR",E77="RBU"),STLClientSpecificSettings[Core Uplift %]/100+1,1),1)</f>
        <v>1</v>
      </c>
      <c r="S7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11.25</v>
      </c>
      <c r="T77" s="26" t="str">
        <f>IF(STLClientPriceCompute[[#This Row],[Available]]="Y", "P",IF(STLClientPriceCompute[[#This Row],[Available]]="N","O",""))</f>
        <v/>
      </c>
      <c r="U77" s="85" t="str">
        <f>TRIM(STLClientPriceCompute[[#This Row],[Description]])</f>
        <v>Single Transaction Bond Application (US Only)</v>
      </c>
      <c r="V77" s="82" t="str">
        <f>IF(STLClientPriceCompute[[#This Row],[Item Level]]=0,STLClientPriceCompute[[#This Row],[Desc without indent]],"")</f>
        <v/>
      </c>
      <c r="W77" s="82" t="str">
        <f>IF(STLClientPriceCompute[[#This Row],[Item Level]]=1,STLClientPriceCompute[[#This Row],[Desc without indent]],"")</f>
        <v/>
      </c>
      <c r="X77" s="82" t="str">
        <f>IF(STLClientPriceCompute[[#This Row],[Item Level]]=2,STLClientPriceCompute[[#This Row],[Desc without indent]],"")</f>
        <v/>
      </c>
      <c r="Y77" s="82" t="str">
        <f>IF(STLClientPriceCompute[[#This Row],[Item Level]]&gt;=3,_xlfn.CONCAT(REPT(" ",STLClientPriceCompute[[#This Row],[Item Level]]-3), STLClientPriceCompute[[#This Row],[Desc without indent]]),"")</f>
        <v>Single Transaction Bond Application (US Only)</v>
      </c>
      <c r="Z7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Successful Application</v>
      </c>
    </row>
    <row r="78" spans="2:26" x14ac:dyDescent="0.4">
      <c r="B78" s="15">
        <f>FIND(LEFT(TRIM(STLClientPriceCompute[[#This Row],[Description]]),1),STLClientPriceCompute[[#This Row],[Description]])-1</f>
        <v>3</v>
      </c>
      <c r="C78" s="19">
        <v>117</v>
      </c>
      <c r="D78" s="19" t="s">
        <v>87</v>
      </c>
      <c r="E78" s="19" t="s">
        <v>204</v>
      </c>
      <c r="F78" s="19" t="s">
        <v>699</v>
      </c>
      <c r="G78" s="19"/>
      <c r="H78" s="19" t="s">
        <v>87</v>
      </c>
      <c r="I78" s="20">
        <v>1.092727</v>
      </c>
      <c r="J78" s="19" t="s">
        <v>187</v>
      </c>
      <c r="K78" s="19" t="s">
        <v>87</v>
      </c>
      <c r="L78" s="21">
        <v>10.92727</v>
      </c>
      <c r="M78" s="19" t="s">
        <v>85</v>
      </c>
      <c r="N78" s="17">
        <f>_xlfn.IFNA(IF(STLClientPriceCompute[[#This Row],[Base Price (USD)]]="","", STLClientPriceCompute[[#This Row],[Base Price (USD)]]*VLOOKUP(_xlfn.CONCAT(STLClientPriceCompute[[#This Row],[Exchange Rate Group]],STLClientSpecificSettings[Currency]),ClientPriceExRate[[#All],[Ex-Currency]:[Exchange Rate]],2,FALSE)),"")</f>
        <v>1.52616809182</v>
      </c>
      <c r="O7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2.2892521377300001</v>
      </c>
      <c r="P78" s="22" cm="1">
        <f t="array" ref="P78">IF(STLClientSpecificSettings[Core Pack Excluded from Std volume discount]="EX",1, IF(STLClientSpecificSettings[Volume Price Adjustment]="HV", STLClientPriceCompute[[#This Row],[Category search for HV Base Discount]], STLClientSpecificSettings[Volume %]/100))</f>
        <v>1.5</v>
      </c>
      <c r="Q78" s="12" cm="1">
        <f t="array" ref="Q78">IF(ISBLANK(STLClientPriceCompute[[#This Row],[Category]]), 1, IF(ISNUMBER(SEARCH(CONCATENATE(STLClientPriceCompute[[#This Row],[Category]],"-",STLClientPriceCompute[[#This Row],[Code]]),STLClientSpecificSettings[VolumeBasedPriceItems])),STLClientSpecificSettings[Volume %]/100,1))</f>
        <v>1</v>
      </c>
      <c r="R78" s="12" cm="1">
        <f t="array" ref="R78">IF(STLClientSpecificSettings[Core Pack Excluded from Std volume discount]="UP",IF(OR(E78="USR",E78="RBU"),STLClientSpecificSettings[Core Uplift %]/100+1,1),1)</f>
        <v>1</v>
      </c>
      <c r="S7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16.390905</v>
      </c>
      <c r="T78" s="26" t="str">
        <f>IF(STLClientPriceCompute[[#This Row],[Available]]="Y", "P",IF(STLClientPriceCompute[[#This Row],[Available]]="N","O",""))</f>
        <v/>
      </c>
      <c r="U78" s="85" t="str">
        <f>TRIM(STLClientPriceCompute[[#This Row],[Description]])</f>
        <v>Export Biosecurity (Export Docs/RFP/etc) (price does not include Export Formal Clearance AU ECN)</v>
      </c>
      <c r="V78" s="82" t="str">
        <f>IF(STLClientPriceCompute[[#This Row],[Item Level]]=0,STLClientPriceCompute[[#This Row],[Desc without indent]],"")</f>
        <v/>
      </c>
      <c r="W78" s="82" t="str">
        <f>IF(STLClientPriceCompute[[#This Row],[Item Level]]=1,STLClientPriceCompute[[#This Row],[Desc without indent]],"")</f>
        <v/>
      </c>
      <c r="X78" s="82" t="str">
        <f>IF(STLClientPriceCompute[[#This Row],[Item Level]]=2,STLClientPriceCompute[[#This Row],[Desc without indent]],"")</f>
        <v/>
      </c>
      <c r="Y78" s="82" t="str">
        <f>IF(STLClientPriceCompute[[#This Row],[Item Level]]&gt;=3,_xlfn.CONCAT(REPT(" ",STLClientPriceCompute[[#This Row],[Item Level]]-3), STLClientPriceCompute[[#This Row],[Desc without indent]]),"")</f>
        <v>Export Biosecurity (Export Docs/RFP/etc) (price does not include Export Formal Clearance AU ECN)</v>
      </c>
      <c r="Z7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Registration/First Message</v>
      </c>
    </row>
    <row r="79" spans="2:26" x14ac:dyDescent="0.4">
      <c r="B79" s="15">
        <f>FIND(LEFT(TRIM(STLClientPriceCompute[[#This Row],[Description]]),1),STLClientPriceCompute[[#This Row],[Description]])-1</f>
        <v>3</v>
      </c>
      <c r="C79" s="19">
        <v>118</v>
      </c>
      <c r="D79" s="19" t="s">
        <v>87</v>
      </c>
      <c r="E79" s="19" t="s">
        <v>205</v>
      </c>
      <c r="F79" s="19" t="s">
        <v>206</v>
      </c>
      <c r="G79" s="19"/>
      <c r="H79" s="19" t="s">
        <v>87</v>
      </c>
      <c r="I79" s="20">
        <v>0.86052300000000004</v>
      </c>
      <c r="J79" s="19" t="s">
        <v>207</v>
      </c>
      <c r="K79" s="19" t="s">
        <v>87</v>
      </c>
      <c r="L79" s="21">
        <v>8.6052300000000006</v>
      </c>
      <c r="M79" s="19" t="s">
        <v>85</v>
      </c>
      <c r="N79"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7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79" s="22" cm="1">
        <f t="array" ref="P79">IF(STLClientSpecificSettings[Core Pack Excluded from Std volume discount]="EX",1, IF(STLClientSpecificSettings[Volume Price Adjustment]="HV", STLClientPriceCompute[[#This Row],[Category search for HV Base Discount]], STLClientSpecificSettings[Volume %]/100))</f>
        <v>1.5</v>
      </c>
      <c r="Q79" s="12" cm="1">
        <f t="array" ref="Q79">IF(ISBLANK(STLClientPriceCompute[[#This Row],[Category]]), 1, IF(ISNUMBER(SEARCH(CONCATENATE(STLClientPriceCompute[[#This Row],[Category]],"-",STLClientPriceCompute[[#This Row],[Code]]),STLClientSpecificSettings[VolumeBasedPriceItems])),STLClientSpecificSettings[Volume %]/100,1))</f>
        <v>1</v>
      </c>
      <c r="R79" s="12" cm="1">
        <f t="array" ref="R79">IF(STLClientSpecificSettings[Core Pack Excluded from Std volume discount]="UP",IF(OR(E79="USR",E79="RBU"),STLClientSpecificSettings[Core Uplift %]/100+1,1),1)</f>
        <v>1</v>
      </c>
      <c r="S7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79" s="26" t="str">
        <f>IF(STLClientPriceCompute[[#This Row],[Available]]="Y", "P",IF(STLClientPriceCompute[[#This Row],[Available]]="N","O",""))</f>
        <v/>
      </c>
      <c r="U79" s="85" t="str">
        <f>TRIM(STLClientPriceCompute[[#This Row],[Description]])</f>
        <v>Intransit / InBond / Underbond Movement Request (From Customs Menu)</v>
      </c>
      <c r="V79" s="82" t="str">
        <f>IF(STLClientPriceCompute[[#This Row],[Item Level]]=0,STLClientPriceCompute[[#This Row],[Desc without indent]],"")</f>
        <v/>
      </c>
      <c r="W79" s="82" t="str">
        <f>IF(STLClientPriceCompute[[#This Row],[Item Level]]=1,STLClientPriceCompute[[#This Row],[Desc without indent]],"")</f>
        <v/>
      </c>
      <c r="X79" s="82" t="str">
        <f>IF(STLClientPriceCompute[[#This Row],[Item Level]]=2,STLClientPriceCompute[[#This Row],[Desc without indent]],"")</f>
        <v/>
      </c>
      <c r="Y79" s="82" t="str">
        <f>IF(STLClientPriceCompute[[#This Row],[Item Level]]&gt;=3,_xlfn.CONCAT(REPT(" ",STLClientPriceCompute[[#This Row],[Item Level]]-3), STLClientPriceCompute[[#This Row],[Desc without indent]]),"")</f>
        <v>Intransit / InBond / Underbond Movement Request (From Customs Menu)</v>
      </c>
      <c r="Z7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Movement Registration</v>
      </c>
    </row>
    <row r="80" spans="2:26" x14ac:dyDescent="0.4">
      <c r="B80" s="15">
        <f>FIND(LEFT(TRIM(STLClientPriceCompute[[#This Row],[Description]]),1),STLClientPriceCompute[[#This Row],[Description]])-1</f>
        <v>3</v>
      </c>
      <c r="C80" s="19">
        <v>119</v>
      </c>
      <c r="D80" s="19" t="s">
        <v>87</v>
      </c>
      <c r="E80" s="19"/>
      <c r="F80" s="19" t="s">
        <v>209</v>
      </c>
      <c r="G80" s="19"/>
      <c r="H80" s="19" t="s">
        <v>87</v>
      </c>
      <c r="I80" s="20">
        <v>0.86052300000000004</v>
      </c>
      <c r="J80" s="19" t="s">
        <v>207</v>
      </c>
      <c r="K80" s="19" t="s">
        <v>87</v>
      </c>
      <c r="L80" s="21">
        <v>8.6052300000000006</v>
      </c>
      <c r="M80" s="19" t="s">
        <v>85</v>
      </c>
      <c r="N80"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8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80" s="22" cm="1">
        <f t="array" ref="P80">IF(STLClientSpecificSettings[Core Pack Excluded from Std volume discount]="EX",1, IF(STLClientSpecificSettings[Volume Price Adjustment]="HV", STLClientPriceCompute[[#This Row],[Category search for HV Base Discount]], STLClientSpecificSettings[Volume %]/100))</f>
        <v>1.5</v>
      </c>
      <c r="Q80" s="12" cm="1">
        <f t="array" ref="Q80">IF(ISBLANK(STLClientPriceCompute[[#This Row],[Category]]), 1, IF(ISNUMBER(SEARCH(CONCATENATE(STLClientPriceCompute[[#This Row],[Category]],"-",STLClientPriceCompute[[#This Row],[Code]]),STLClientSpecificSettings[VolumeBasedPriceItems])),STLClientSpecificSettings[Volume %]/100,1))</f>
        <v>1</v>
      </c>
      <c r="R80" s="12" cm="1">
        <f t="array" ref="R80">IF(STLClientSpecificSettings[Core Pack Excluded from Std volume discount]="UP",IF(OR(E80="USR",E80="RBU"),STLClientSpecificSettings[Core Uplift %]/100+1,1),1)</f>
        <v>1</v>
      </c>
      <c r="S8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80" s="26" t="str">
        <f>IF(STLClientPriceCompute[[#This Row],[Available]]="Y", "P",IF(STLClientPriceCompute[[#This Row],[Available]]="N","O",""))</f>
        <v/>
      </c>
      <c r="U80" s="85" t="str">
        <f>TRIM(STLClientPriceCompute[[#This Row],[Description]])</f>
        <v>InBond / Underbond Movement Request (From Forwarding Menu)</v>
      </c>
      <c r="V80" s="82" t="str">
        <f>IF(STLClientPriceCompute[[#This Row],[Item Level]]=0,STLClientPriceCompute[[#This Row],[Desc without indent]],"")</f>
        <v/>
      </c>
      <c r="W80" s="82" t="str">
        <f>IF(STLClientPriceCompute[[#This Row],[Item Level]]=1,STLClientPriceCompute[[#This Row],[Desc without indent]],"")</f>
        <v/>
      </c>
      <c r="X80" s="82" t="str">
        <f>IF(STLClientPriceCompute[[#This Row],[Item Level]]=2,STLClientPriceCompute[[#This Row],[Desc without indent]],"")</f>
        <v/>
      </c>
      <c r="Y80" s="82" t="str">
        <f>IF(STLClientPriceCompute[[#This Row],[Item Level]]&gt;=3,_xlfn.CONCAT(REPT(" ",STLClientPriceCompute[[#This Row],[Item Level]]-3), STLClientPriceCompute[[#This Row],[Desc without indent]]),"")</f>
        <v>InBond / Underbond Movement Request (From Forwarding Menu)</v>
      </c>
      <c r="Z8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Movement Registration</v>
      </c>
    </row>
    <row r="81" spans="2:26" x14ac:dyDescent="0.4">
      <c r="B81" s="15">
        <f>FIND(LEFT(TRIM(STLClientPriceCompute[[#This Row],[Description]]),1),STLClientPriceCompute[[#This Row],[Description]])-1</f>
        <v>1</v>
      </c>
      <c r="C81" s="19">
        <v>120</v>
      </c>
      <c r="D81" s="19"/>
      <c r="E81" s="19"/>
      <c r="F81" s="19" t="s">
        <v>210</v>
      </c>
      <c r="G81" s="19"/>
      <c r="H81" s="19" t="s">
        <v>87</v>
      </c>
      <c r="I81" s="20">
        <v>0</v>
      </c>
      <c r="J81" s="19"/>
      <c r="K81" s="19" t="s">
        <v>87</v>
      </c>
      <c r="L81" s="21">
        <v>0</v>
      </c>
      <c r="M81" s="19" t="s">
        <v>85</v>
      </c>
      <c r="N81" s="17">
        <f>_xlfn.IFNA(IF(STLClientPriceCompute[[#This Row],[Base Price (USD)]]="","", STLClientPriceCompute[[#This Row],[Base Price (USD)]]*VLOOKUP(_xlfn.CONCAT(STLClientPriceCompute[[#This Row],[Exchange Rate Group]],STLClientSpecificSettings[Currency]),ClientPriceExRate[[#All],[Ex-Currency]:[Exchange Rate]],2,FALSE)),"")</f>
        <v>0</v>
      </c>
      <c r="O8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81" s="22" cm="1">
        <f t="array" ref="P81">IF(STLClientSpecificSettings[Core Pack Excluded from Std volume discount]="EX",1, IF(STLClientSpecificSettings[Volume Price Adjustment]="HV", STLClientPriceCompute[[#This Row],[Category search for HV Base Discount]], STLClientSpecificSettings[Volume %]/100))</f>
        <v>1.5</v>
      </c>
      <c r="Q81" s="12" cm="1">
        <f t="array" ref="Q81">IF(ISBLANK(STLClientPriceCompute[[#This Row],[Category]]), 1, IF(ISNUMBER(SEARCH(CONCATENATE(STLClientPriceCompute[[#This Row],[Category]],"-",STLClientPriceCompute[[#This Row],[Code]]),STLClientSpecificSettings[VolumeBasedPriceItems])),STLClientSpecificSettings[Volume %]/100,1))</f>
        <v>1</v>
      </c>
      <c r="R81" s="12" cm="1">
        <f t="array" ref="R81">IF(STLClientSpecificSettings[Core Pack Excluded from Std volume discount]="UP",IF(OR(E81="USR",E81="RBU"),STLClientSpecificSettings[Core Uplift %]/100+1,1),1)</f>
        <v>1</v>
      </c>
      <c r="S8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81" s="26" t="str">
        <f>IF(STLClientPriceCompute[[#This Row],[Available]]="Y", "P",IF(STLClientPriceCompute[[#This Row],[Available]]="N","O",""))</f>
        <v/>
      </c>
      <c r="U81" s="85" t="str">
        <f>TRIM(STLClientPriceCompute[[#This Row],[Description]])</f>
        <v>Other Parties Customs and Port Messaging (non Broker/Agent messaging)</v>
      </c>
      <c r="V81" s="82" t="str">
        <f>IF(STLClientPriceCompute[[#This Row],[Item Level]]=0,STLClientPriceCompute[[#This Row],[Desc without indent]],"")</f>
        <v/>
      </c>
      <c r="W81" s="82" t="str">
        <f>IF(STLClientPriceCompute[[#This Row],[Item Level]]=1,STLClientPriceCompute[[#This Row],[Desc without indent]],"")</f>
        <v>Other Parties Customs and Port Messaging (non Broker/Agent messaging)</v>
      </c>
      <c r="X81" s="82" t="str">
        <f>IF(STLClientPriceCompute[[#This Row],[Item Level]]=2,STLClientPriceCompute[[#This Row],[Desc without indent]],"")</f>
        <v/>
      </c>
      <c r="Y81" s="82" t="str">
        <f>IF(STLClientPriceCompute[[#This Row],[Item Level]]&gt;=3,_xlfn.CONCAT(REPT(" ",STLClientPriceCompute[[#This Row],[Item Level]]-3), STLClientPriceCompute[[#This Row],[Desc without indent]]),"")</f>
        <v/>
      </c>
      <c r="Z8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82" spans="2:26" x14ac:dyDescent="0.4">
      <c r="B82" s="15">
        <f>FIND(LEFT(TRIM(STLClientPriceCompute[[#This Row],[Description]]),1),STLClientPriceCompute[[#This Row],[Description]])-1</f>
        <v>2</v>
      </c>
      <c r="C82" s="19">
        <v>121</v>
      </c>
      <c r="D82" s="19"/>
      <c r="E82" s="19"/>
      <c r="F82" s="19" t="s">
        <v>211</v>
      </c>
      <c r="G82" s="19"/>
      <c r="H82" s="19" t="s">
        <v>87</v>
      </c>
      <c r="I82" s="20">
        <v>0</v>
      </c>
      <c r="J82" s="19"/>
      <c r="K82" s="19" t="s">
        <v>87</v>
      </c>
      <c r="L82" s="21">
        <v>0</v>
      </c>
      <c r="M82" s="19" t="s">
        <v>85</v>
      </c>
      <c r="N82" s="17">
        <f>_xlfn.IFNA(IF(STLClientPriceCompute[[#This Row],[Base Price (USD)]]="","", STLClientPriceCompute[[#This Row],[Base Price (USD)]]*VLOOKUP(_xlfn.CONCAT(STLClientPriceCompute[[#This Row],[Exchange Rate Group]],STLClientSpecificSettings[Currency]),ClientPriceExRate[[#All],[Ex-Currency]:[Exchange Rate]],2,FALSE)),"")</f>
        <v>0</v>
      </c>
      <c r="O8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82" s="22" cm="1">
        <f t="array" ref="P82">IF(STLClientSpecificSettings[Core Pack Excluded from Std volume discount]="EX",1, IF(STLClientSpecificSettings[Volume Price Adjustment]="HV", STLClientPriceCompute[[#This Row],[Category search for HV Base Discount]], STLClientSpecificSettings[Volume %]/100))</f>
        <v>1.5</v>
      </c>
      <c r="Q82" s="12" cm="1">
        <f t="array" ref="Q82">IF(ISBLANK(STLClientPriceCompute[[#This Row],[Category]]), 1, IF(ISNUMBER(SEARCH(CONCATENATE(STLClientPriceCompute[[#This Row],[Category]],"-",STLClientPriceCompute[[#This Row],[Code]]),STLClientSpecificSettings[VolumeBasedPriceItems])),STLClientSpecificSettings[Volume %]/100,1))</f>
        <v>1</v>
      </c>
      <c r="R82" s="12" cm="1">
        <f t="array" ref="R82">IF(STLClientSpecificSettings[Core Pack Excluded from Std volume discount]="UP",IF(OR(E82="USR",E82="RBU"),STLClientSpecificSettings[Core Uplift %]/100+1,1),1)</f>
        <v>1</v>
      </c>
      <c r="S8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82" s="26" t="str">
        <f>IF(STLClientPriceCompute[[#This Row],[Available]]="Y", "P",IF(STLClientPriceCompute[[#This Row],[Available]]="N","O",""))</f>
        <v/>
      </c>
      <c r="U82" s="85" t="str">
        <f>TRIM(STLClientPriceCompute[[#This Row],[Description]])</f>
        <v>Ecommerce (Incl. low value customs entries - only if transaction originates from Ecommerce, otherwise separately charged)</v>
      </c>
      <c r="V82" s="82" t="str">
        <f>IF(STLClientPriceCompute[[#This Row],[Item Level]]=0,STLClientPriceCompute[[#This Row],[Desc without indent]],"")</f>
        <v/>
      </c>
      <c r="W82" s="82" t="str">
        <f>IF(STLClientPriceCompute[[#This Row],[Item Level]]=1,STLClientPriceCompute[[#This Row],[Desc without indent]],"")</f>
        <v/>
      </c>
      <c r="X82" s="82" t="str">
        <f>IF(STLClientPriceCompute[[#This Row],[Item Level]]=2,STLClientPriceCompute[[#This Row],[Desc without indent]],"")</f>
        <v>Ecommerce (Incl. low value customs entries - only if transaction originates from Ecommerce, otherwise separately charged)</v>
      </c>
      <c r="Y82" s="82" t="str">
        <f>IF(STLClientPriceCompute[[#This Row],[Item Level]]&gt;=3,_xlfn.CONCAT(REPT(" ",STLClientPriceCompute[[#This Row],[Item Level]]-3), STLClientPriceCompute[[#This Row],[Desc without indent]]),"")</f>
        <v/>
      </c>
      <c r="Z8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83" spans="2:26" x14ac:dyDescent="0.4">
      <c r="B83" s="15">
        <f>FIND(LEFT(TRIM(STLClientPriceCompute[[#This Row],[Description]]),1),STLClientPriceCompute[[#This Row],[Description]])-1</f>
        <v>3</v>
      </c>
      <c r="C83" s="19">
        <v>122</v>
      </c>
      <c r="D83" s="19" t="s">
        <v>87</v>
      </c>
      <c r="E83" s="19" t="s">
        <v>700</v>
      </c>
      <c r="F83" s="19" t="s">
        <v>212</v>
      </c>
      <c r="G83" s="19"/>
      <c r="H83" s="19" t="s">
        <v>87</v>
      </c>
      <c r="I83" s="20">
        <v>0.1</v>
      </c>
      <c r="J83" s="19" t="s">
        <v>213</v>
      </c>
      <c r="K83" s="19" t="s">
        <v>711</v>
      </c>
      <c r="L83" s="21">
        <v>1</v>
      </c>
      <c r="M83" s="19" t="s">
        <v>85</v>
      </c>
      <c r="N83" s="17">
        <f>_xlfn.IFNA(IF(STLClientPriceCompute[[#This Row],[Base Price (USD)]]="","", STLClientPriceCompute[[#This Row],[Base Price (USD)]]*VLOOKUP(_xlfn.CONCAT(STLClientPriceCompute[[#This Row],[Exchange Rate Group]],STLClientSpecificSettings[Currency]),ClientPriceExRate[[#All],[Ex-Currency]:[Exchange Rate]],2,FALSE)),"")</f>
        <v>0.13389999999999999</v>
      </c>
      <c r="O8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0.20084999999999997</v>
      </c>
      <c r="P83" s="22" cm="1">
        <f t="array" ref="P83">IF(STLClientSpecificSettings[Core Pack Excluded from Std volume discount]="EX",1, IF(STLClientSpecificSettings[Volume Price Adjustment]="HV", STLClientPriceCompute[[#This Row],[Category search for HV Base Discount]], STLClientSpecificSettings[Volume %]/100))</f>
        <v>1.5</v>
      </c>
      <c r="Q83" s="12" cm="1">
        <f t="array" ref="Q83">IF(ISBLANK(STLClientPriceCompute[[#This Row],[Category]]), 1, IF(ISNUMBER(SEARCH(CONCATENATE(STLClientPriceCompute[[#This Row],[Category]],"-",STLClientPriceCompute[[#This Row],[Code]]),STLClientSpecificSettings[VolumeBasedPriceItems])),STLClientSpecificSettings[Volume %]/100,1))</f>
        <v>1</v>
      </c>
      <c r="R83" s="12" cm="1">
        <f t="array" ref="R83">IF(STLClientSpecificSettings[Core Pack Excluded from Std volume discount]="UP",IF(OR(E83="USR",E83="RBU"),STLClientSpecificSettings[Core Uplift %]/100+1,1),1)</f>
        <v>1</v>
      </c>
      <c r="S8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1.5</v>
      </c>
      <c r="T83" s="26" t="str">
        <f>IF(STLClientPriceCompute[[#This Row],[Available]]="Y", "P",IF(STLClientPriceCompute[[#This Row],[Available]]="N","O",""))</f>
        <v/>
      </c>
      <c r="U83" s="85" t="str">
        <f>TRIM(STLClientPriceCompute[[#This Row],[Description]])</f>
        <v>First 50,000</v>
      </c>
      <c r="V83" s="82" t="str">
        <f>IF(STLClientPriceCompute[[#This Row],[Item Level]]=0,STLClientPriceCompute[[#This Row],[Desc without indent]],"")</f>
        <v/>
      </c>
      <c r="W83" s="82" t="str">
        <f>IF(STLClientPriceCompute[[#This Row],[Item Level]]=1,STLClientPriceCompute[[#This Row],[Desc without indent]],"")</f>
        <v/>
      </c>
      <c r="X83" s="82" t="str">
        <f>IF(STLClientPriceCompute[[#This Row],[Item Level]]=2,STLClientPriceCompute[[#This Row],[Desc without indent]],"")</f>
        <v/>
      </c>
      <c r="Y83" s="82" t="str">
        <f>IF(STLClientPriceCompute[[#This Row],[Item Level]]&gt;=3,_xlfn.CONCAT(REPT(" ",STLClientPriceCompute[[#This Row],[Item Level]]-3), STLClientPriceCompute[[#This Row],[Desc without indent]]),"")</f>
        <v>First 50,000</v>
      </c>
      <c r="Z8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4" spans="2:26" x14ac:dyDescent="0.4">
      <c r="B84" s="15">
        <f>FIND(LEFT(TRIM(STLClientPriceCompute[[#This Row],[Description]]),1),STLClientPriceCompute[[#This Row],[Description]])-1</f>
        <v>3</v>
      </c>
      <c r="C84" s="19">
        <v>123</v>
      </c>
      <c r="D84" s="19" t="s">
        <v>87</v>
      </c>
      <c r="E84" s="19" t="s">
        <v>700</v>
      </c>
      <c r="F84" s="19" t="s">
        <v>214</v>
      </c>
      <c r="G84" s="19"/>
      <c r="H84" s="19" t="s">
        <v>87</v>
      </c>
      <c r="I84" s="20">
        <v>7.4999999999999997E-2</v>
      </c>
      <c r="J84" s="19" t="s">
        <v>213</v>
      </c>
      <c r="K84" s="19" t="s">
        <v>711</v>
      </c>
      <c r="L84" s="21">
        <v>0.75</v>
      </c>
      <c r="M84" s="19" t="s">
        <v>85</v>
      </c>
      <c r="N84" s="17">
        <f>_xlfn.IFNA(IF(STLClientPriceCompute[[#This Row],[Base Price (USD)]]="","", STLClientPriceCompute[[#This Row],[Base Price (USD)]]*VLOOKUP(_xlfn.CONCAT(STLClientPriceCompute[[#This Row],[Exchange Rate Group]],STLClientSpecificSettings[Currency]),ClientPriceExRate[[#All],[Ex-Currency]:[Exchange Rate]],2,FALSE)),"")</f>
        <v>0.100425</v>
      </c>
      <c r="O8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0.15063750000000001</v>
      </c>
      <c r="P84" s="22" cm="1">
        <f t="array" ref="P84">IF(STLClientSpecificSettings[Core Pack Excluded from Std volume discount]="EX",1, IF(STLClientSpecificSettings[Volume Price Adjustment]="HV", STLClientPriceCompute[[#This Row],[Category search for HV Base Discount]], STLClientSpecificSettings[Volume %]/100))</f>
        <v>1.5</v>
      </c>
      <c r="Q84" s="12" cm="1">
        <f t="array" ref="Q84">IF(ISBLANK(STLClientPriceCompute[[#This Row],[Category]]), 1, IF(ISNUMBER(SEARCH(CONCATENATE(STLClientPriceCompute[[#This Row],[Category]],"-",STLClientPriceCompute[[#This Row],[Code]]),STLClientSpecificSettings[VolumeBasedPriceItems])),STLClientSpecificSettings[Volume %]/100,1))</f>
        <v>1</v>
      </c>
      <c r="R84" s="12" cm="1">
        <f t="array" ref="R84">IF(STLClientSpecificSettings[Core Pack Excluded from Std volume discount]="UP",IF(OR(E84="USR",E84="RBU"),STLClientSpecificSettings[Core Uplift %]/100+1,1),1)</f>
        <v>1</v>
      </c>
      <c r="S8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1.125</v>
      </c>
      <c r="T84" s="26" t="str">
        <f>IF(STLClientPriceCompute[[#This Row],[Available]]="Y", "P",IF(STLClientPriceCompute[[#This Row],[Available]]="N","O",""))</f>
        <v/>
      </c>
      <c r="U84" s="85" t="str">
        <f>TRIM(STLClientPriceCompute[[#This Row],[Description]])</f>
        <v>Between 50,001 to 100,000</v>
      </c>
      <c r="V84" s="82" t="str">
        <f>IF(STLClientPriceCompute[[#This Row],[Item Level]]=0,STLClientPriceCompute[[#This Row],[Desc without indent]],"")</f>
        <v/>
      </c>
      <c r="W84" s="82" t="str">
        <f>IF(STLClientPriceCompute[[#This Row],[Item Level]]=1,STLClientPriceCompute[[#This Row],[Desc without indent]],"")</f>
        <v/>
      </c>
      <c r="X84" s="82" t="str">
        <f>IF(STLClientPriceCompute[[#This Row],[Item Level]]=2,STLClientPriceCompute[[#This Row],[Desc without indent]],"")</f>
        <v/>
      </c>
      <c r="Y84" s="82" t="str">
        <f>IF(STLClientPriceCompute[[#This Row],[Item Level]]&gt;=3,_xlfn.CONCAT(REPT(" ",STLClientPriceCompute[[#This Row],[Item Level]]-3), STLClientPriceCompute[[#This Row],[Desc without indent]]),"")</f>
        <v>Between 50,001 to 100,000</v>
      </c>
      <c r="Z8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5" spans="2:26" x14ac:dyDescent="0.4">
      <c r="B85" s="15">
        <f>FIND(LEFT(TRIM(STLClientPriceCompute[[#This Row],[Description]]),1),STLClientPriceCompute[[#This Row],[Description]])-1</f>
        <v>3</v>
      </c>
      <c r="C85" s="19">
        <v>124</v>
      </c>
      <c r="D85" s="19" t="s">
        <v>87</v>
      </c>
      <c r="E85" s="19" t="s">
        <v>700</v>
      </c>
      <c r="F85" s="19" t="s">
        <v>215</v>
      </c>
      <c r="G85" s="19"/>
      <c r="H85" s="19" t="s">
        <v>87</v>
      </c>
      <c r="I85" s="20">
        <v>5.6250000000000001E-2</v>
      </c>
      <c r="J85" s="19" t="s">
        <v>213</v>
      </c>
      <c r="K85" s="19" t="s">
        <v>711</v>
      </c>
      <c r="L85" s="21">
        <v>0.5625</v>
      </c>
      <c r="M85" s="19" t="s">
        <v>85</v>
      </c>
      <c r="N85" s="17">
        <f>_xlfn.IFNA(IF(STLClientPriceCompute[[#This Row],[Base Price (USD)]]="","", STLClientPriceCompute[[#This Row],[Base Price (USD)]]*VLOOKUP(_xlfn.CONCAT(STLClientPriceCompute[[#This Row],[Exchange Rate Group]],STLClientSpecificSettings[Currency]),ClientPriceExRate[[#All],[Ex-Currency]:[Exchange Rate]],2,FALSE)),"")</f>
        <v>7.5318750000000004E-2</v>
      </c>
      <c r="O8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0.11297812500000001</v>
      </c>
      <c r="P85" s="22" cm="1">
        <f t="array" ref="P85">IF(STLClientSpecificSettings[Core Pack Excluded from Std volume discount]="EX",1, IF(STLClientSpecificSettings[Volume Price Adjustment]="HV", STLClientPriceCompute[[#This Row],[Category search for HV Base Discount]], STLClientSpecificSettings[Volume %]/100))</f>
        <v>1.5</v>
      </c>
      <c r="Q85" s="12" cm="1">
        <f t="array" ref="Q85">IF(ISBLANK(STLClientPriceCompute[[#This Row],[Category]]), 1, IF(ISNUMBER(SEARCH(CONCATENATE(STLClientPriceCompute[[#This Row],[Category]],"-",STLClientPriceCompute[[#This Row],[Code]]),STLClientSpecificSettings[VolumeBasedPriceItems])),STLClientSpecificSettings[Volume %]/100,1))</f>
        <v>1</v>
      </c>
      <c r="R85" s="12" cm="1">
        <f t="array" ref="R85">IF(STLClientSpecificSettings[Core Pack Excluded from Std volume discount]="UP",IF(OR(E85="USR",E85="RBU"),STLClientSpecificSettings[Core Uplift %]/100+1,1),1)</f>
        <v>1</v>
      </c>
      <c r="S8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0.84375</v>
      </c>
      <c r="T85" s="26" t="str">
        <f>IF(STLClientPriceCompute[[#This Row],[Available]]="Y", "P",IF(STLClientPriceCompute[[#This Row],[Available]]="N","O",""))</f>
        <v/>
      </c>
      <c r="U85" s="85" t="str">
        <f>TRIM(STLClientPriceCompute[[#This Row],[Description]])</f>
        <v>Between 100,001 to 200,000</v>
      </c>
      <c r="V85" s="82" t="str">
        <f>IF(STLClientPriceCompute[[#This Row],[Item Level]]=0,STLClientPriceCompute[[#This Row],[Desc without indent]],"")</f>
        <v/>
      </c>
      <c r="W85" s="82" t="str">
        <f>IF(STLClientPriceCompute[[#This Row],[Item Level]]=1,STLClientPriceCompute[[#This Row],[Desc without indent]],"")</f>
        <v/>
      </c>
      <c r="X85" s="82" t="str">
        <f>IF(STLClientPriceCompute[[#This Row],[Item Level]]=2,STLClientPriceCompute[[#This Row],[Desc without indent]],"")</f>
        <v/>
      </c>
      <c r="Y85" s="82" t="str">
        <f>IF(STLClientPriceCompute[[#This Row],[Item Level]]&gt;=3,_xlfn.CONCAT(REPT(" ",STLClientPriceCompute[[#This Row],[Item Level]]-3), STLClientPriceCompute[[#This Row],[Desc without indent]]),"")</f>
        <v>Between 100,001 to 200,000</v>
      </c>
      <c r="Z8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6" spans="2:26" x14ac:dyDescent="0.4">
      <c r="B86" s="15">
        <f>FIND(LEFT(TRIM(STLClientPriceCompute[[#This Row],[Description]]),1),STLClientPriceCompute[[#This Row],[Description]])-1</f>
        <v>3</v>
      </c>
      <c r="C86" s="19">
        <v>125</v>
      </c>
      <c r="D86" s="19" t="s">
        <v>87</v>
      </c>
      <c r="E86" s="19" t="s">
        <v>700</v>
      </c>
      <c r="F86" s="19" t="s">
        <v>216</v>
      </c>
      <c r="G86" s="19"/>
      <c r="H86" s="19" t="s">
        <v>87</v>
      </c>
      <c r="I86" s="20">
        <v>3.9375E-2</v>
      </c>
      <c r="J86" s="19" t="s">
        <v>213</v>
      </c>
      <c r="K86" s="19" t="s">
        <v>711</v>
      </c>
      <c r="L86" s="21">
        <v>0.39374999999999999</v>
      </c>
      <c r="M86" s="19" t="s">
        <v>85</v>
      </c>
      <c r="N86" s="17">
        <f>_xlfn.IFNA(IF(STLClientPriceCompute[[#This Row],[Base Price (USD)]]="","", STLClientPriceCompute[[#This Row],[Base Price (USD)]]*VLOOKUP(_xlfn.CONCAT(STLClientPriceCompute[[#This Row],[Exchange Rate Group]],STLClientSpecificSettings[Currency]),ClientPriceExRate[[#All],[Ex-Currency]:[Exchange Rate]],2,FALSE)),"")</f>
        <v>5.2723124999999996E-2</v>
      </c>
      <c r="O8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7.90846875E-2</v>
      </c>
      <c r="P86" s="22" cm="1">
        <f t="array" ref="P86">IF(STLClientSpecificSettings[Core Pack Excluded from Std volume discount]="EX",1, IF(STLClientSpecificSettings[Volume Price Adjustment]="HV", STLClientPriceCompute[[#This Row],[Category search for HV Base Discount]], STLClientSpecificSettings[Volume %]/100))</f>
        <v>1.5</v>
      </c>
      <c r="Q86" s="12" cm="1">
        <f t="array" ref="Q86">IF(ISBLANK(STLClientPriceCompute[[#This Row],[Category]]), 1, IF(ISNUMBER(SEARCH(CONCATENATE(STLClientPriceCompute[[#This Row],[Category]],"-",STLClientPriceCompute[[#This Row],[Code]]),STLClientSpecificSettings[VolumeBasedPriceItems])),STLClientSpecificSettings[Volume %]/100,1))</f>
        <v>1</v>
      </c>
      <c r="R86" s="12" cm="1">
        <f t="array" ref="R86">IF(STLClientSpecificSettings[Core Pack Excluded from Std volume discount]="UP",IF(OR(E86="USR",E86="RBU"),STLClientSpecificSettings[Core Uplift %]/100+1,1),1)</f>
        <v>1</v>
      </c>
      <c r="S8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0.59062499999999996</v>
      </c>
      <c r="T86" s="26" t="str">
        <f>IF(STLClientPriceCompute[[#This Row],[Available]]="Y", "P",IF(STLClientPriceCompute[[#This Row],[Available]]="N","O",""))</f>
        <v/>
      </c>
      <c r="U86" s="85" t="str">
        <f>TRIM(STLClientPriceCompute[[#This Row],[Description]])</f>
        <v>Between 200,001 to 400,000</v>
      </c>
      <c r="V86" s="82" t="str">
        <f>IF(STLClientPriceCompute[[#This Row],[Item Level]]=0,STLClientPriceCompute[[#This Row],[Desc without indent]],"")</f>
        <v/>
      </c>
      <c r="W86" s="82" t="str">
        <f>IF(STLClientPriceCompute[[#This Row],[Item Level]]=1,STLClientPriceCompute[[#This Row],[Desc without indent]],"")</f>
        <v/>
      </c>
      <c r="X86" s="82" t="str">
        <f>IF(STLClientPriceCompute[[#This Row],[Item Level]]=2,STLClientPriceCompute[[#This Row],[Desc without indent]],"")</f>
        <v/>
      </c>
      <c r="Y86" s="82" t="str">
        <f>IF(STLClientPriceCompute[[#This Row],[Item Level]]&gt;=3,_xlfn.CONCAT(REPT(" ",STLClientPriceCompute[[#This Row],[Item Level]]-3), STLClientPriceCompute[[#This Row],[Desc without indent]]),"")</f>
        <v>Between 200,001 to 400,000</v>
      </c>
      <c r="Z8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7" spans="2:26" x14ac:dyDescent="0.4">
      <c r="B87" s="15">
        <f>FIND(LEFT(TRIM(STLClientPriceCompute[[#This Row],[Description]]),1),STLClientPriceCompute[[#This Row],[Description]])-1</f>
        <v>3</v>
      </c>
      <c r="C87" s="19">
        <v>126</v>
      </c>
      <c r="D87" s="19" t="s">
        <v>87</v>
      </c>
      <c r="E87" s="19" t="s">
        <v>700</v>
      </c>
      <c r="F87" s="19" t="s">
        <v>217</v>
      </c>
      <c r="G87" s="19"/>
      <c r="H87" s="19" t="s">
        <v>87</v>
      </c>
      <c r="I87" s="20">
        <v>3.15E-2</v>
      </c>
      <c r="J87" s="19" t="s">
        <v>213</v>
      </c>
      <c r="K87" s="19" t="s">
        <v>711</v>
      </c>
      <c r="L87" s="21">
        <v>0.315</v>
      </c>
      <c r="M87" s="19" t="s">
        <v>85</v>
      </c>
      <c r="N87" s="17">
        <f>_xlfn.IFNA(IF(STLClientPriceCompute[[#This Row],[Base Price (USD)]]="","", STLClientPriceCompute[[#This Row],[Base Price (USD)]]*VLOOKUP(_xlfn.CONCAT(STLClientPriceCompute[[#This Row],[Exchange Rate Group]],STLClientSpecificSettings[Currency]),ClientPriceExRate[[#All],[Ex-Currency]:[Exchange Rate]],2,FALSE)),"")</f>
        <v>4.2178500000000001E-2</v>
      </c>
      <c r="O8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6.3267749999999998E-2</v>
      </c>
      <c r="P87" s="22" cm="1">
        <f t="array" ref="P87">IF(STLClientSpecificSettings[Core Pack Excluded from Std volume discount]="EX",1, IF(STLClientSpecificSettings[Volume Price Adjustment]="HV", STLClientPriceCompute[[#This Row],[Category search for HV Base Discount]], STLClientSpecificSettings[Volume %]/100))</f>
        <v>1.5</v>
      </c>
      <c r="Q87" s="12" cm="1">
        <f t="array" ref="Q87">IF(ISBLANK(STLClientPriceCompute[[#This Row],[Category]]), 1, IF(ISNUMBER(SEARCH(CONCATENATE(STLClientPriceCompute[[#This Row],[Category]],"-",STLClientPriceCompute[[#This Row],[Code]]),STLClientSpecificSettings[VolumeBasedPriceItems])),STLClientSpecificSettings[Volume %]/100,1))</f>
        <v>1</v>
      </c>
      <c r="R87" s="12" cm="1">
        <f t="array" ref="R87">IF(STLClientSpecificSettings[Core Pack Excluded from Std volume discount]="UP",IF(OR(E87="USR",E87="RBU"),STLClientSpecificSettings[Core Uplift %]/100+1,1),1)</f>
        <v>1</v>
      </c>
      <c r="S8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0.47250000000000003</v>
      </c>
      <c r="T87" s="26" t="str">
        <f>IF(STLClientPriceCompute[[#This Row],[Available]]="Y", "P",IF(STLClientPriceCompute[[#This Row],[Available]]="N","O",""))</f>
        <v/>
      </c>
      <c r="U87" s="85" t="str">
        <f>TRIM(STLClientPriceCompute[[#This Row],[Description]])</f>
        <v>Between 400,001 to 1,000,000</v>
      </c>
      <c r="V87" s="82" t="str">
        <f>IF(STLClientPriceCompute[[#This Row],[Item Level]]=0,STLClientPriceCompute[[#This Row],[Desc without indent]],"")</f>
        <v/>
      </c>
      <c r="W87" s="82" t="str">
        <f>IF(STLClientPriceCompute[[#This Row],[Item Level]]=1,STLClientPriceCompute[[#This Row],[Desc without indent]],"")</f>
        <v/>
      </c>
      <c r="X87" s="82" t="str">
        <f>IF(STLClientPriceCompute[[#This Row],[Item Level]]=2,STLClientPriceCompute[[#This Row],[Desc without indent]],"")</f>
        <v/>
      </c>
      <c r="Y87" s="82" t="str">
        <f>IF(STLClientPriceCompute[[#This Row],[Item Level]]&gt;=3,_xlfn.CONCAT(REPT(" ",STLClientPriceCompute[[#This Row],[Item Level]]-3), STLClientPriceCompute[[#This Row],[Desc without indent]]),"")</f>
        <v>Between 400,001 to 1,000,000</v>
      </c>
      <c r="Z8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8" spans="2:26" x14ac:dyDescent="0.4">
      <c r="B88" s="15">
        <f>FIND(LEFT(TRIM(STLClientPriceCompute[[#This Row],[Description]]),1),STLClientPriceCompute[[#This Row],[Description]])-1</f>
        <v>3</v>
      </c>
      <c r="C88" s="19">
        <v>127</v>
      </c>
      <c r="D88" s="19" t="s">
        <v>87</v>
      </c>
      <c r="E88" s="19" t="s">
        <v>700</v>
      </c>
      <c r="F88" s="19" t="s">
        <v>218</v>
      </c>
      <c r="G88" s="19"/>
      <c r="H88" s="19" t="s">
        <v>87</v>
      </c>
      <c r="I88" s="20">
        <v>2.52E-2</v>
      </c>
      <c r="J88" s="19" t="s">
        <v>213</v>
      </c>
      <c r="K88" s="19" t="s">
        <v>711</v>
      </c>
      <c r="L88" s="21">
        <v>0.252</v>
      </c>
      <c r="M88" s="19" t="s">
        <v>85</v>
      </c>
      <c r="N88" s="17">
        <f>_xlfn.IFNA(IF(STLClientPriceCompute[[#This Row],[Base Price (USD)]]="","", STLClientPriceCompute[[#This Row],[Base Price (USD)]]*VLOOKUP(_xlfn.CONCAT(STLClientPriceCompute[[#This Row],[Exchange Rate Group]],STLClientSpecificSettings[Currency]),ClientPriceExRate[[#All],[Ex-Currency]:[Exchange Rate]],2,FALSE)),"")</f>
        <v>3.3742799999999996E-2</v>
      </c>
      <c r="O8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5.0614199999999998E-2</v>
      </c>
      <c r="P88" s="22" cm="1">
        <f t="array" ref="P88">IF(STLClientSpecificSettings[Core Pack Excluded from Std volume discount]="EX",1, IF(STLClientSpecificSettings[Volume Price Adjustment]="HV", STLClientPriceCompute[[#This Row],[Category search for HV Base Discount]], STLClientSpecificSettings[Volume %]/100))</f>
        <v>1.5</v>
      </c>
      <c r="Q88" s="12" cm="1">
        <f t="array" ref="Q88">IF(ISBLANK(STLClientPriceCompute[[#This Row],[Category]]), 1, IF(ISNUMBER(SEARCH(CONCATENATE(STLClientPriceCompute[[#This Row],[Category]],"-",STLClientPriceCompute[[#This Row],[Code]]),STLClientSpecificSettings[VolumeBasedPriceItems])),STLClientSpecificSettings[Volume %]/100,1))</f>
        <v>1</v>
      </c>
      <c r="R88" s="12" cm="1">
        <f t="array" ref="R88">IF(STLClientSpecificSettings[Core Pack Excluded from Std volume discount]="UP",IF(OR(E88="USR",E88="RBU"),STLClientSpecificSettings[Core Uplift %]/100+1,1),1)</f>
        <v>1</v>
      </c>
      <c r="S8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0.378</v>
      </c>
      <c r="T88" s="26" t="str">
        <f>IF(STLClientPriceCompute[[#This Row],[Available]]="Y", "P",IF(STLClientPriceCompute[[#This Row],[Available]]="N","O",""))</f>
        <v/>
      </c>
      <c r="U88" s="85" t="str">
        <f>TRIM(STLClientPriceCompute[[#This Row],[Description]])</f>
        <v>Between 1,000,001 to 2,000,000</v>
      </c>
      <c r="V88" s="82" t="str">
        <f>IF(STLClientPriceCompute[[#This Row],[Item Level]]=0,STLClientPriceCompute[[#This Row],[Desc without indent]],"")</f>
        <v/>
      </c>
      <c r="W88" s="82" t="str">
        <f>IF(STLClientPriceCompute[[#This Row],[Item Level]]=1,STLClientPriceCompute[[#This Row],[Desc without indent]],"")</f>
        <v/>
      </c>
      <c r="X88" s="82" t="str">
        <f>IF(STLClientPriceCompute[[#This Row],[Item Level]]=2,STLClientPriceCompute[[#This Row],[Desc without indent]],"")</f>
        <v/>
      </c>
      <c r="Y88" s="82" t="str">
        <f>IF(STLClientPriceCompute[[#This Row],[Item Level]]&gt;=3,_xlfn.CONCAT(REPT(" ",STLClientPriceCompute[[#This Row],[Item Level]]-3), STLClientPriceCompute[[#This Row],[Desc without indent]]),"")</f>
        <v>Between 1,000,001 to 2,000,000</v>
      </c>
      <c r="Z8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89" spans="2:26" x14ac:dyDescent="0.4">
      <c r="B89" s="15">
        <f>FIND(LEFT(TRIM(STLClientPriceCompute[[#This Row],[Description]]),1),STLClientPriceCompute[[#This Row],[Description]])-1</f>
        <v>3</v>
      </c>
      <c r="C89" s="19">
        <v>128</v>
      </c>
      <c r="D89" s="19" t="s">
        <v>87</v>
      </c>
      <c r="E89" s="19" t="s">
        <v>700</v>
      </c>
      <c r="F89" s="19" t="s">
        <v>219</v>
      </c>
      <c r="G89" s="19"/>
      <c r="H89" s="19" t="s">
        <v>87</v>
      </c>
      <c r="I89" s="20">
        <v>2.0160000000000001E-2</v>
      </c>
      <c r="J89" s="19" t="s">
        <v>213</v>
      </c>
      <c r="K89" s="19" t="s">
        <v>711</v>
      </c>
      <c r="L89" s="21">
        <v>0.2016</v>
      </c>
      <c r="M89" s="19" t="s">
        <v>85</v>
      </c>
      <c r="N89" s="17">
        <f>_xlfn.IFNA(IF(STLClientPriceCompute[[#This Row],[Base Price (USD)]]="","", STLClientPriceCompute[[#This Row],[Base Price (USD)]]*VLOOKUP(_xlfn.CONCAT(STLClientPriceCompute[[#This Row],[Exchange Rate Group]],STLClientSpecificSettings[Currency]),ClientPriceExRate[[#All],[Ex-Currency]:[Exchange Rate]],2,FALSE)),"")</f>
        <v>2.6994239999999999E-2</v>
      </c>
      <c r="O8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4.0491359999999997E-2</v>
      </c>
      <c r="P89" s="22" cm="1">
        <f t="array" ref="P89">IF(STLClientSpecificSettings[Core Pack Excluded from Std volume discount]="EX",1, IF(STLClientSpecificSettings[Volume Price Adjustment]="HV", STLClientPriceCompute[[#This Row],[Category search for HV Base Discount]], STLClientSpecificSettings[Volume %]/100))</f>
        <v>1.5</v>
      </c>
      <c r="Q89" s="12" cm="1">
        <f t="array" ref="Q89">IF(ISBLANK(STLClientPriceCompute[[#This Row],[Category]]), 1, IF(ISNUMBER(SEARCH(CONCATENATE(STLClientPriceCompute[[#This Row],[Category]],"-",STLClientPriceCompute[[#This Row],[Code]]),STLClientSpecificSettings[VolumeBasedPriceItems])),STLClientSpecificSettings[Volume %]/100,1))</f>
        <v>1</v>
      </c>
      <c r="R89" s="12" cm="1">
        <f t="array" ref="R89">IF(STLClientSpecificSettings[Core Pack Excluded from Std volume discount]="UP",IF(OR(E89="USR",E89="RBU"),STLClientSpecificSettings[Core Uplift %]/100+1,1),1)</f>
        <v>1</v>
      </c>
      <c r="S8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0.3024</v>
      </c>
      <c r="T89" s="26" t="str">
        <f>IF(STLClientPriceCompute[[#This Row],[Available]]="Y", "P",IF(STLClientPriceCompute[[#This Row],[Available]]="N","O",""))</f>
        <v/>
      </c>
      <c r="U89" s="85" t="str">
        <f>TRIM(STLClientPriceCompute[[#This Row],[Description]])</f>
        <v>Between 2,000,001 to 4,000,000</v>
      </c>
      <c r="V89" s="82" t="str">
        <f>IF(STLClientPriceCompute[[#This Row],[Item Level]]=0,STLClientPriceCompute[[#This Row],[Desc without indent]],"")</f>
        <v/>
      </c>
      <c r="W89" s="82" t="str">
        <f>IF(STLClientPriceCompute[[#This Row],[Item Level]]=1,STLClientPriceCompute[[#This Row],[Desc without indent]],"")</f>
        <v/>
      </c>
      <c r="X89" s="82" t="str">
        <f>IF(STLClientPriceCompute[[#This Row],[Item Level]]=2,STLClientPriceCompute[[#This Row],[Desc without indent]],"")</f>
        <v/>
      </c>
      <c r="Y89" s="82" t="str">
        <f>IF(STLClientPriceCompute[[#This Row],[Item Level]]&gt;=3,_xlfn.CONCAT(REPT(" ",STLClientPriceCompute[[#This Row],[Item Level]]-3), STLClientPriceCompute[[#This Row],[Desc without indent]]),"")</f>
        <v>Between 2,000,001 to 4,000,000</v>
      </c>
      <c r="Z8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90" spans="2:26" x14ac:dyDescent="0.4">
      <c r="B90" s="15">
        <f>FIND(LEFT(TRIM(STLClientPriceCompute[[#This Row],[Description]]),1),STLClientPriceCompute[[#This Row],[Description]])-1</f>
        <v>3</v>
      </c>
      <c r="C90" s="19">
        <v>129</v>
      </c>
      <c r="D90" s="19" t="s">
        <v>87</v>
      </c>
      <c r="E90" s="19" t="s">
        <v>700</v>
      </c>
      <c r="F90" s="19" t="s">
        <v>220</v>
      </c>
      <c r="G90" s="19"/>
      <c r="H90" s="19" t="s">
        <v>87</v>
      </c>
      <c r="I90" s="20">
        <v>1.6128E-2</v>
      </c>
      <c r="J90" s="19" t="s">
        <v>213</v>
      </c>
      <c r="K90" s="19" t="s">
        <v>711</v>
      </c>
      <c r="L90" s="21">
        <v>0.16128000000000001</v>
      </c>
      <c r="M90" s="19" t="s">
        <v>85</v>
      </c>
      <c r="N90" s="17">
        <f>_xlfn.IFNA(IF(STLClientPriceCompute[[#This Row],[Base Price (USD)]]="","", STLClientPriceCompute[[#This Row],[Base Price (USD)]]*VLOOKUP(_xlfn.CONCAT(STLClientPriceCompute[[#This Row],[Exchange Rate Group]],STLClientSpecificSettings[Currency]),ClientPriceExRate[[#All],[Ex-Currency]:[Exchange Rate]],2,FALSE)),"")</f>
        <v>2.1595391999999998E-2</v>
      </c>
      <c r="O9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3.2393088E-2</v>
      </c>
      <c r="P90" s="22" cm="1">
        <f t="array" ref="P90">IF(STLClientSpecificSettings[Core Pack Excluded from Std volume discount]="EX",1, IF(STLClientSpecificSettings[Volume Price Adjustment]="HV", STLClientPriceCompute[[#This Row],[Category search for HV Base Discount]], STLClientSpecificSettings[Volume %]/100))</f>
        <v>1.5</v>
      </c>
      <c r="Q90" s="12" cm="1">
        <f t="array" ref="Q90">IF(ISBLANK(STLClientPriceCompute[[#This Row],[Category]]), 1, IF(ISNUMBER(SEARCH(CONCATENATE(STLClientPriceCompute[[#This Row],[Category]],"-",STLClientPriceCompute[[#This Row],[Code]]),STLClientSpecificSettings[VolumeBasedPriceItems])),STLClientSpecificSettings[Volume %]/100,1))</f>
        <v>1</v>
      </c>
      <c r="R90" s="12" cm="1">
        <f t="array" ref="R90">IF(STLClientSpecificSettings[Core Pack Excluded from Std volume discount]="UP",IF(OR(E90="USR",E90="RBU"),STLClientSpecificSettings[Core Uplift %]/100+1,1),1)</f>
        <v>1</v>
      </c>
      <c r="S9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0.24192000000000002</v>
      </c>
      <c r="T90" s="26" t="str">
        <f>IF(STLClientPriceCompute[[#This Row],[Available]]="Y", "P",IF(STLClientPriceCompute[[#This Row],[Available]]="N","O",""))</f>
        <v/>
      </c>
      <c r="U90" s="85" t="str">
        <f>TRIM(STLClientPriceCompute[[#This Row],[Description]])</f>
        <v>Between 4,000,001 to 6,000,000</v>
      </c>
      <c r="V90" s="82" t="str">
        <f>IF(STLClientPriceCompute[[#This Row],[Item Level]]=0,STLClientPriceCompute[[#This Row],[Desc without indent]],"")</f>
        <v/>
      </c>
      <c r="W90" s="82" t="str">
        <f>IF(STLClientPriceCompute[[#This Row],[Item Level]]=1,STLClientPriceCompute[[#This Row],[Desc without indent]],"")</f>
        <v/>
      </c>
      <c r="X90" s="82" t="str">
        <f>IF(STLClientPriceCompute[[#This Row],[Item Level]]=2,STLClientPriceCompute[[#This Row],[Desc without indent]],"")</f>
        <v/>
      </c>
      <c r="Y90" s="82" t="str">
        <f>IF(STLClientPriceCompute[[#This Row],[Item Level]]&gt;=3,_xlfn.CONCAT(REPT(" ",STLClientPriceCompute[[#This Row],[Item Level]]-3), STLClientPriceCompute[[#This Row],[Desc without indent]]),"")</f>
        <v>Between 4,000,001 to 6,000,000</v>
      </c>
      <c r="Z9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91" spans="2:26" x14ac:dyDescent="0.4">
      <c r="B91" s="15">
        <f>FIND(LEFT(TRIM(STLClientPriceCompute[[#This Row],[Description]]),1),STLClientPriceCompute[[#This Row],[Description]])-1</f>
        <v>3</v>
      </c>
      <c r="C91" s="19">
        <v>130</v>
      </c>
      <c r="D91" s="19" t="s">
        <v>87</v>
      </c>
      <c r="E91" s="19" t="s">
        <v>700</v>
      </c>
      <c r="F91" s="19" t="s">
        <v>221</v>
      </c>
      <c r="G91" s="19"/>
      <c r="H91" s="19" t="s">
        <v>87</v>
      </c>
      <c r="I91" s="20">
        <v>1.2902E-2</v>
      </c>
      <c r="J91" s="19" t="s">
        <v>213</v>
      </c>
      <c r="K91" s="19" t="s">
        <v>711</v>
      </c>
      <c r="L91" s="21">
        <v>0.12902</v>
      </c>
      <c r="M91" s="19" t="s">
        <v>85</v>
      </c>
      <c r="N91" s="17">
        <f>_xlfn.IFNA(IF(STLClientPriceCompute[[#This Row],[Base Price (USD)]]="","", STLClientPriceCompute[[#This Row],[Base Price (USD)]]*VLOOKUP(_xlfn.CONCAT(STLClientPriceCompute[[#This Row],[Exchange Rate Group]],STLClientSpecificSettings[Currency]),ClientPriceExRate[[#All],[Ex-Currency]:[Exchange Rate]],2,FALSE)),"")</f>
        <v>1.7275777999999999E-2</v>
      </c>
      <c r="O9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2.5913666999999998E-2</v>
      </c>
      <c r="P91" s="22" cm="1">
        <f t="array" ref="P91">IF(STLClientSpecificSettings[Core Pack Excluded from Std volume discount]="EX",1, IF(STLClientSpecificSettings[Volume Price Adjustment]="HV", STLClientPriceCompute[[#This Row],[Category search for HV Base Discount]], STLClientSpecificSettings[Volume %]/100))</f>
        <v>1.5</v>
      </c>
      <c r="Q91" s="12" cm="1">
        <f t="array" ref="Q91">IF(ISBLANK(STLClientPriceCompute[[#This Row],[Category]]), 1, IF(ISNUMBER(SEARCH(CONCATENATE(STLClientPriceCompute[[#This Row],[Category]],"-",STLClientPriceCompute[[#This Row],[Code]]),STLClientSpecificSettings[VolumeBasedPriceItems])),STLClientSpecificSettings[Volume %]/100,1))</f>
        <v>1</v>
      </c>
      <c r="R91" s="12" cm="1">
        <f t="array" ref="R91">IF(STLClientSpecificSettings[Core Pack Excluded from Std volume discount]="UP",IF(OR(E91="USR",E91="RBU"),STLClientSpecificSettings[Core Uplift %]/100+1,1),1)</f>
        <v>1</v>
      </c>
      <c r="S9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0.19352999999999998</v>
      </c>
      <c r="T91" s="26" t="str">
        <f>IF(STLClientPriceCompute[[#This Row],[Available]]="Y", "P",IF(STLClientPriceCompute[[#This Row],[Available]]="N","O",""))</f>
        <v/>
      </c>
      <c r="U91" s="85" t="str">
        <f>TRIM(STLClientPriceCompute[[#This Row],[Description]])</f>
        <v>Between 6,000,001 to 10,000,000</v>
      </c>
      <c r="V91" s="82" t="str">
        <f>IF(STLClientPriceCompute[[#This Row],[Item Level]]=0,STLClientPriceCompute[[#This Row],[Desc without indent]],"")</f>
        <v/>
      </c>
      <c r="W91" s="82" t="str">
        <f>IF(STLClientPriceCompute[[#This Row],[Item Level]]=1,STLClientPriceCompute[[#This Row],[Desc without indent]],"")</f>
        <v/>
      </c>
      <c r="X91" s="82" t="str">
        <f>IF(STLClientPriceCompute[[#This Row],[Item Level]]=2,STLClientPriceCompute[[#This Row],[Desc without indent]],"")</f>
        <v/>
      </c>
      <c r="Y91" s="82" t="str">
        <f>IF(STLClientPriceCompute[[#This Row],[Item Level]]&gt;=3,_xlfn.CONCAT(REPT(" ",STLClientPriceCompute[[#This Row],[Item Level]]-3), STLClientPriceCompute[[#This Row],[Desc without indent]]),"")</f>
        <v>Between 6,000,001 to 10,000,000</v>
      </c>
      <c r="Z9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92" spans="2:26" x14ac:dyDescent="0.4">
      <c r="B92" s="15">
        <f>FIND(LEFT(TRIM(STLClientPriceCompute[[#This Row],[Description]]),1),STLClientPriceCompute[[#This Row],[Description]])-1</f>
        <v>3</v>
      </c>
      <c r="C92" s="19">
        <v>131</v>
      </c>
      <c r="D92" s="19" t="s">
        <v>87</v>
      </c>
      <c r="E92" s="19" t="s">
        <v>700</v>
      </c>
      <c r="F92" s="19" t="s">
        <v>222</v>
      </c>
      <c r="G92" s="19"/>
      <c r="H92" s="19" t="s">
        <v>87</v>
      </c>
      <c r="I92" s="20">
        <v>1.0322E-2</v>
      </c>
      <c r="J92" s="19" t="s">
        <v>213</v>
      </c>
      <c r="K92" s="19" t="s">
        <v>711</v>
      </c>
      <c r="L92" s="21">
        <v>0.10322000000000001</v>
      </c>
      <c r="M92" s="19" t="s">
        <v>85</v>
      </c>
      <c r="N92" s="17">
        <f>_xlfn.IFNA(IF(STLClientPriceCompute[[#This Row],[Base Price (USD)]]="","", STLClientPriceCompute[[#This Row],[Base Price (USD)]]*VLOOKUP(_xlfn.CONCAT(STLClientPriceCompute[[#This Row],[Exchange Rate Group]],STLClientSpecificSettings[Currency]),ClientPriceExRate[[#All],[Ex-Currency]:[Exchange Rate]],2,FALSE)),"")</f>
        <v>1.3821157999999998E-2</v>
      </c>
      <c r="O9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2.0731736999999997E-2</v>
      </c>
      <c r="P92" s="22" cm="1">
        <f t="array" ref="P92">IF(STLClientSpecificSettings[Core Pack Excluded from Std volume discount]="EX",1, IF(STLClientSpecificSettings[Volume Price Adjustment]="HV", STLClientPriceCompute[[#This Row],[Category search for HV Base Discount]], STLClientSpecificSettings[Volume %]/100))</f>
        <v>1.5</v>
      </c>
      <c r="Q92" s="12" cm="1">
        <f t="array" ref="Q92">IF(ISBLANK(STLClientPriceCompute[[#This Row],[Category]]), 1, IF(ISNUMBER(SEARCH(CONCATENATE(STLClientPriceCompute[[#This Row],[Category]],"-",STLClientPriceCompute[[#This Row],[Code]]),STLClientSpecificSettings[VolumeBasedPriceItems])),STLClientSpecificSettings[Volume %]/100,1))</f>
        <v>1</v>
      </c>
      <c r="R92" s="12" cm="1">
        <f t="array" ref="R92">IF(STLClientSpecificSettings[Core Pack Excluded from Std volume discount]="UP",IF(OR(E92="USR",E92="RBU"),STLClientSpecificSettings[Core Uplift %]/100+1,1),1)</f>
        <v>1</v>
      </c>
      <c r="S9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0.15483000000000002</v>
      </c>
      <c r="T92" s="26" t="str">
        <f>IF(STLClientPriceCompute[[#This Row],[Available]]="Y", "P",IF(STLClientPriceCompute[[#This Row],[Available]]="N","O",""))</f>
        <v/>
      </c>
      <c r="U92" s="85" t="str">
        <f>TRIM(STLClientPriceCompute[[#This Row],[Description]])</f>
        <v>10,000,001 and above</v>
      </c>
      <c r="V92" s="82" t="str">
        <f>IF(STLClientPriceCompute[[#This Row],[Item Level]]=0,STLClientPriceCompute[[#This Row],[Desc without indent]],"")</f>
        <v/>
      </c>
      <c r="W92" s="82" t="str">
        <f>IF(STLClientPriceCompute[[#This Row],[Item Level]]=1,STLClientPriceCompute[[#This Row],[Desc without indent]],"")</f>
        <v/>
      </c>
      <c r="X92" s="82" t="str">
        <f>IF(STLClientPriceCompute[[#This Row],[Item Level]]=2,STLClientPriceCompute[[#This Row],[Desc without indent]],"")</f>
        <v/>
      </c>
      <c r="Y92" s="82" t="str">
        <f>IF(STLClientPriceCompute[[#This Row],[Item Level]]&gt;=3,_xlfn.CONCAT(REPT(" ",STLClientPriceCompute[[#This Row],[Item Level]]-3), STLClientPriceCompute[[#This Row],[Desc without indent]]),"")</f>
        <v>10,000,001 and above</v>
      </c>
      <c r="Z9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 (Ecommerce) / Per Entry Number (customs entries)</v>
      </c>
    </row>
    <row r="93" spans="2:26" x14ac:dyDescent="0.4">
      <c r="B93" s="15">
        <f>FIND(LEFT(TRIM(STLClientPriceCompute[[#This Row],[Description]]),1),STLClientPriceCompute[[#This Row],[Description]])-1</f>
        <v>2</v>
      </c>
      <c r="C93" s="19">
        <v>132</v>
      </c>
      <c r="D93" s="19"/>
      <c r="E93" s="19"/>
      <c r="F93" s="19" t="s">
        <v>701</v>
      </c>
      <c r="G93" s="19"/>
      <c r="H93" s="19" t="s">
        <v>87</v>
      </c>
      <c r="I93" s="20">
        <v>0</v>
      </c>
      <c r="J93" s="19"/>
      <c r="K93" s="19" t="s">
        <v>711</v>
      </c>
      <c r="L93" s="21">
        <v>0</v>
      </c>
      <c r="M93" s="19" t="s">
        <v>85</v>
      </c>
      <c r="N93" s="17">
        <f>_xlfn.IFNA(IF(STLClientPriceCompute[[#This Row],[Base Price (USD)]]="","", STLClientPriceCompute[[#This Row],[Base Price (USD)]]*VLOOKUP(_xlfn.CONCAT(STLClientPriceCompute[[#This Row],[Exchange Rate Group]],STLClientSpecificSettings[Currency]),ClientPriceExRate[[#All],[Ex-Currency]:[Exchange Rate]],2,FALSE)),"")</f>
        <v>0</v>
      </c>
      <c r="O9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93" s="22" cm="1">
        <f t="array" ref="P93">IF(STLClientSpecificSettings[Core Pack Excluded from Std volume discount]="EX",1, IF(STLClientSpecificSettings[Volume Price Adjustment]="HV", STLClientPriceCompute[[#This Row],[Category search for HV Base Discount]], STLClientSpecificSettings[Volume %]/100))</f>
        <v>1.5</v>
      </c>
      <c r="Q93" s="12" cm="1">
        <f t="array" ref="Q93">IF(ISBLANK(STLClientPriceCompute[[#This Row],[Category]]), 1, IF(ISNUMBER(SEARCH(CONCATENATE(STLClientPriceCompute[[#This Row],[Category]],"-",STLClientPriceCompute[[#This Row],[Code]]),STLClientSpecificSettings[VolumeBasedPriceItems])),STLClientSpecificSettings[Volume %]/100,1))</f>
        <v>1</v>
      </c>
      <c r="R93" s="12" cm="1">
        <f t="array" ref="R93">IF(STLClientSpecificSettings[Core Pack Excluded from Std volume discount]="UP",IF(OR(E93="USR",E93="RBU"),STLClientSpecificSettings[Core Uplift %]/100+1,1),1)</f>
        <v>1</v>
      </c>
      <c r="S9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93" s="26" t="str">
        <f>IF(STLClientPriceCompute[[#This Row],[Available]]="Y", "P",IF(STLClientPriceCompute[[#This Row],[Available]]="N","O",""))</f>
        <v/>
      </c>
      <c r="U93" s="85" t="str">
        <f>TRIM(STLClientPriceCompute[[#This Row],[Description]])</f>
        <v>Ecommerce Plus (Incl. Related Customs Procedures)</v>
      </c>
      <c r="V93" s="82" t="str">
        <f>IF(STLClientPriceCompute[[#This Row],[Item Level]]=0,STLClientPriceCompute[[#This Row],[Desc without indent]],"")</f>
        <v/>
      </c>
      <c r="W93" s="82" t="str">
        <f>IF(STLClientPriceCompute[[#This Row],[Item Level]]=1,STLClientPriceCompute[[#This Row],[Desc without indent]],"")</f>
        <v/>
      </c>
      <c r="X93" s="82" t="str">
        <f>IF(STLClientPriceCompute[[#This Row],[Item Level]]=2,STLClientPriceCompute[[#This Row],[Desc without indent]],"")</f>
        <v>Ecommerce Plus (Incl. Related Customs Procedures)</v>
      </c>
      <c r="Y93" s="82" t="str">
        <f>IF(STLClientPriceCompute[[#This Row],[Item Level]]&gt;=3,_xlfn.CONCAT(REPT(" ",STLClientPriceCompute[[#This Row],[Item Level]]-3), STLClientPriceCompute[[#This Row],[Desc without indent]]),"")</f>
        <v/>
      </c>
      <c r="Z9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94" spans="2:26" x14ac:dyDescent="0.4">
      <c r="B94" s="15">
        <f>FIND(LEFT(TRIM(STLClientPriceCompute[[#This Row],[Description]]),1),STLClientPriceCompute[[#This Row],[Description]])-1</f>
        <v>3</v>
      </c>
      <c r="C94" s="19">
        <v>133</v>
      </c>
      <c r="D94" s="19" t="s">
        <v>87</v>
      </c>
      <c r="E94" s="19" t="s">
        <v>702</v>
      </c>
      <c r="F94" s="19" t="s">
        <v>212</v>
      </c>
      <c r="G94" s="19"/>
      <c r="H94" s="19" t="s">
        <v>87</v>
      </c>
      <c r="I94" s="20">
        <v>0.3</v>
      </c>
      <c r="J94" s="19" t="s">
        <v>223</v>
      </c>
      <c r="K94" s="19" t="s">
        <v>711</v>
      </c>
      <c r="L94" s="21">
        <v>3</v>
      </c>
      <c r="M94" s="19" t="s">
        <v>85</v>
      </c>
      <c r="N94" s="17">
        <f>_xlfn.IFNA(IF(STLClientPriceCompute[[#This Row],[Base Price (USD)]]="","", STLClientPriceCompute[[#This Row],[Base Price (USD)]]*VLOOKUP(_xlfn.CONCAT(STLClientPriceCompute[[#This Row],[Exchange Rate Group]],STLClientSpecificSettings[Currency]),ClientPriceExRate[[#All],[Ex-Currency]:[Exchange Rate]],2,FALSE)),"")</f>
        <v>0.4017</v>
      </c>
      <c r="O9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0.60255000000000003</v>
      </c>
      <c r="P94" s="22" cm="1">
        <f t="array" ref="P94">IF(STLClientSpecificSettings[Core Pack Excluded from Std volume discount]="EX",1, IF(STLClientSpecificSettings[Volume Price Adjustment]="HV", STLClientPriceCompute[[#This Row],[Category search for HV Base Discount]], STLClientSpecificSettings[Volume %]/100))</f>
        <v>1.5</v>
      </c>
      <c r="Q94" s="12" cm="1">
        <f t="array" ref="Q94">IF(ISBLANK(STLClientPriceCompute[[#This Row],[Category]]), 1, IF(ISNUMBER(SEARCH(CONCATENATE(STLClientPriceCompute[[#This Row],[Category]],"-",STLClientPriceCompute[[#This Row],[Code]]),STLClientSpecificSettings[VolumeBasedPriceItems])),STLClientSpecificSettings[Volume %]/100,1))</f>
        <v>1</v>
      </c>
      <c r="R94" s="12" cm="1">
        <f t="array" ref="R94">IF(STLClientSpecificSettings[Core Pack Excluded from Std volume discount]="UP",IF(OR(E94="USR",E94="RBU"),STLClientSpecificSettings[Core Uplift %]/100+1,1),1)</f>
        <v>1</v>
      </c>
      <c r="S9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4.5</v>
      </c>
      <c r="T94" s="26" t="str">
        <f>IF(STLClientPriceCompute[[#This Row],[Available]]="Y", "P",IF(STLClientPriceCompute[[#This Row],[Available]]="N","O",""))</f>
        <v/>
      </c>
      <c r="U94" s="85" t="str">
        <f>TRIM(STLClientPriceCompute[[#This Row],[Description]])</f>
        <v>First 50,000</v>
      </c>
      <c r="V94" s="82" t="str">
        <f>IF(STLClientPriceCompute[[#This Row],[Item Level]]=0,STLClientPriceCompute[[#This Row],[Desc without indent]],"")</f>
        <v/>
      </c>
      <c r="W94" s="82" t="str">
        <f>IF(STLClientPriceCompute[[#This Row],[Item Level]]=1,STLClientPriceCompute[[#This Row],[Desc without indent]],"")</f>
        <v/>
      </c>
      <c r="X94" s="82" t="str">
        <f>IF(STLClientPriceCompute[[#This Row],[Item Level]]=2,STLClientPriceCompute[[#This Row],[Desc without indent]],"")</f>
        <v/>
      </c>
      <c r="Y94" s="82" t="str">
        <f>IF(STLClientPriceCompute[[#This Row],[Item Level]]&gt;=3,_xlfn.CONCAT(REPT(" ",STLClientPriceCompute[[#This Row],[Item Level]]-3), STLClientPriceCompute[[#This Row],[Desc without indent]]),"")</f>
        <v>First 50,000</v>
      </c>
      <c r="Z9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95" spans="2:26" x14ac:dyDescent="0.4">
      <c r="B95" s="15">
        <f>FIND(LEFT(TRIM(STLClientPriceCompute[[#This Row],[Description]]),1),STLClientPriceCompute[[#This Row],[Description]])-1</f>
        <v>3</v>
      </c>
      <c r="C95" s="19">
        <v>134</v>
      </c>
      <c r="D95" s="19" t="s">
        <v>87</v>
      </c>
      <c r="E95" s="19" t="s">
        <v>702</v>
      </c>
      <c r="F95" s="19" t="s">
        <v>214</v>
      </c>
      <c r="G95" s="19"/>
      <c r="H95" s="19" t="s">
        <v>87</v>
      </c>
      <c r="I95" s="20">
        <v>0.22500000000000001</v>
      </c>
      <c r="J95" s="19" t="s">
        <v>223</v>
      </c>
      <c r="K95" s="19" t="s">
        <v>711</v>
      </c>
      <c r="L95" s="21">
        <v>2.25</v>
      </c>
      <c r="M95" s="19" t="s">
        <v>85</v>
      </c>
      <c r="N95" s="17">
        <f>_xlfn.IFNA(IF(STLClientPriceCompute[[#This Row],[Base Price (USD)]]="","", STLClientPriceCompute[[#This Row],[Base Price (USD)]]*VLOOKUP(_xlfn.CONCAT(STLClientPriceCompute[[#This Row],[Exchange Rate Group]],STLClientSpecificSettings[Currency]),ClientPriceExRate[[#All],[Ex-Currency]:[Exchange Rate]],2,FALSE)),"")</f>
        <v>0.30127500000000002</v>
      </c>
      <c r="O9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0.45191250000000005</v>
      </c>
      <c r="P95" s="22" cm="1">
        <f t="array" ref="P95">IF(STLClientSpecificSettings[Core Pack Excluded from Std volume discount]="EX",1, IF(STLClientSpecificSettings[Volume Price Adjustment]="HV", STLClientPriceCompute[[#This Row],[Category search for HV Base Discount]], STLClientSpecificSettings[Volume %]/100))</f>
        <v>1.5</v>
      </c>
      <c r="Q95" s="12" cm="1">
        <f t="array" ref="Q95">IF(ISBLANK(STLClientPriceCompute[[#This Row],[Category]]), 1, IF(ISNUMBER(SEARCH(CONCATENATE(STLClientPriceCompute[[#This Row],[Category]],"-",STLClientPriceCompute[[#This Row],[Code]]),STLClientSpecificSettings[VolumeBasedPriceItems])),STLClientSpecificSettings[Volume %]/100,1))</f>
        <v>1</v>
      </c>
      <c r="R95" s="12" cm="1">
        <f t="array" ref="R95">IF(STLClientSpecificSettings[Core Pack Excluded from Std volume discount]="UP",IF(OR(E95="USR",E95="RBU"),STLClientSpecificSettings[Core Uplift %]/100+1,1),1)</f>
        <v>1</v>
      </c>
      <c r="S9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3.375</v>
      </c>
      <c r="T95" s="26" t="str">
        <f>IF(STLClientPriceCompute[[#This Row],[Available]]="Y", "P",IF(STLClientPriceCompute[[#This Row],[Available]]="N","O",""))</f>
        <v/>
      </c>
      <c r="U95" s="85" t="str">
        <f>TRIM(STLClientPriceCompute[[#This Row],[Description]])</f>
        <v>Between 50,001 to 100,000</v>
      </c>
      <c r="V95" s="82" t="str">
        <f>IF(STLClientPriceCompute[[#This Row],[Item Level]]=0,STLClientPriceCompute[[#This Row],[Desc without indent]],"")</f>
        <v/>
      </c>
      <c r="W95" s="82" t="str">
        <f>IF(STLClientPriceCompute[[#This Row],[Item Level]]=1,STLClientPriceCompute[[#This Row],[Desc without indent]],"")</f>
        <v/>
      </c>
      <c r="X95" s="82" t="str">
        <f>IF(STLClientPriceCompute[[#This Row],[Item Level]]=2,STLClientPriceCompute[[#This Row],[Desc without indent]],"")</f>
        <v/>
      </c>
      <c r="Y95" s="82" t="str">
        <f>IF(STLClientPriceCompute[[#This Row],[Item Level]]&gt;=3,_xlfn.CONCAT(REPT(" ",STLClientPriceCompute[[#This Row],[Item Level]]-3), STLClientPriceCompute[[#This Row],[Desc without indent]]),"")</f>
        <v>Between 50,001 to 100,000</v>
      </c>
      <c r="Z9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96" spans="2:26" x14ac:dyDescent="0.4">
      <c r="B96" s="15">
        <f>FIND(LEFT(TRIM(STLClientPriceCompute[[#This Row],[Description]]),1),STLClientPriceCompute[[#This Row],[Description]])-1</f>
        <v>3</v>
      </c>
      <c r="C96" s="19">
        <v>135</v>
      </c>
      <c r="D96" s="19" t="s">
        <v>87</v>
      </c>
      <c r="E96" s="19" t="s">
        <v>702</v>
      </c>
      <c r="F96" s="19" t="s">
        <v>215</v>
      </c>
      <c r="G96" s="19"/>
      <c r="H96" s="19" t="s">
        <v>87</v>
      </c>
      <c r="I96" s="20">
        <v>0.16875000000000001</v>
      </c>
      <c r="J96" s="19" t="s">
        <v>223</v>
      </c>
      <c r="K96" s="19" t="s">
        <v>711</v>
      </c>
      <c r="L96" s="21">
        <v>1.6875</v>
      </c>
      <c r="M96" s="19" t="s">
        <v>85</v>
      </c>
      <c r="N96" s="17">
        <f>_xlfn.IFNA(IF(STLClientPriceCompute[[#This Row],[Base Price (USD)]]="","", STLClientPriceCompute[[#This Row],[Base Price (USD)]]*VLOOKUP(_xlfn.CONCAT(STLClientPriceCompute[[#This Row],[Exchange Rate Group]],STLClientSpecificSettings[Currency]),ClientPriceExRate[[#All],[Ex-Currency]:[Exchange Rate]],2,FALSE)),"")</f>
        <v>0.22595625</v>
      </c>
      <c r="O9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0.33893437500000001</v>
      </c>
      <c r="P96" s="22" cm="1">
        <f t="array" ref="P96">IF(STLClientSpecificSettings[Core Pack Excluded from Std volume discount]="EX",1, IF(STLClientSpecificSettings[Volume Price Adjustment]="HV", STLClientPriceCompute[[#This Row],[Category search for HV Base Discount]], STLClientSpecificSettings[Volume %]/100))</f>
        <v>1.5</v>
      </c>
      <c r="Q96" s="12" cm="1">
        <f t="array" ref="Q96">IF(ISBLANK(STLClientPriceCompute[[#This Row],[Category]]), 1, IF(ISNUMBER(SEARCH(CONCATENATE(STLClientPriceCompute[[#This Row],[Category]],"-",STLClientPriceCompute[[#This Row],[Code]]),STLClientSpecificSettings[VolumeBasedPriceItems])),STLClientSpecificSettings[Volume %]/100,1))</f>
        <v>1</v>
      </c>
      <c r="R96" s="12" cm="1">
        <f t="array" ref="R96">IF(STLClientSpecificSettings[Core Pack Excluded from Std volume discount]="UP",IF(OR(E96="USR",E96="RBU"),STLClientSpecificSettings[Core Uplift %]/100+1,1),1)</f>
        <v>1</v>
      </c>
      <c r="S9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2.53125</v>
      </c>
      <c r="T96" s="26" t="str">
        <f>IF(STLClientPriceCompute[[#This Row],[Available]]="Y", "P",IF(STLClientPriceCompute[[#This Row],[Available]]="N","O",""))</f>
        <v/>
      </c>
      <c r="U96" s="85" t="str">
        <f>TRIM(STLClientPriceCompute[[#This Row],[Description]])</f>
        <v>Between 100,001 to 200,000</v>
      </c>
      <c r="V96" s="82" t="str">
        <f>IF(STLClientPriceCompute[[#This Row],[Item Level]]=0,STLClientPriceCompute[[#This Row],[Desc without indent]],"")</f>
        <v/>
      </c>
      <c r="W96" s="82" t="str">
        <f>IF(STLClientPriceCompute[[#This Row],[Item Level]]=1,STLClientPriceCompute[[#This Row],[Desc without indent]],"")</f>
        <v/>
      </c>
      <c r="X96" s="82" t="str">
        <f>IF(STLClientPriceCompute[[#This Row],[Item Level]]=2,STLClientPriceCompute[[#This Row],[Desc without indent]],"")</f>
        <v/>
      </c>
      <c r="Y96" s="82" t="str">
        <f>IF(STLClientPriceCompute[[#This Row],[Item Level]]&gt;=3,_xlfn.CONCAT(REPT(" ",STLClientPriceCompute[[#This Row],[Item Level]]-3), STLClientPriceCompute[[#This Row],[Desc without indent]]),"")</f>
        <v>Between 100,001 to 200,000</v>
      </c>
      <c r="Z9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97" spans="2:26" x14ac:dyDescent="0.4">
      <c r="B97" s="15">
        <f>FIND(LEFT(TRIM(STLClientPriceCompute[[#This Row],[Description]]),1),STLClientPriceCompute[[#This Row],[Description]])-1</f>
        <v>3</v>
      </c>
      <c r="C97" s="19">
        <v>136</v>
      </c>
      <c r="D97" s="19" t="s">
        <v>87</v>
      </c>
      <c r="E97" s="19" t="s">
        <v>702</v>
      </c>
      <c r="F97" s="19" t="s">
        <v>216</v>
      </c>
      <c r="G97" s="19"/>
      <c r="H97" s="19" t="s">
        <v>87</v>
      </c>
      <c r="I97" s="20">
        <v>0.11812499999999999</v>
      </c>
      <c r="J97" s="19" t="s">
        <v>223</v>
      </c>
      <c r="K97" s="19" t="s">
        <v>711</v>
      </c>
      <c r="L97" s="21">
        <v>1.1812499999999999</v>
      </c>
      <c r="M97" s="19" t="s">
        <v>85</v>
      </c>
      <c r="N97" s="17">
        <f>_xlfn.IFNA(IF(STLClientPriceCompute[[#This Row],[Base Price (USD)]]="","", STLClientPriceCompute[[#This Row],[Base Price (USD)]]*VLOOKUP(_xlfn.CONCAT(STLClientPriceCompute[[#This Row],[Exchange Rate Group]],STLClientSpecificSettings[Currency]),ClientPriceExRate[[#All],[Ex-Currency]:[Exchange Rate]],2,FALSE)),"")</f>
        <v>0.158169375</v>
      </c>
      <c r="O9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0.2372540625</v>
      </c>
      <c r="P97" s="22" cm="1">
        <f t="array" ref="P97">IF(STLClientSpecificSettings[Core Pack Excluded from Std volume discount]="EX",1, IF(STLClientSpecificSettings[Volume Price Adjustment]="HV", STLClientPriceCompute[[#This Row],[Category search for HV Base Discount]], STLClientSpecificSettings[Volume %]/100))</f>
        <v>1.5</v>
      </c>
      <c r="Q97" s="12" cm="1">
        <f t="array" ref="Q97">IF(ISBLANK(STLClientPriceCompute[[#This Row],[Category]]), 1, IF(ISNUMBER(SEARCH(CONCATENATE(STLClientPriceCompute[[#This Row],[Category]],"-",STLClientPriceCompute[[#This Row],[Code]]),STLClientSpecificSettings[VolumeBasedPriceItems])),STLClientSpecificSettings[Volume %]/100,1))</f>
        <v>1</v>
      </c>
      <c r="R97" s="12" cm="1">
        <f t="array" ref="R97">IF(STLClientSpecificSettings[Core Pack Excluded from Std volume discount]="UP",IF(OR(E97="USR",E97="RBU"),STLClientSpecificSettings[Core Uplift %]/100+1,1),1)</f>
        <v>1</v>
      </c>
      <c r="S9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1.7718749999999999</v>
      </c>
      <c r="T97" s="26" t="str">
        <f>IF(STLClientPriceCompute[[#This Row],[Available]]="Y", "P",IF(STLClientPriceCompute[[#This Row],[Available]]="N","O",""))</f>
        <v/>
      </c>
      <c r="U97" s="85" t="str">
        <f>TRIM(STLClientPriceCompute[[#This Row],[Description]])</f>
        <v>Between 200,001 to 400,000</v>
      </c>
      <c r="V97" s="82" t="str">
        <f>IF(STLClientPriceCompute[[#This Row],[Item Level]]=0,STLClientPriceCompute[[#This Row],[Desc without indent]],"")</f>
        <v/>
      </c>
      <c r="W97" s="82" t="str">
        <f>IF(STLClientPriceCompute[[#This Row],[Item Level]]=1,STLClientPriceCompute[[#This Row],[Desc without indent]],"")</f>
        <v/>
      </c>
      <c r="X97" s="82" t="str">
        <f>IF(STLClientPriceCompute[[#This Row],[Item Level]]=2,STLClientPriceCompute[[#This Row],[Desc without indent]],"")</f>
        <v/>
      </c>
      <c r="Y97" s="82" t="str">
        <f>IF(STLClientPriceCompute[[#This Row],[Item Level]]&gt;=3,_xlfn.CONCAT(REPT(" ",STLClientPriceCompute[[#This Row],[Item Level]]-3), STLClientPriceCompute[[#This Row],[Desc without indent]]),"")</f>
        <v>Between 200,001 to 400,000</v>
      </c>
      <c r="Z9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98" spans="2:26" x14ac:dyDescent="0.4">
      <c r="B98" s="15">
        <f>FIND(LEFT(TRIM(STLClientPriceCompute[[#This Row],[Description]]),1),STLClientPriceCompute[[#This Row],[Description]])-1</f>
        <v>3</v>
      </c>
      <c r="C98" s="19">
        <v>137</v>
      </c>
      <c r="D98" s="19" t="s">
        <v>87</v>
      </c>
      <c r="E98" s="19" t="s">
        <v>702</v>
      </c>
      <c r="F98" s="19" t="s">
        <v>217</v>
      </c>
      <c r="G98" s="19"/>
      <c r="H98" s="19" t="s">
        <v>87</v>
      </c>
      <c r="I98" s="20">
        <v>9.4500000000000001E-2</v>
      </c>
      <c r="J98" s="19" t="s">
        <v>223</v>
      </c>
      <c r="K98" s="19" t="s">
        <v>711</v>
      </c>
      <c r="L98" s="21">
        <v>0.94499999999999995</v>
      </c>
      <c r="M98" s="19" t="s">
        <v>85</v>
      </c>
      <c r="N98" s="17">
        <f>_xlfn.IFNA(IF(STLClientPriceCompute[[#This Row],[Base Price (USD)]]="","", STLClientPriceCompute[[#This Row],[Base Price (USD)]]*VLOOKUP(_xlfn.CONCAT(STLClientPriceCompute[[#This Row],[Exchange Rate Group]],STLClientSpecificSettings[Currency]),ClientPriceExRate[[#All],[Ex-Currency]:[Exchange Rate]],2,FALSE)),"")</f>
        <v>0.1265355</v>
      </c>
      <c r="O9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0.18980324999999998</v>
      </c>
      <c r="P98" s="22" cm="1">
        <f t="array" ref="P98">IF(STLClientSpecificSettings[Core Pack Excluded from Std volume discount]="EX",1, IF(STLClientSpecificSettings[Volume Price Adjustment]="HV", STLClientPriceCompute[[#This Row],[Category search for HV Base Discount]], STLClientSpecificSettings[Volume %]/100))</f>
        <v>1.5</v>
      </c>
      <c r="Q98" s="12" cm="1">
        <f t="array" ref="Q98">IF(ISBLANK(STLClientPriceCompute[[#This Row],[Category]]), 1, IF(ISNUMBER(SEARCH(CONCATENATE(STLClientPriceCompute[[#This Row],[Category]],"-",STLClientPriceCompute[[#This Row],[Code]]),STLClientSpecificSettings[VolumeBasedPriceItems])),STLClientSpecificSettings[Volume %]/100,1))</f>
        <v>1</v>
      </c>
      <c r="R98" s="12" cm="1">
        <f t="array" ref="R98">IF(STLClientSpecificSettings[Core Pack Excluded from Std volume discount]="UP",IF(OR(E98="USR",E98="RBU"),STLClientSpecificSettings[Core Uplift %]/100+1,1),1)</f>
        <v>1</v>
      </c>
      <c r="S9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1.4175</v>
      </c>
      <c r="T98" s="26" t="str">
        <f>IF(STLClientPriceCompute[[#This Row],[Available]]="Y", "P",IF(STLClientPriceCompute[[#This Row],[Available]]="N","O",""))</f>
        <v/>
      </c>
      <c r="U98" s="85" t="str">
        <f>TRIM(STLClientPriceCompute[[#This Row],[Description]])</f>
        <v>Between 400,001 to 1,000,000</v>
      </c>
      <c r="V98" s="82" t="str">
        <f>IF(STLClientPriceCompute[[#This Row],[Item Level]]=0,STLClientPriceCompute[[#This Row],[Desc without indent]],"")</f>
        <v/>
      </c>
      <c r="W98" s="82" t="str">
        <f>IF(STLClientPriceCompute[[#This Row],[Item Level]]=1,STLClientPriceCompute[[#This Row],[Desc without indent]],"")</f>
        <v/>
      </c>
      <c r="X98" s="82" t="str">
        <f>IF(STLClientPriceCompute[[#This Row],[Item Level]]=2,STLClientPriceCompute[[#This Row],[Desc without indent]],"")</f>
        <v/>
      </c>
      <c r="Y98" s="82" t="str">
        <f>IF(STLClientPriceCompute[[#This Row],[Item Level]]&gt;=3,_xlfn.CONCAT(REPT(" ",STLClientPriceCompute[[#This Row],[Item Level]]-3), STLClientPriceCompute[[#This Row],[Desc without indent]]),"")</f>
        <v>Between 400,001 to 1,000,000</v>
      </c>
      <c r="Z9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99" spans="2:26" x14ac:dyDescent="0.4">
      <c r="B99" s="15">
        <f>FIND(LEFT(TRIM(STLClientPriceCompute[[#This Row],[Description]]),1),STLClientPriceCompute[[#This Row],[Description]])-1</f>
        <v>3</v>
      </c>
      <c r="C99" s="19">
        <v>138</v>
      </c>
      <c r="D99" s="19" t="s">
        <v>87</v>
      </c>
      <c r="E99" s="19" t="s">
        <v>702</v>
      </c>
      <c r="F99" s="19" t="s">
        <v>218</v>
      </c>
      <c r="G99" s="19"/>
      <c r="H99" s="19" t="s">
        <v>87</v>
      </c>
      <c r="I99" s="20">
        <v>7.5600000000000001E-2</v>
      </c>
      <c r="J99" s="19" t="s">
        <v>223</v>
      </c>
      <c r="K99" s="19" t="s">
        <v>711</v>
      </c>
      <c r="L99" s="21">
        <v>0.75600000000000001</v>
      </c>
      <c r="M99" s="19" t="s">
        <v>85</v>
      </c>
      <c r="N99" s="17">
        <f>_xlfn.IFNA(IF(STLClientPriceCompute[[#This Row],[Base Price (USD)]]="","", STLClientPriceCompute[[#This Row],[Base Price (USD)]]*VLOOKUP(_xlfn.CONCAT(STLClientPriceCompute[[#This Row],[Exchange Rate Group]],STLClientSpecificSettings[Currency]),ClientPriceExRate[[#All],[Ex-Currency]:[Exchange Rate]],2,FALSE)),"")</f>
        <v>0.1012284</v>
      </c>
      <c r="O9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0.15184259999999999</v>
      </c>
      <c r="P99" s="22" cm="1">
        <f t="array" ref="P99">IF(STLClientSpecificSettings[Core Pack Excluded from Std volume discount]="EX",1, IF(STLClientSpecificSettings[Volume Price Adjustment]="HV", STLClientPriceCompute[[#This Row],[Category search for HV Base Discount]], STLClientSpecificSettings[Volume %]/100))</f>
        <v>1.5</v>
      </c>
      <c r="Q99" s="12" cm="1">
        <f t="array" ref="Q99">IF(ISBLANK(STLClientPriceCompute[[#This Row],[Category]]), 1, IF(ISNUMBER(SEARCH(CONCATENATE(STLClientPriceCompute[[#This Row],[Category]],"-",STLClientPriceCompute[[#This Row],[Code]]),STLClientSpecificSettings[VolumeBasedPriceItems])),STLClientSpecificSettings[Volume %]/100,1))</f>
        <v>1</v>
      </c>
      <c r="R99" s="12" cm="1">
        <f t="array" ref="R99">IF(STLClientSpecificSettings[Core Pack Excluded from Std volume discount]="UP",IF(OR(E99="USR",E99="RBU"),STLClientSpecificSettings[Core Uplift %]/100+1,1),1)</f>
        <v>1</v>
      </c>
      <c r="S9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1.1339999999999999</v>
      </c>
      <c r="T99" s="26" t="str">
        <f>IF(STLClientPriceCompute[[#This Row],[Available]]="Y", "P",IF(STLClientPriceCompute[[#This Row],[Available]]="N","O",""))</f>
        <v/>
      </c>
      <c r="U99" s="85" t="str">
        <f>TRIM(STLClientPriceCompute[[#This Row],[Description]])</f>
        <v>Between 1,000,001 to 2,000,000</v>
      </c>
      <c r="V99" s="82" t="str">
        <f>IF(STLClientPriceCompute[[#This Row],[Item Level]]=0,STLClientPriceCompute[[#This Row],[Desc without indent]],"")</f>
        <v/>
      </c>
      <c r="W99" s="82" t="str">
        <f>IF(STLClientPriceCompute[[#This Row],[Item Level]]=1,STLClientPriceCompute[[#This Row],[Desc without indent]],"")</f>
        <v/>
      </c>
      <c r="X99" s="82" t="str">
        <f>IF(STLClientPriceCompute[[#This Row],[Item Level]]=2,STLClientPriceCompute[[#This Row],[Desc without indent]],"")</f>
        <v/>
      </c>
      <c r="Y99" s="82" t="str">
        <f>IF(STLClientPriceCompute[[#This Row],[Item Level]]&gt;=3,_xlfn.CONCAT(REPT(" ",STLClientPriceCompute[[#This Row],[Item Level]]-3), STLClientPriceCompute[[#This Row],[Desc without indent]]),"")</f>
        <v>Between 1,000,001 to 2,000,000</v>
      </c>
      <c r="Z9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100" spans="2:26" x14ac:dyDescent="0.4">
      <c r="B100" s="15">
        <f>FIND(LEFT(TRIM(STLClientPriceCompute[[#This Row],[Description]]),1),STLClientPriceCompute[[#This Row],[Description]])-1</f>
        <v>3</v>
      </c>
      <c r="C100" s="19">
        <v>139</v>
      </c>
      <c r="D100" s="19" t="s">
        <v>87</v>
      </c>
      <c r="E100" s="19" t="s">
        <v>702</v>
      </c>
      <c r="F100" s="19" t="s">
        <v>219</v>
      </c>
      <c r="G100" s="19"/>
      <c r="H100" s="19" t="s">
        <v>87</v>
      </c>
      <c r="I100" s="20">
        <v>6.0479999999999999E-2</v>
      </c>
      <c r="J100" s="19" t="s">
        <v>223</v>
      </c>
      <c r="K100" s="19" t="s">
        <v>711</v>
      </c>
      <c r="L100" s="21">
        <v>0.6048</v>
      </c>
      <c r="M100" s="19" t="s">
        <v>85</v>
      </c>
      <c r="N100" s="17">
        <f>_xlfn.IFNA(IF(STLClientPriceCompute[[#This Row],[Base Price (USD)]]="","", STLClientPriceCompute[[#This Row],[Base Price (USD)]]*VLOOKUP(_xlfn.CONCAT(STLClientPriceCompute[[#This Row],[Exchange Rate Group]],STLClientSpecificSettings[Currency]),ClientPriceExRate[[#All],[Ex-Currency]:[Exchange Rate]],2,FALSE)),"")</f>
        <v>8.0982719999999994E-2</v>
      </c>
      <c r="O10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0.12147407999999998</v>
      </c>
      <c r="P100" s="22" cm="1">
        <f t="array" ref="P100">IF(STLClientSpecificSettings[Core Pack Excluded from Std volume discount]="EX",1, IF(STLClientSpecificSettings[Volume Price Adjustment]="HV", STLClientPriceCompute[[#This Row],[Category search for HV Base Discount]], STLClientSpecificSettings[Volume %]/100))</f>
        <v>1.5</v>
      </c>
      <c r="Q100" s="12" cm="1">
        <f t="array" ref="Q100">IF(ISBLANK(STLClientPriceCompute[[#This Row],[Category]]), 1, IF(ISNUMBER(SEARCH(CONCATENATE(STLClientPriceCompute[[#This Row],[Category]],"-",STLClientPriceCompute[[#This Row],[Code]]),STLClientSpecificSettings[VolumeBasedPriceItems])),STLClientSpecificSettings[Volume %]/100,1))</f>
        <v>1</v>
      </c>
      <c r="R100" s="12" cm="1">
        <f t="array" ref="R100">IF(STLClientSpecificSettings[Core Pack Excluded from Std volume discount]="UP",IF(OR(E100="USR",E100="RBU"),STLClientSpecificSettings[Core Uplift %]/100+1,1),1)</f>
        <v>1</v>
      </c>
      <c r="S10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0.90720000000000001</v>
      </c>
      <c r="T100" s="26" t="str">
        <f>IF(STLClientPriceCompute[[#This Row],[Available]]="Y", "P",IF(STLClientPriceCompute[[#This Row],[Available]]="N","O",""))</f>
        <v/>
      </c>
      <c r="U100" s="85" t="str">
        <f>TRIM(STLClientPriceCompute[[#This Row],[Description]])</f>
        <v>Between 2,000,001 to 4,000,000</v>
      </c>
      <c r="V100" s="82" t="str">
        <f>IF(STLClientPriceCompute[[#This Row],[Item Level]]=0,STLClientPriceCompute[[#This Row],[Desc without indent]],"")</f>
        <v/>
      </c>
      <c r="W100" s="82" t="str">
        <f>IF(STLClientPriceCompute[[#This Row],[Item Level]]=1,STLClientPriceCompute[[#This Row],[Desc without indent]],"")</f>
        <v/>
      </c>
      <c r="X100" s="82" t="str">
        <f>IF(STLClientPriceCompute[[#This Row],[Item Level]]=2,STLClientPriceCompute[[#This Row],[Desc without indent]],"")</f>
        <v/>
      </c>
      <c r="Y100" s="82" t="str">
        <f>IF(STLClientPriceCompute[[#This Row],[Item Level]]&gt;=3,_xlfn.CONCAT(REPT(" ",STLClientPriceCompute[[#This Row],[Item Level]]-3), STLClientPriceCompute[[#This Row],[Desc without indent]]),"")</f>
        <v>Between 2,000,001 to 4,000,000</v>
      </c>
      <c r="Z10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101" spans="2:26" x14ac:dyDescent="0.4">
      <c r="B101" s="15">
        <f>FIND(LEFT(TRIM(STLClientPriceCompute[[#This Row],[Description]]),1),STLClientPriceCompute[[#This Row],[Description]])-1</f>
        <v>3</v>
      </c>
      <c r="C101" s="19">
        <v>140</v>
      </c>
      <c r="D101" s="19" t="s">
        <v>87</v>
      </c>
      <c r="E101" s="19" t="s">
        <v>702</v>
      </c>
      <c r="F101" s="19" t="s">
        <v>220</v>
      </c>
      <c r="G101" s="19"/>
      <c r="H101" s="19" t="s">
        <v>87</v>
      </c>
      <c r="I101" s="20">
        <v>4.8384000000000003E-2</v>
      </c>
      <c r="J101" s="19" t="s">
        <v>223</v>
      </c>
      <c r="K101" s="19" t="s">
        <v>711</v>
      </c>
      <c r="L101" s="21">
        <v>0.48383999999999999</v>
      </c>
      <c r="M101" s="19" t="s">
        <v>85</v>
      </c>
      <c r="N101" s="17">
        <f>_xlfn.IFNA(IF(STLClientPriceCompute[[#This Row],[Base Price (USD)]]="","", STLClientPriceCompute[[#This Row],[Base Price (USD)]]*VLOOKUP(_xlfn.CONCAT(STLClientPriceCompute[[#This Row],[Exchange Rate Group]],STLClientSpecificSettings[Currency]),ClientPriceExRate[[#All],[Ex-Currency]:[Exchange Rate]],2,FALSE)),"")</f>
        <v>6.4786176000000001E-2</v>
      </c>
      <c r="O10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9.7179264000000001E-2</v>
      </c>
      <c r="P101" s="22" cm="1">
        <f t="array" ref="P101">IF(STLClientSpecificSettings[Core Pack Excluded from Std volume discount]="EX",1, IF(STLClientSpecificSettings[Volume Price Adjustment]="HV", STLClientPriceCompute[[#This Row],[Category search for HV Base Discount]], STLClientSpecificSettings[Volume %]/100))</f>
        <v>1.5</v>
      </c>
      <c r="Q101" s="12" cm="1">
        <f t="array" ref="Q101">IF(ISBLANK(STLClientPriceCompute[[#This Row],[Category]]), 1, IF(ISNUMBER(SEARCH(CONCATENATE(STLClientPriceCompute[[#This Row],[Category]],"-",STLClientPriceCompute[[#This Row],[Code]]),STLClientSpecificSettings[VolumeBasedPriceItems])),STLClientSpecificSettings[Volume %]/100,1))</f>
        <v>1</v>
      </c>
      <c r="R101" s="12" cm="1">
        <f t="array" ref="R101">IF(STLClientSpecificSettings[Core Pack Excluded from Std volume discount]="UP",IF(OR(E101="USR",E101="RBU"),STLClientSpecificSettings[Core Uplift %]/100+1,1),1)</f>
        <v>1</v>
      </c>
      <c r="S10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0.72575999999999996</v>
      </c>
      <c r="T101" s="26" t="str">
        <f>IF(STLClientPriceCompute[[#This Row],[Available]]="Y", "P",IF(STLClientPriceCompute[[#This Row],[Available]]="N","O",""))</f>
        <v/>
      </c>
      <c r="U101" s="85" t="str">
        <f>TRIM(STLClientPriceCompute[[#This Row],[Description]])</f>
        <v>Between 4,000,001 to 6,000,000</v>
      </c>
      <c r="V101" s="82" t="str">
        <f>IF(STLClientPriceCompute[[#This Row],[Item Level]]=0,STLClientPriceCompute[[#This Row],[Desc without indent]],"")</f>
        <v/>
      </c>
      <c r="W101" s="82" t="str">
        <f>IF(STLClientPriceCompute[[#This Row],[Item Level]]=1,STLClientPriceCompute[[#This Row],[Desc without indent]],"")</f>
        <v/>
      </c>
      <c r="X101" s="82" t="str">
        <f>IF(STLClientPriceCompute[[#This Row],[Item Level]]=2,STLClientPriceCompute[[#This Row],[Desc without indent]],"")</f>
        <v/>
      </c>
      <c r="Y101" s="82" t="str">
        <f>IF(STLClientPriceCompute[[#This Row],[Item Level]]&gt;=3,_xlfn.CONCAT(REPT(" ",STLClientPriceCompute[[#This Row],[Item Level]]-3), STLClientPriceCompute[[#This Row],[Desc without indent]]),"")</f>
        <v>Between 4,000,001 to 6,000,000</v>
      </c>
      <c r="Z10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102" spans="2:26" x14ac:dyDescent="0.4">
      <c r="B102" s="15">
        <f>FIND(LEFT(TRIM(STLClientPriceCompute[[#This Row],[Description]]),1),STLClientPriceCompute[[#This Row],[Description]])-1</f>
        <v>3</v>
      </c>
      <c r="C102" s="19">
        <v>141</v>
      </c>
      <c r="D102" s="19" t="s">
        <v>87</v>
      </c>
      <c r="E102" s="19" t="s">
        <v>702</v>
      </c>
      <c r="F102" s="19" t="s">
        <v>221</v>
      </c>
      <c r="G102" s="19"/>
      <c r="H102" s="19" t="s">
        <v>87</v>
      </c>
      <c r="I102" s="20">
        <v>3.8706999999999998E-2</v>
      </c>
      <c r="J102" s="19" t="s">
        <v>223</v>
      </c>
      <c r="K102" s="19" t="s">
        <v>711</v>
      </c>
      <c r="L102" s="21">
        <v>0.38707000000000003</v>
      </c>
      <c r="M102" s="19" t="s">
        <v>85</v>
      </c>
      <c r="N102" s="17">
        <f>_xlfn.IFNA(IF(STLClientPriceCompute[[#This Row],[Base Price (USD)]]="","", STLClientPriceCompute[[#This Row],[Base Price (USD)]]*VLOOKUP(_xlfn.CONCAT(STLClientPriceCompute[[#This Row],[Exchange Rate Group]],STLClientSpecificSettings[Currency]),ClientPriceExRate[[#All],[Ex-Currency]:[Exchange Rate]],2,FALSE)),"")</f>
        <v>5.1828672999999999E-2</v>
      </c>
      <c r="O10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7.7743009500000002E-2</v>
      </c>
      <c r="P102" s="22" cm="1">
        <f t="array" ref="P102">IF(STLClientSpecificSettings[Core Pack Excluded from Std volume discount]="EX",1, IF(STLClientSpecificSettings[Volume Price Adjustment]="HV", STLClientPriceCompute[[#This Row],[Category search for HV Base Discount]], STLClientSpecificSettings[Volume %]/100))</f>
        <v>1.5</v>
      </c>
      <c r="Q102" s="12" cm="1">
        <f t="array" ref="Q102">IF(ISBLANK(STLClientPriceCompute[[#This Row],[Category]]), 1, IF(ISNUMBER(SEARCH(CONCATENATE(STLClientPriceCompute[[#This Row],[Category]],"-",STLClientPriceCompute[[#This Row],[Code]]),STLClientSpecificSettings[VolumeBasedPriceItems])),STLClientSpecificSettings[Volume %]/100,1))</f>
        <v>1</v>
      </c>
      <c r="R102" s="12" cm="1">
        <f t="array" ref="R102">IF(STLClientSpecificSettings[Core Pack Excluded from Std volume discount]="UP",IF(OR(E102="USR",E102="RBU"),STLClientSpecificSettings[Core Uplift %]/100+1,1),1)</f>
        <v>1</v>
      </c>
      <c r="S10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0.58060500000000004</v>
      </c>
      <c r="T102" s="26" t="str">
        <f>IF(STLClientPriceCompute[[#This Row],[Available]]="Y", "P",IF(STLClientPriceCompute[[#This Row],[Available]]="N","O",""))</f>
        <v/>
      </c>
      <c r="U102" s="85" t="str">
        <f>TRIM(STLClientPriceCompute[[#This Row],[Description]])</f>
        <v>Between 6,000,001 to 10,000,000</v>
      </c>
      <c r="V102" s="82" t="str">
        <f>IF(STLClientPriceCompute[[#This Row],[Item Level]]=0,STLClientPriceCompute[[#This Row],[Desc without indent]],"")</f>
        <v/>
      </c>
      <c r="W102" s="82" t="str">
        <f>IF(STLClientPriceCompute[[#This Row],[Item Level]]=1,STLClientPriceCompute[[#This Row],[Desc without indent]],"")</f>
        <v/>
      </c>
      <c r="X102" s="82" t="str">
        <f>IF(STLClientPriceCompute[[#This Row],[Item Level]]=2,STLClientPriceCompute[[#This Row],[Desc without indent]],"")</f>
        <v/>
      </c>
      <c r="Y102" s="82" t="str">
        <f>IF(STLClientPriceCompute[[#This Row],[Item Level]]&gt;=3,_xlfn.CONCAT(REPT(" ",STLClientPriceCompute[[#This Row],[Item Level]]-3), STLClientPriceCompute[[#This Row],[Desc without indent]]),"")</f>
        <v>Between 6,000,001 to 10,000,000</v>
      </c>
      <c r="Z10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103" spans="2:26" x14ac:dyDescent="0.4">
      <c r="B103" s="15">
        <f>FIND(LEFT(TRIM(STLClientPriceCompute[[#This Row],[Description]]),1),STLClientPriceCompute[[#This Row],[Description]])-1</f>
        <v>3</v>
      </c>
      <c r="C103" s="19">
        <v>142</v>
      </c>
      <c r="D103" s="19" t="s">
        <v>87</v>
      </c>
      <c r="E103" s="19" t="s">
        <v>702</v>
      </c>
      <c r="F103" s="19" t="s">
        <v>222</v>
      </c>
      <c r="G103" s="19"/>
      <c r="H103" s="19" t="s">
        <v>87</v>
      </c>
      <c r="I103" s="20">
        <v>3.0966E-2</v>
      </c>
      <c r="J103" s="19" t="s">
        <v>223</v>
      </c>
      <c r="K103" s="19" t="s">
        <v>711</v>
      </c>
      <c r="L103" s="21">
        <v>0.30965999999999999</v>
      </c>
      <c r="M103" s="19" t="s">
        <v>85</v>
      </c>
      <c r="N103" s="17">
        <f>_xlfn.IFNA(IF(STLClientPriceCompute[[#This Row],[Base Price (USD)]]="","", STLClientPriceCompute[[#This Row],[Base Price (USD)]]*VLOOKUP(_xlfn.CONCAT(STLClientPriceCompute[[#This Row],[Exchange Rate Group]],STLClientSpecificSettings[Currency]),ClientPriceExRate[[#All],[Ex-Currency]:[Exchange Rate]],2,FALSE)),"")</f>
        <v>4.1463474E-2</v>
      </c>
      <c r="O10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6.2195211E-2</v>
      </c>
      <c r="P103" s="22" cm="1">
        <f t="array" ref="P103">IF(STLClientSpecificSettings[Core Pack Excluded from Std volume discount]="EX",1, IF(STLClientSpecificSettings[Volume Price Adjustment]="HV", STLClientPriceCompute[[#This Row],[Category search for HV Base Discount]], STLClientSpecificSettings[Volume %]/100))</f>
        <v>1.5</v>
      </c>
      <c r="Q103" s="12" cm="1">
        <f t="array" ref="Q103">IF(ISBLANK(STLClientPriceCompute[[#This Row],[Category]]), 1, IF(ISNUMBER(SEARCH(CONCATENATE(STLClientPriceCompute[[#This Row],[Category]],"-",STLClientPriceCompute[[#This Row],[Code]]),STLClientSpecificSettings[VolumeBasedPriceItems])),STLClientSpecificSettings[Volume %]/100,1))</f>
        <v>1</v>
      </c>
      <c r="R103" s="12" cm="1">
        <f t="array" ref="R103">IF(STLClientSpecificSettings[Core Pack Excluded from Std volume discount]="UP",IF(OR(E103="USR",E103="RBU"),STLClientSpecificSettings[Core Uplift %]/100+1,1),1)</f>
        <v>1</v>
      </c>
      <c r="S10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0.46448999999999996</v>
      </c>
      <c r="T103" s="26" t="str">
        <f>IF(STLClientPriceCompute[[#This Row],[Available]]="Y", "P",IF(STLClientPriceCompute[[#This Row],[Available]]="N","O",""))</f>
        <v/>
      </c>
      <c r="U103" s="85" t="str">
        <f>TRIM(STLClientPriceCompute[[#This Row],[Description]])</f>
        <v>10,000,001 and above</v>
      </c>
      <c r="V103" s="82" t="str">
        <f>IF(STLClientPriceCompute[[#This Row],[Item Level]]=0,STLClientPriceCompute[[#This Row],[Desc without indent]],"")</f>
        <v/>
      </c>
      <c r="W103" s="82" t="str">
        <f>IF(STLClientPriceCompute[[#This Row],[Item Level]]=1,STLClientPriceCompute[[#This Row],[Desc without indent]],"")</f>
        <v/>
      </c>
      <c r="X103" s="82" t="str">
        <f>IF(STLClientPriceCompute[[#This Row],[Item Level]]=2,STLClientPriceCompute[[#This Row],[Desc without indent]],"")</f>
        <v/>
      </c>
      <c r="Y103" s="82" t="str">
        <f>IF(STLClientPriceCompute[[#This Row],[Item Level]]&gt;=3,_xlfn.CONCAT(REPT(" ",STLClientPriceCompute[[#This Row],[Item Level]]-3), STLClientPriceCompute[[#This Row],[Desc without indent]]),"")</f>
        <v>10,000,001 and above</v>
      </c>
      <c r="Z10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Item</v>
      </c>
    </row>
    <row r="104" spans="2:26" x14ac:dyDescent="0.4">
      <c r="B104" s="15">
        <f>FIND(LEFT(TRIM(STLClientPriceCompute[[#This Row],[Description]]),1),STLClientPriceCompute[[#This Row],[Description]])-1</f>
        <v>2</v>
      </c>
      <c r="C104" s="19">
        <v>143</v>
      </c>
      <c r="D104" s="19"/>
      <c r="E104" s="19"/>
      <c r="F104" s="19" t="s">
        <v>224</v>
      </c>
      <c r="G104" s="19"/>
      <c r="H104" s="19" t="s">
        <v>87</v>
      </c>
      <c r="I104" s="20">
        <v>0</v>
      </c>
      <c r="J104" s="19"/>
      <c r="K104" s="19" t="s">
        <v>87</v>
      </c>
      <c r="L104" s="21">
        <v>0</v>
      </c>
      <c r="M104" s="19" t="s">
        <v>85</v>
      </c>
      <c r="N104" s="17">
        <f>_xlfn.IFNA(IF(STLClientPriceCompute[[#This Row],[Base Price (USD)]]="","", STLClientPriceCompute[[#This Row],[Base Price (USD)]]*VLOOKUP(_xlfn.CONCAT(STLClientPriceCompute[[#This Row],[Exchange Rate Group]],STLClientSpecificSettings[Currency]),ClientPriceExRate[[#All],[Ex-Currency]:[Exchange Rate]],2,FALSE)),"")</f>
        <v>0</v>
      </c>
      <c r="O10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04" s="22" cm="1">
        <f t="array" ref="P104">IF(STLClientSpecificSettings[Core Pack Excluded from Std volume discount]="EX",1, IF(STLClientSpecificSettings[Volume Price Adjustment]="HV", STLClientPriceCompute[[#This Row],[Category search for HV Base Discount]], STLClientSpecificSettings[Volume %]/100))</f>
        <v>1.5</v>
      </c>
      <c r="Q104" s="12" cm="1">
        <f t="array" ref="Q104">IF(ISBLANK(STLClientPriceCompute[[#This Row],[Category]]), 1, IF(ISNUMBER(SEARCH(CONCATENATE(STLClientPriceCompute[[#This Row],[Category]],"-",STLClientPriceCompute[[#This Row],[Code]]),STLClientSpecificSettings[VolumeBasedPriceItems])),STLClientSpecificSettings[Volume %]/100,1))</f>
        <v>1</v>
      </c>
      <c r="R104" s="12" cm="1">
        <f t="array" ref="R104">IF(STLClientSpecificSettings[Core Pack Excluded from Std volume discount]="UP",IF(OR(E104="USR",E104="RBU"),STLClientSpecificSettings[Core Uplift %]/100+1,1),1)</f>
        <v>1</v>
      </c>
      <c r="S10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04" s="26" t="str">
        <f>IF(STLClientPriceCompute[[#This Row],[Available]]="Y", "P",IF(STLClientPriceCompute[[#This Row],[Available]]="N","O",""))</f>
        <v/>
      </c>
      <c r="U104" s="85" t="str">
        <f>TRIM(STLClientPriceCompute[[#This Row],[Description]])</f>
        <v>Forwarder/CFS/CTO/CY/Land Transport Message Functions</v>
      </c>
      <c r="V104" s="82" t="str">
        <f>IF(STLClientPriceCompute[[#This Row],[Item Level]]=0,STLClientPriceCompute[[#This Row],[Desc without indent]],"")</f>
        <v/>
      </c>
      <c r="W104" s="82" t="str">
        <f>IF(STLClientPriceCompute[[#This Row],[Item Level]]=1,STLClientPriceCompute[[#This Row],[Desc without indent]],"")</f>
        <v/>
      </c>
      <c r="X104" s="82" t="str">
        <f>IF(STLClientPriceCompute[[#This Row],[Item Level]]=2,STLClientPriceCompute[[#This Row],[Desc without indent]],"")</f>
        <v>Forwarder/CFS/CTO/CY/Land Transport Message Functions</v>
      </c>
      <c r="Y104" s="82" t="str">
        <f>IF(STLClientPriceCompute[[#This Row],[Item Level]]&gt;=3,_xlfn.CONCAT(REPT(" ",STLClientPriceCompute[[#This Row],[Item Level]]-3), STLClientPriceCompute[[#This Row],[Desc without indent]]),"")</f>
        <v/>
      </c>
      <c r="Z10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05" spans="2:26" x14ac:dyDescent="0.4">
      <c r="B105" s="15">
        <f>FIND(LEFT(TRIM(STLClientPriceCompute[[#This Row],[Description]]),1),STLClientPriceCompute[[#This Row],[Description]])-1</f>
        <v>3</v>
      </c>
      <c r="C105" s="19">
        <v>144</v>
      </c>
      <c r="D105" s="19" t="s">
        <v>87</v>
      </c>
      <c r="E105" s="19" t="s">
        <v>208</v>
      </c>
      <c r="F105" s="19" t="s">
        <v>209</v>
      </c>
      <c r="G105" s="19"/>
      <c r="H105" s="19" t="s">
        <v>87</v>
      </c>
      <c r="I105" s="20">
        <v>0.86052300000000004</v>
      </c>
      <c r="J105" s="19" t="s">
        <v>225</v>
      </c>
      <c r="K105" s="19" t="s">
        <v>87</v>
      </c>
      <c r="L105" s="21">
        <v>8.6052300000000006</v>
      </c>
      <c r="M105" s="19" t="s">
        <v>85</v>
      </c>
      <c r="N105"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0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05" s="22" cm="1">
        <f t="array" ref="P105">IF(STLClientSpecificSettings[Core Pack Excluded from Std volume discount]="EX",1, IF(STLClientSpecificSettings[Volume Price Adjustment]="HV", STLClientPriceCompute[[#This Row],[Category search for HV Base Discount]], STLClientSpecificSettings[Volume %]/100))</f>
        <v>1.5</v>
      </c>
      <c r="Q105" s="12" cm="1">
        <f t="array" ref="Q105">IF(ISBLANK(STLClientPriceCompute[[#This Row],[Category]]), 1, IF(ISNUMBER(SEARCH(CONCATENATE(STLClientPriceCompute[[#This Row],[Category]],"-",STLClientPriceCompute[[#This Row],[Code]]),STLClientSpecificSettings[VolumeBasedPriceItems])),STLClientSpecificSettings[Volume %]/100,1))</f>
        <v>1</v>
      </c>
      <c r="R105" s="12" cm="1">
        <f t="array" ref="R105">IF(STLClientSpecificSettings[Core Pack Excluded from Std volume discount]="UP",IF(OR(E105="USR",E105="RBU"),STLClientSpecificSettings[Core Uplift %]/100+1,1),1)</f>
        <v>1</v>
      </c>
      <c r="S10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05" s="26" t="str">
        <f>IF(STLClientPriceCompute[[#This Row],[Available]]="Y", "P",IF(STLClientPriceCompute[[#This Row],[Available]]="N","O",""))</f>
        <v/>
      </c>
      <c r="U105" s="85" t="str">
        <f>TRIM(STLClientPriceCompute[[#This Row],[Description]])</f>
        <v>InBond / Underbond Movement Request (From Forwarding Menu)</v>
      </c>
      <c r="V105" s="82" t="str">
        <f>IF(STLClientPriceCompute[[#This Row],[Item Level]]=0,STLClientPriceCompute[[#This Row],[Desc without indent]],"")</f>
        <v/>
      </c>
      <c r="W105" s="82" t="str">
        <f>IF(STLClientPriceCompute[[#This Row],[Item Level]]=1,STLClientPriceCompute[[#This Row],[Desc without indent]],"")</f>
        <v/>
      </c>
      <c r="X105" s="82" t="str">
        <f>IF(STLClientPriceCompute[[#This Row],[Item Level]]=2,STLClientPriceCompute[[#This Row],[Desc without indent]],"")</f>
        <v/>
      </c>
      <c r="Y105" s="82" t="str">
        <f>IF(STLClientPriceCompute[[#This Row],[Item Level]]&gt;=3,_xlfn.CONCAT(REPT(" ",STLClientPriceCompute[[#This Row],[Item Level]]-3), STLClientPriceCompute[[#This Row],[Desc without indent]]),"")</f>
        <v>InBond / Underbond Movement Request (From Forwarding Menu)</v>
      </c>
      <c r="Z10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Inbond</v>
      </c>
    </row>
    <row r="106" spans="2:26" x14ac:dyDescent="0.4">
      <c r="B106" s="15">
        <f>FIND(LEFT(TRIM(STLClientPriceCompute[[#This Row],[Description]]),1),STLClientPriceCompute[[#This Row],[Description]])-1</f>
        <v>3</v>
      </c>
      <c r="C106" s="19">
        <v>145</v>
      </c>
      <c r="D106" s="19" t="s">
        <v>87</v>
      </c>
      <c r="E106" s="19" t="s">
        <v>226</v>
      </c>
      <c r="F106" s="19" t="s">
        <v>227</v>
      </c>
      <c r="G106" s="19"/>
      <c r="H106" s="19" t="s">
        <v>87</v>
      </c>
      <c r="I106" s="20">
        <v>0.40157700000000002</v>
      </c>
      <c r="J106" s="19" t="s">
        <v>228</v>
      </c>
      <c r="K106" s="19" t="s">
        <v>87</v>
      </c>
      <c r="L106" s="21">
        <v>4.0157699999999998</v>
      </c>
      <c r="M106" s="19" t="s">
        <v>85</v>
      </c>
      <c r="N106" s="17">
        <f>_xlfn.IFNA(IF(STLClientPriceCompute[[#This Row],[Base Price (USD)]]="","", STLClientPriceCompute[[#This Row],[Base Price (USD)]]*VLOOKUP(_xlfn.CONCAT(STLClientPriceCompute[[#This Row],[Exchange Rate Group]],STLClientSpecificSettings[Currency]),ClientPriceExRate[[#All],[Ex-Currency]:[Exchange Rate]],2,FALSE)),"")</f>
        <v>0.56086653281999999</v>
      </c>
      <c r="O10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0.84129979922999998</v>
      </c>
      <c r="P106" s="22" cm="1">
        <f t="array" ref="P106">IF(STLClientSpecificSettings[Core Pack Excluded from Std volume discount]="EX",1, IF(STLClientSpecificSettings[Volume Price Adjustment]="HV", STLClientPriceCompute[[#This Row],[Category search for HV Base Discount]], STLClientSpecificSettings[Volume %]/100))</f>
        <v>1.5</v>
      </c>
      <c r="Q106" s="12" cm="1">
        <f t="array" ref="Q106">IF(ISBLANK(STLClientPriceCompute[[#This Row],[Category]]), 1, IF(ISNUMBER(SEARCH(CONCATENATE(STLClientPriceCompute[[#This Row],[Category]],"-",STLClientPriceCompute[[#This Row],[Code]]),STLClientSpecificSettings[VolumeBasedPriceItems])),STLClientSpecificSettings[Volume %]/100,1))</f>
        <v>1</v>
      </c>
      <c r="R106" s="12" cm="1">
        <f t="array" ref="R106">IF(STLClientSpecificSettings[Core Pack Excluded from Std volume discount]="UP",IF(OR(E106="USR",E106="RBU"),STLClientSpecificSettings[Core Uplift %]/100+1,1),1)</f>
        <v>1</v>
      </c>
      <c r="S10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6.0236549999999998</v>
      </c>
      <c r="T106" s="26" t="str">
        <f>IF(STLClientPriceCompute[[#This Row],[Available]]="Y", "P",IF(STLClientPriceCompute[[#This Row],[Available]]="N","O",""))</f>
        <v/>
      </c>
      <c r="U106" s="85" t="str">
        <f>TRIM(STLClientPriceCompute[[#This Row],[Description]])</f>
        <v>Import/Export Air Cargo Report</v>
      </c>
      <c r="V106" s="82" t="str">
        <f>IF(STLClientPriceCompute[[#This Row],[Item Level]]=0,STLClientPriceCompute[[#This Row],[Desc without indent]],"")</f>
        <v/>
      </c>
      <c r="W106" s="82" t="str">
        <f>IF(STLClientPriceCompute[[#This Row],[Item Level]]=1,STLClientPriceCompute[[#This Row],[Desc without indent]],"")</f>
        <v/>
      </c>
      <c r="X106" s="82" t="str">
        <f>IF(STLClientPriceCompute[[#This Row],[Item Level]]=2,STLClientPriceCompute[[#This Row],[Desc without indent]],"")</f>
        <v/>
      </c>
      <c r="Y106" s="82" t="str">
        <f>IF(STLClientPriceCompute[[#This Row],[Item Level]]&gt;=3,_xlfn.CONCAT(REPT(" ",STLClientPriceCompute[[#This Row],[Item Level]]-3), STLClientPriceCompute[[#This Row],[Desc without indent]]),"")</f>
        <v>Import/Export Air Cargo Report</v>
      </c>
      <c r="Z10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HAWB or MAWB</v>
      </c>
    </row>
    <row r="107" spans="2:26" x14ac:dyDescent="0.4">
      <c r="B107" s="15">
        <f>FIND(LEFT(TRIM(STLClientPriceCompute[[#This Row],[Description]]),1),STLClientPriceCompute[[#This Row],[Description]])-1</f>
        <v>3</v>
      </c>
      <c r="C107" s="19">
        <v>146</v>
      </c>
      <c r="D107" s="19" t="s">
        <v>87</v>
      </c>
      <c r="E107" s="19" t="s">
        <v>229</v>
      </c>
      <c r="F107" s="19" t="s">
        <v>230</v>
      </c>
      <c r="G107" s="19"/>
      <c r="H107" s="19" t="s">
        <v>87</v>
      </c>
      <c r="I107" s="20">
        <v>0.86052300000000004</v>
      </c>
      <c r="J107" s="19" t="s">
        <v>231</v>
      </c>
      <c r="K107" s="19" t="s">
        <v>87</v>
      </c>
      <c r="L107" s="21">
        <v>8.6052300000000006</v>
      </c>
      <c r="M107" s="19" t="s">
        <v>85</v>
      </c>
      <c r="N107"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0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07" s="22" cm="1">
        <f t="array" ref="P107">IF(STLClientSpecificSettings[Core Pack Excluded from Std volume discount]="EX",1, IF(STLClientSpecificSettings[Volume Price Adjustment]="HV", STLClientPriceCompute[[#This Row],[Category search for HV Base Discount]], STLClientSpecificSettings[Volume %]/100))</f>
        <v>1.5</v>
      </c>
      <c r="Q107" s="12" cm="1">
        <f t="array" ref="Q107">IF(ISBLANK(STLClientPriceCompute[[#This Row],[Category]]), 1, IF(ISNUMBER(SEARCH(CONCATENATE(STLClientPriceCompute[[#This Row],[Category]],"-",STLClientPriceCompute[[#This Row],[Code]]),STLClientSpecificSettings[VolumeBasedPriceItems])),STLClientSpecificSettings[Volume %]/100,1))</f>
        <v>1</v>
      </c>
      <c r="R107" s="12" cm="1">
        <f t="array" ref="R107">IF(STLClientSpecificSettings[Core Pack Excluded from Std volume discount]="UP",IF(OR(E107="USR",E107="RBU"),STLClientSpecificSettings[Core Uplift %]/100+1,1),1)</f>
        <v>1</v>
      </c>
      <c r="S10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07" s="26" t="str">
        <f>IF(STLClientPriceCompute[[#This Row],[Available]]="Y", "P",IF(STLClientPriceCompute[[#This Row],[Available]]="N","O",""))</f>
        <v/>
      </c>
      <c r="U107" s="85" t="str">
        <f>TRIM(STLClientPriceCompute[[#This Row],[Description]])</f>
        <v>Import/Export Sea Cargo Report</v>
      </c>
      <c r="V107" s="82" t="str">
        <f>IF(STLClientPriceCompute[[#This Row],[Item Level]]=0,STLClientPriceCompute[[#This Row],[Desc without indent]],"")</f>
        <v/>
      </c>
      <c r="W107" s="82" t="str">
        <f>IF(STLClientPriceCompute[[#This Row],[Item Level]]=1,STLClientPriceCompute[[#This Row],[Desc without indent]],"")</f>
        <v/>
      </c>
      <c r="X107" s="82" t="str">
        <f>IF(STLClientPriceCompute[[#This Row],[Item Level]]=2,STLClientPriceCompute[[#This Row],[Desc without indent]],"")</f>
        <v/>
      </c>
      <c r="Y107" s="82" t="str">
        <f>IF(STLClientPriceCompute[[#This Row],[Item Level]]&gt;=3,_xlfn.CONCAT(REPT(" ",STLClientPriceCompute[[#This Row],[Item Level]]-3), STLClientPriceCompute[[#This Row],[Desc without indent]]),"")</f>
        <v>Import/Export Sea Cargo Report</v>
      </c>
      <c r="Z10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HBL or OBL</v>
      </c>
    </row>
    <row r="108" spans="2:26" x14ac:dyDescent="0.4">
      <c r="B108" s="15">
        <f>FIND(LEFT(TRIM(STLClientPriceCompute[[#This Row],[Description]]),1),STLClientPriceCompute[[#This Row],[Description]])-1</f>
        <v>3</v>
      </c>
      <c r="C108" s="19">
        <v>147</v>
      </c>
      <c r="D108" s="19" t="s">
        <v>87</v>
      </c>
      <c r="E108" s="19" t="s">
        <v>232</v>
      </c>
      <c r="F108" s="19" t="s">
        <v>233</v>
      </c>
      <c r="G108" s="19"/>
      <c r="H108" s="19" t="s">
        <v>87</v>
      </c>
      <c r="I108" s="20">
        <v>0.40157700000000002</v>
      </c>
      <c r="J108" s="19" t="s">
        <v>228</v>
      </c>
      <c r="K108" s="19" t="s">
        <v>87</v>
      </c>
      <c r="L108" s="21">
        <v>4.0157699999999998</v>
      </c>
      <c r="M108" s="19" t="s">
        <v>85</v>
      </c>
      <c r="N108" s="17">
        <f>_xlfn.IFNA(IF(STLClientPriceCompute[[#This Row],[Base Price (USD)]]="","", STLClientPriceCompute[[#This Row],[Base Price (USD)]]*VLOOKUP(_xlfn.CONCAT(STLClientPriceCompute[[#This Row],[Exchange Rate Group]],STLClientSpecificSettings[Currency]),ClientPriceExRate[[#All],[Ex-Currency]:[Exchange Rate]],2,FALSE)),"")</f>
        <v>0.56086653281999999</v>
      </c>
      <c r="O10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0.84129979922999998</v>
      </c>
      <c r="P108" s="22" cm="1">
        <f t="array" ref="P108">IF(STLClientSpecificSettings[Core Pack Excluded from Std volume discount]="EX",1, IF(STLClientSpecificSettings[Volume Price Adjustment]="HV", STLClientPriceCompute[[#This Row],[Category search for HV Base Discount]], STLClientSpecificSettings[Volume %]/100))</f>
        <v>1.5</v>
      </c>
      <c r="Q108" s="12" cm="1">
        <f t="array" ref="Q108">IF(ISBLANK(STLClientPriceCompute[[#This Row],[Category]]), 1, IF(ISNUMBER(SEARCH(CONCATENATE(STLClientPriceCompute[[#This Row],[Category]],"-",STLClientPriceCompute[[#This Row],[Code]]),STLClientSpecificSettings[VolumeBasedPriceItems])),STLClientSpecificSettings[Volume %]/100,1))</f>
        <v>1</v>
      </c>
      <c r="R108" s="12" cm="1">
        <f t="array" ref="R108">IF(STLClientSpecificSettings[Core Pack Excluded from Std volume discount]="UP",IF(OR(E108="USR",E108="RBU"),STLClientSpecificSettings[Core Uplift %]/100+1,1),1)</f>
        <v>1</v>
      </c>
      <c r="S10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6.0236549999999998</v>
      </c>
      <c r="T108" s="26" t="str">
        <f>IF(STLClientPriceCompute[[#This Row],[Available]]="Y", "P",IF(STLClientPriceCompute[[#This Row],[Available]]="N","O",""))</f>
        <v/>
      </c>
      <c r="U108" s="85" t="str">
        <f>TRIM(STLClientPriceCompute[[#This Row],[Description]])</f>
        <v>Import/Export Air Cargo CFS/CTO Customs Functions</v>
      </c>
      <c r="V108" s="82" t="str">
        <f>IF(STLClientPriceCompute[[#This Row],[Item Level]]=0,STLClientPriceCompute[[#This Row],[Desc without indent]],"")</f>
        <v/>
      </c>
      <c r="W108" s="82" t="str">
        <f>IF(STLClientPriceCompute[[#This Row],[Item Level]]=1,STLClientPriceCompute[[#This Row],[Desc without indent]],"")</f>
        <v/>
      </c>
      <c r="X108" s="82" t="str">
        <f>IF(STLClientPriceCompute[[#This Row],[Item Level]]=2,STLClientPriceCompute[[#This Row],[Desc without indent]],"")</f>
        <v/>
      </c>
      <c r="Y108" s="82" t="str">
        <f>IF(STLClientPriceCompute[[#This Row],[Item Level]]&gt;=3,_xlfn.CONCAT(REPT(" ",STLClientPriceCompute[[#This Row],[Item Level]]-3), STLClientPriceCompute[[#This Row],[Desc without indent]]),"")</f>
        <v>Import/Export Air Cargo CFS/CTO Customs Functions</v>
      </c>
      <c r="Z10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HAWB or MAWB</v>
      </c>
    </row>
    <row r="109" spans="2:26" x14ac:dyDescent="0.4">
      <c r="B109" s="15">
        <f>FIND(LEFT(TRIM(STLClientPriceCompute[[#This Row],[Description]]),1),STLClientPriceCompute[[#This Row],[Description]])-1</f>
        <v>3</v>
      </c>
      <c r="C109" s="19">
        <v>148</v>
      </c>
      <c r="D109" s="19" t="s">
        <v>87</v>
      </c>
      <c r="E109" s="19" t="s">
        <v>234</v>
      </c>
      <c r="F109" s="19" t="s">
        <v>235</v>
      </c>
      <c r="G109" s="19"/>
      <c r="H109" s="19" t="s">
        <v>87</v>
      </c>
      <c r="I109" s="20">
        <v>0.86052300000000004</v>
      </c>
      <c r="J109" s="19" t="s">
        <v>236</v>
      </c>
      <c r="K109" s="19" t="s">
        <v>87</v>
      </c>
      <c r="L109" s="21">
        <v>8.6052300000000006</v>
      </c>
      <c r="M109" s="19" t="s">
        <v>85</v>
      </c>
      <c r="N109"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0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09" s="22" cm="1">
        <f t="array" ref="P109">IF(STLClientSpecificSettings[Core Pack Excluded from Std volume discount]="EX",1, IF(STLClientSpecificSettings[Volume Price Adjustment]="HV", STLClientPriceCompute[[#This Row],[Category search for HV Base Discount]], STLClientSpecificSettings[Volume %]/100))</f>
        <v>1.5</v>
      </c>
      <c r="Q109" s="12" cm="1">
        <f t="array" ref="Q109">IF(ISBLANK(STLClientPriceCompute[[#This Row],[Category]]), 1, IF(ISNUMBER(SEARCH(CONCATENATE(STLClientPriceCompute[[#This Row],[Category]],"-",STLClientPriceCompute[[#This Row],[Code]]),STLClientSpecificSettings[VolumeBasedPriceItems])),STLClientSpecificSettings[Volume %]/100,1))</f>
        <v>1</v>
      </c>
      <c r="R109" s="12" cm="1">
        <f t="array" ref="R109">IF(STLClientSpecificSettings[Core Pack Excluded from Std volume discount]="UP",IF(OR(E109="USR",E109="RBU"),STLClientSpecificSettings[Core Uplift %]/100+1,1),1)</f>
        <v>1</v>
      </c>
      <c r="S10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09" s="26" t="str">
        <f>IF(STLClientPriceCompute[[#This Row],[Available]]="Y", "P",IF(STLClientPriceCompute[[#This Row],[Available]]="N","O",""))</f>
        <v/>
      </c>
      <c r="U109" s="85" t="str">
        <f>TRIM(STLClientPriceCompute[[#This Row],[Description]])</f>
        <v>Import/Export Sea Cargo CFS/CTO Customs Functions</v>
      </c>
      <c r="V109" s="82" t="str">
        <f>IF(STLClientPriceCompute[[#This Row],[Item Level]]=0,STLClientPriceCompute[[#This Row],[Desc without indent]],"")</f>
        <v/>
      </c>
      <c r="W109" s="82" t="str">
        <f>IF(STLClientPriceCompute[[#This Row],[Item Level]]=1,STLClientPriceCompute[[#This Row],[Desc without indent]],"")</f>
        <v/>
      </c>
      <c r="X109" s="82" t="str">
        <f>IF(STLClientPriceCompute[[#This Row],[Item Level]]=2,STLClientPriceCompute[[#This Row],[Desc without indent]],"")</f>
        <v/>
      </c>
      <c r="Y109" s="82" t="str">
        <f>IF(STLClientPriceCompute[[#This Row],[Item Level]]&gt;=3,_xlfn.CONCAT(REPT(" ",STLClientPriceCompute[[#This Row],[Item Level]]-3), STLClientPriceCompute[[#This Row],[Desc without indent]]),"")</f>
        <v>Import/Export Sea Cargo CFS/CTO Customs Functions</v>
      </c>
      <c r="Z10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HBL or OBL or Container</v>
      </c>
    </row>
    <row r="110" spans="2:26" x14ac:dyDescent="0.4">
      <c r="B110" s="15">
        <f>FIND(LEFT(TRIM(STLClientPriceCompute[[#This Row],[Description]]),1),STLClientPriceCompute[[#This Row],[Description]])-1</f>
        <v>3</v>
      </c>
      <c r="C110" s="19">
        <v>149</v>
      </c>
      <c r="D110" s="19" t="s">
        <v>237</v>
      </c>
      <c r="E110" s="19" t="s">
        <v>237</v>
      </c>
      <c r="F110" s="19" t="s">
        <v>238</v>
      </c>
      <c r="G110" s="19"/>
      <c r="H110" s="19" t="s">
        <v>87</v>
      </c>
      <c r="I110" s="20">
        <v>3.4420899999999999</v>
      </c>
      <c r="J110" s="19" t="s">
        <v>239</v>
      </c>
      <c r="K110" s="19" t="s">
        <v>87</v>
      </c>
      <c r="L110" s="21">
        <v>34.420900000000003</v>
      </c>
      <c r="M110" s="19" t="s">
        <v>85</v>
      </c>
      <c r="N110" s="17">
        <f>_xlfn.IFNA(IF(STLClientPriceCompute[[#This Row],[Base Price (USD)]]="","", STLClientPriceCompute[[#This Row],[Base Price (USD)]]*VLOOKUP(_xlfn.CONCAT(STLClientPriceCompute[[#This Row],[Exchange Rate Group]],STLClientSpecificSettings[Currency]),ClientPriceExRate[[#All],[Ex-Currency]:[Exchange Rate]],2,FALSE)),"")</f>
        <v>4.8074294194</v>
      </c>
      <c r="O11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110" s="22" cm="1">
        <f t="array" ref="P110">IF(STLClientSpecificSettings[Core Pack Excluded from Std volume discount]="EX",1, IF(STLClientSpecificSettings[Volume Price Adjustment]="HV", STLClientPriceCompute[[#This Row],[Category search for HV Base Discount]], STLClientSpecificSettings[Volume %]/100))</f>
        <v>1.5</v>
      </c>
      <c r="Q110" s="12" cm="1">
        <f t="array" ref="Q110">IF(ISBLANK(STLClientPriceCompute[[#This Row],[Category]]), 1, IF(ISNUMBER(SEARCH(CONCATENATE(STLClientPriceCompute[[#This Row],[Category]],"-",STLClientPriceCompute[[#This Row],[Code]]),STLClientSpecificSettings[VolumeBasedPriceItems])),STLClientSpecificSettings[Volume %]/100,1))</f>
        <v>1</v>
      </c>
      <c r="R110" s="12" cm="1">
        <f t="array" ref="R110">IF(STLClientSpecificSettings[Core Pack Excluded from Std volume discount]="UP",IF(OR(E110="USR",E110="RBU"),STLClientSpecificSettings[Core Uplift %]/100+1,1),1)</f>
        <v>1</v>
      </c>
      <c r="S11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110" s="26" t="str">
        <f>IF(STLClientPriceCompute[[#This Row],[Available]]="Y", "P",IF(STLClientPriceCompute[[#This Row],[Available]]="N","O",""))</f>
        <v/>
      </c>
      <c r="U110" s="85" t="str">
        <f>TRIM(STLClientPriceCompute[[#This Row],[Description]])</f>
        <v>Air/Sea/Rail/Road Consol/Manifest/Quarantine Report</v>
      </c>
      <c r="V110" s="82" t="str">
        <f>IF(STLClientPriceCompute[[#This Row],[Item Level]]=0,STLClientPriceCompute[[#This Row],[Desc without indent]],"")</f>
        <v/>
      </c>
      <c r="W110" s="82" t="str">
        <f>IF(STLClientPriceCompute[[#This Row],[Item Level]]=1,STLClientPriceCompute[[#This Row],[Desc without indent]],"")</f>
        <v/>
      </c>
      <c r="X110" s="82" t="str">
        <f>IF(STLClientPriceCompute[[#This Row],[Item Level]]=2,STLClientPriceCompute[[#This Row],[Desc without indent]],"")</f>
        <v/>
      </c>
      <c r="Y110" s="82" t="str">
        <f>IF(STLClientPriceCompute[[#This Row],[Item Level]]&gt;=3,_xlfn.CONCAT(REPT(" ",STLClientPriceCompute[[#This Row],[Item Level]]-3), STLClientPriceCompute[[#This Row],[Desc without indent]]),"")</f>
        <v>Air/Sea/Rail/Road Consol/Manifest/Quarantine Report</v>
      </c>
      <c r="Z11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Report Message</v>
      </c>
    </row>
    <row r="111" spans="2:26" x14ac:dyDescent="0.4">
      <c r="B111" s="15">
        <f>FIND(LEFT(TRIM(STLClientPriceCompute[[#This Row],[Description]]),1),STLClientPriceCompute[[#This Row],[Description]])-1</f>
        <v>3</v>
      </c>
      <c r="C111" s="19">
        <v>150</v>
      </c>
      <c r="D111" s="19" t="s">
        <v>240</v>
      </c>
      <c r="E111" s="19" t="s">
        <v>241</v>
      </c>
      <c r="F111" s="19" t="s">
        <v>242</v>
      </c>
      <c r="G111" s="19"/>
      <c r="H111" s="19" t="s">
        <v>87</v>
      </c>
      <c r="I111" s="20">
        <v>0.86052300000000004</v>
      </c>
      <c r="J111" s="19" t="s">
        <v>243</v>
      </c>
      <c r="K111" s="19" t="s">
        <v>87</v>
      </c>
      <c r="L111" s="21">
        <v>8.6052300000000006</v>
      </c>
      <c r="M111" s="19" t="s">
        <v>85</v>
      </c>
      <c r="N111"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1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11" s="22" cm="1">
        <f t="array" ref="P111">IF(STLClientSpecificSettings[Core Pack Excluded from Std volume discount]="EX",1, IF(STLClientSpecificSettings[Volume Price Adjustment]="HV", STLClientPriceCompute[[#This Row],[Category search for HV Base Discount]], STLClientSpecificSettings[Volume %]/100))</f>
        <v>1.5</v>
      </c>
      <c r="Q111" s="12" cm="1">
        <f t="array" ref="Q111">IF(ISBLANK(STLClientPriceCompute[[#This Row],[Category]]), 1, IF(ISNUMBER(SEARCH(CONCATENATE(STLClientPriceCompute[[#This Row],[Category]],"-",STLClientPriceCompute[[#This Row],[Code]]),STLClientSpecificSettings[VolumeBasedPriceItems])),STLClientSpecificSettings[Volume %]/100,1))</f>
        <v>1</v>
      </c>
      <c r="R111" s="12" cm="1">
        <f t="array" ref="R111">IF(STLClientSpecificSettings[Core Pack Excluded from Std volume discount]="UP",IF(OR(E111="USR",E111="RBU"),STLClientSpecificSettings[Core Uplift %]/100+1,1),1)</f>
        <v>1</v>
      </c>
      <c r="S11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11" s="26" t="str">
        <f>IF(STLClientPriceCompute[[#This Row],[Available]]="Y", "P",IF(STLClientPriceCompute[[#This Row],[Available]]="N","O",""))</f>
        <v/>
      </c>
      <c r="U111" s="85" t="str">
        <f>TRIM(STLClientPriceCompute[[#This Row],[Description]])</f>
        <v>Pre Receival (PRA) / Export Receival Advice (ERA)</v>
      </c>
      <c r="V111" s="82" t="str">
        <f>IF(STLClientPriceCompute[[#This Row],[Item Level]]=0,STLClientPriceCompute[[#This Row],[Desc without indent]],"")</f>
        <v/>
      </c>
      <c r="W111" s="82" t="str">
        <f>IF(STLClientPriceCompute[[#This Row],[Item Level]]=1,STLClientPriceCompute[[#This Row],[Desc without indent]],"")</f>
        <v/>
      </c>
      <c r="X111" s="82" t="str">
        <f>IF(STLClientPriceCompute[[#This Row],[Item Level]]=2,STLClientPriceCompute[[#This Row],[Desc without indent]],"")</f>
        <v/>
      </c>
      <c r="Y111" s="82" t="str">
        <f>IF(STLClientPriceCompute[[#This Row],[Item Level]]&gt;=3,_xlfn.CONCAT(REPT(" ",STLClientPriceCompute[[#This Row],[Item Level]]-3), STLClientPriceCompute[[#This Row],[Desc without indent]]),"")</f>
        <v>Pre Receival (PRA) / Export Receival Advice (ERA)</v>
      </c>
      <c r="Z11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PRA/ERA Message</v>
      </c>
    </row>
    <row r="112" spans="2:26" x14ac:dyDescent="0.4">
      <c r="B112" s="15">
        <f>FIND(LEFT(TRIM(STLClientPriceCompute[[#This Row],[Description]]),1),STLClientPriceCompute[[#This Row],[Description]])-1</f>
        <v>3</v>
      </c>
      <c r="C112" s="19">
        <v>151</v>
      </c>
      <c r="D112" s="19"/>
      <c r="E112" s="19"/>
      <c r="F112" s="19" t="s">
        <v>244</v>
      </c>
      <c r="G112" s="19"/>
      <c r="H112" s="19" t="s">
        <v>87</v>
      </c>
      <c r="I112" s="20">
        <v>0.86052300000000004</v>
      </c>
      <c r="J112" s="19" t="s">
        <v>245</v>
      </c>
      <c r="K112" s="19" t="s">
        <v>87</v>
      </c>
      <c r="L112" s="21">
        <v>8.6052300000000006</v>
      </c>
      <c r="M112" s="19" t="s">
        <v>85</v>
      </c>
      <c r="N112"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1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12" s="22" cm="1">
        <f t="array" ref="P112">IF(STLClientSpecificSettings[Core Pack Excluded from Std volume discount]="EX",1, IF(STLClientSpecificSettings[Volume Price Adjustment]="HV", STLClientPriceCompute[[#This Row],[Category search for HV Base Discount]], STLClientSpecificSettings[Volume %]/100))</f>
        <v>1.5</v>
      </c>
      <c r="Q112" s="12" cm="1">
        <f t="array" ref="Q112">IF(ISBLANK(STLClientPriceCompute[[#This Row],[Category]]), 1, IF(ISNUMBER(SEARCH(CONCATENATE(STLClientPriceCompute[[#This Row],[Category]],"-",STLClientPriceCompute[[#This Row],[Code]]),STLClientSpecificSettings[VolumeBasedPriceItems])),STLClientSpecificSettings[Volume %]/100,1))</f>
        <v>1</v>
      </c>
      <c r="R112" s="12" cm="1">
        <f t="array" ref="R112">IF(STLClientSpecificSettings[Core Pack Excluded from Std volume discount]="UP",IF(OR(E112="USR",E112="RBU"),STLClientSpecificSettings[Core Uplift %]/100+1,1),1)</f>
        <v>1</v>
      </c>
      <c r="S11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12" s="26" t="str">
        <f>IF(STLClientPriceCompute[[#This Row],[Available]]="Y", "P",IF(STLClientPriceCompute[[#This Row],[Available]]="N","O",""))</f>
        <v/>
      </c>
      <c r="U112" s="85" t="str">
        <f>TRIM(STLClientPriceCompute[[#This Row],[Description]])</f>
        <v>Slot Booking Request / Port, CFS, CY Slot request</v>
      </c>
      <c r="V112" s="82" t="str">
        <f>IF(STLClientPriceCompute[[#This Row],[Item Level]]=0,STLClientPriceCompute[[#This Row],[Desc without indent]],"")</f>
        <v/>
      </c>
      <c r="W112" s="82" t="str">
        <f>IF(STLClientPriceCompute[[#This Row],[Item Level]]=1,STLClientPriceCompute[[#This Row],[Desc without indent]],"")</f>
        <v/>
      </c>
      <c r="X112" s="82" t="str">
        <f>IF(STLClientPriceCompute[[#This Row],[Item Level]]=2,STLClientPriceCompute[[#This Row],[Desc without indent]],"")</f>
        <v/>
      </c>
      <c r="Y112" s="82" t="str">
        <f>IF(STLClientPriceCompute[[#This Row],[Item Level]]&gt;=3,_xlfn.CONCAT(REPT(" ",STLClientPriceCompute[[#This Row],[Item Level]]-3), STLClientPriceCompute[[#This Row],[Desc without indent]]),"")</f>
        <v>Slot Booking Request / Port, CFS, CY Slot request</v>
      </c>
      <c r="Z11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Slot Request</v>
      </c>
    </row>
    <row r="113" spans="2:26" x14ac:dyDescent="0.4">
      <c r="B113" s="15">
        <f>FIND(LEFT(TRIM(STLClientPriceCompute[[#This Row],[Description]]),1),STLClientPriceCompute[[#This Row],[Description]])-1</f>
        <v>3</v>
      </c>
      <c r="C113" s="19">
        <v>152</v>
      </c>
      <c r="D113" s="19" t="s">
        <v>703</v>
      </c>
      <c r="E113" s="19" t="s">
        <v>247</v>
      </c>
      <c r="F113" s="19" t="s">
        <v>248</v>
      </c>
      <c r="G113" s="19"/>
      <c r="H113" s="19" t="s">
        <v>87</v>
      </c>
      <c r="I113" s="20">
        <v>1.03</v>
      </c>
      <c r="J113" s="19" t="s">
        <v>249</v>
      </c>
      <c r="K113" s="19" t="s">
        <v>87</v>
      </c>
      <c r="L113" s="21">
        <v>10.3</v>
      </c>
      <c r="M113" s="19" t="s">
        <v>85</v>
      </c>
      <c r="N113" s="17">
        <f>_xlfn.IFNA(IF(STLClientPriceCompute[[#This Row],[Base Price (USD)]]="","", STLClientPriceCompute[[#This Row],[Base Price (USD)]]*VLOOKUP(_xlfn.CONCAT(STLClientPriceCompute[[#This Row],[Exchange Rate Group]],STLClientSpecificSettings[Currency]),ClientPriceExRate[[#All],[Ex-Currency]:[Exchange Rate]],2,FALSE)),"")</f>
        <v>1.4385597999999999</v>
      </c>
      <c r="O11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2.1578396999999998</v>
      </c>
      <c r="P113" s="22" cm="1">
        <f t="array" ref="P113">IF(STLClientSpecificSettings[Core Pack Excluded from Std volume discount]="EX",1, IF(STLClientSpecificSettings[Volume Price Adjustment]="HV", STLClientPriceCompute[[#This Row],[Category search for HV Base Discount]], STLClientSpecificSettings[Volume %]/100))</f>
        <v>1.5</v>
      </c>
      <c r="Q113" s="12" cm="1">
        <f t="array" ref="Q113">IF(ISBLANK(STLClientPriceCompute[[#This Row],[Category]]), 1, IF(ISNUMBER(SEARCH(CONCATENATE(STLClientPriceCompute[[#This Row],[Category]],"-",STLClientPriceCompute[[#This Row],[Code]]),STLClientSpecificSettings[VolumeBasedPriceItems])),STLClientSpecificSettings[Volume %]/100,1))</f>
        <v>1</v>
      </c>
      <c r="R113" s="12" cm="1">
        <f t="array" ref="R113">IF(STLClientSpecificSettings[Core Pack Excluded from Std volume discount]="UP",IF(OR(E113="USR",E113="RBU"),STLClientSpecificSettings[Core Uplift %]/100+1,1),1)</f>
        <v>1</v>
      </c>
      <c r="S11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15.450000000000001</v>
      </c>
      <c r="T113" s="26" t="str">
        <f>IF(STLClientPriceCompute[[#This Row],[Available]]="Y", "P",IF(STLClientPriceCompute[[#This Row],[Available]]="N","O",""))</f>
        <v/>
      </c>
      <c r="U113" s="85" t="str">
        <f>TRIM(STLClientPriceCompute[[#This Row],[Description]])</f>
        <v>Pre-loading Advance Cargo Information Filing (PLACI)</v>
      </c>
      <c r="V113" s="82" t="str">
        <f>IF(STLClientPriceCompute[[#This Row],[Item Level]]=0,STLClientPriceCompute[[#This Row],[Desc without indent]],"")</f>
        <v/>
      </c>
      <c r="W113" s="82" t="str">
        <f>IF(STLClientPriceCompute[[#This Row],[Item Level]]=1,STLClientPriceCompute[[#This Row],[Desc without indent]],"")</f>
        <v/>
      </c>
      <c r="X113" s="82" t="str">
        <f>IF(STLClientPriceCompute[[#This Row],[Item Level]]=2,STLClientPriceCompute[[#This Row],[Desc without indent]],"")</f>
        <v/>
      </c>
      <c r="Y113" s="82" t="str">
        <f>IF(STLClientPriceCompute[[#This Row],[Item Level]]&gt;=3,_xlfn.CONCAT(REPT(" ",STLClientPriceCompute[[#This Row],[Item Level]]-3), STLClientPriceCompute[[#This Row],[Desc without indent]]),"")</f>
        <v>Pre-loading Advance Cargo Information Filing (PLACI)</v>
      </c>
      <c r="Z11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Direct MAWB or HAWB</v>
      </c>
    </row>
    <row r="114" spans="2:26" x14ac:dyDescent="0.4">
      <c r="B114" s="15">
        <f>FIND(LEFT(TRIM(STLClientPriceCompute[[#This Row],[Description]]),1),STLClientPriceCompute[[#This Row],[Description]])-1</f>
        <v>2</v>
      </c>
      <c r="C114" s="19">
        <v>153</v>
      </c>
      <c r="D114" s="19"/>
      <c r="E114" s="19"/>
      <c r="F114" s="19" t="s">
        <v>250</v>
      </c>
      <c r="G114" s="19"/>
      <c r="H114" s="19" t="s">
        <v>87</v>
      </c>
      <c r="I114" s="20">
        <v>0</v>
      </c>
      <c r="J114" s="19"/>
      <c r="K114" s="19" t="s">
        <v>87</v>
      </c>
      <c r="L114" s="21">
        <v>0</v>
      </c>
      <c r="M114" s="19" t="s">
        <v>85</v>
      </c>
      <c r="N114" s="17">
        <f>_xlfn.IFNA(IF(STLClientPriceCompute[[#This Row],[Base Price (USD)]]="","", STLClientPriceCompute[[#This Row],[Base Price (USD)]]*VLOOKUP(_xlfn.CONCAT(STLClientPriceCompute[[#This Row],[Exchange Rate Group]],STLClientSpecificSettings[Currency]),ClientPriceExRate[[#All],[Ex-Currency]:[Exchange Rate]],2,FALSE)),"")</f>
        <v>0</v>
      </c>
      <c r="O11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14" s="22" cm="1">
        <f t="array" ref="P114">IF(STLClientSpecificSettings[Core Pack Excluded from Std volume discount]="EX",1, IF(STLClientSpecificSettings[Volume Price Adjustment]="HV", STLClientPriceCompute[[#This Row],[Category search for HV Base Discount]], STLClientSpecificSettings[Volume %]/100))</f>
        <v>1.5</v>
      </c>
      <c r="Q114" s="12" cm="1">
        <f t="array" ref="Q114">IF(ISBLANK(STLClientPriceCompute[[#This Row],[Category]]), 1, IF(ISNUMBER(SEARCH(CONCATENATE(STLClientPriceCompute[[#This Row],[Category]],"-",STLClientPriceCompute[[#This Row],[Code]]),STLClientSpecificSettings[VolumeBasedPriceItems])),STLClientSpecificSettings[Volume %]/100,1))</f>
        <v>1</v>
      </c>
      <c r="R114" s="12" cm="1">
        <f t="array" ref="R114">IF(STLClientSpecificSettings[Core Pack Excluded from Std volume discount]="UP",IF(OR(E114="USR",E114="RBU"),STLClientSpecificSettings[Core Uplift %]/100+1,1),1)</f>
        <v>1</v>
      </c>
      <c r="S11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14" s="26" t="str">
        <f>IF(STLClientPriceCompute[[#This Row],[Available]]="Y", "P",IF(STLClientPriceCompute[[#This Row],[Available]]="N","O",""))</f>
        <v/>
      </c>
      <c r="U114" s="85" t="str">
        <f>TRIM(STLClientPriceCompute[[#This Row],[Description]])</f>
        <v>Liner &amp; Agency Functions</v>
      </c>
      <c r="V114" s="82" t="str">
        <f>IF(STLClientPriceCompute[[#This Row],[Item Level]]=0,STLClientPriceCompute[[#This Row],[Desc without indent]],"")</f>
        <v/>
      </c>
      <c r="W114" s="82" t="str">
        <f>IF(STLClientPriceCompute[[#This Row],[Item Level]]=1,STLClientPriceCompute[[#This Row],[Desc without indent]],"")</f>
        <v/>
      </c>
      <c r="X114" s="82" t="str">
        <f>IF(STLClientPriceCompute[[#This Row],[Item Level]]=2,STLClientPriceCompute[[#This Row],[Desc without indent]],"")</f>
        <v>Liner &amp; Agency Functions</v>
      </c>
      <c r="Y114" s="82" t="str">
        <f>IF(STLClientPriceCompute[[#This Row],[Item Level]]&gt;=3,_xlfn.CONCAT(REPT(" ",STLClientPriceCompute[[#This Row],[Item Level]]-3), STLClientPriceCompute[[#This Row],[Desc without indent]]),"")</f>
        <v/>
      </c>
      <c r="Z11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15" spans="2:26" x14ac:dyDescent="0.4">
      <c r="B115" s="15">
        <f>FIND(LEFT(TRIM(STLClientPriceCompute[[#This Row],[Description]]),1),STLClientPriceCompute[[#This Row],[Description]])-1</f>
        <v>3</v>
      </c>
      <c r="C115" s="19">
        <v>154</v>
      </c>
      <c r="D115" s="19" t="s">
        <v>87</v>
      </c>
      <c r="E115" s="19" t="s">
        <v>251</v>
      </c>
      <c r="F115" s="19" t="s">
        <v>252</v>
      </c>
      <c r="G115" s="19"/>
      <c r="H115" s="19" t="s">
        <v>87</v>
      </c>
      <c r="I115" s="20">
        <v>3.4420899999999999</v>
      </c>
      <c r="J115" s="19" t="s">
        <v>253</v>
      </c>
      <c r="K115" s="19" t="s">
        <v>87</v>
      </c>
      <c r="L115" s="21">
        <v>34.420900000000003</v>
      </c>
      <c r="M115" s="19" t="s">
        <v>85</v>
      </c>
      <c r="N115" s="17">
        <f>_xlfn.IFNA(IF(STLClientPriceCompute[[#This Row],[Base Price (USD)]]="","", STLClientPriceCompute[[#This Row],[Base Price (USD)]]*VLOOKUP(_xlfn.CONCAT(STLClientPriceCompute[[#This Row],[Exchange Rate Group]],STLClientSpecificSettings[Currency]),ClientPriceExRate[[#All],[Ex-Currency]:[Exchange Rate]],2,FALSE)),"")</f>
        <v>4.8074294194</v>
      </c>
      <c r="O11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7.2111441291</v>
      </c>
      <c r="P115" s="22" cm="1">
        <f t="array" ref="P115">IF(STLClientSpecificSettings[Core Pack Excluded from Std volume discount]="EX",1, IF(STLClientSpecificSettings[Volume Price Adjustment]="HV", STLClientPriceCompute[[#This Row],[Category search for HV Base Discount]], STLClientSpecificSettings[Volume %]/100))</f>
        <v>1.5</v>
      </c>
      <c r="Q115" s="12" cm="1">
        <f t="array" ref="Q115">IF(ISBLANK(STLClientPriceCompute[[#This Row],[Category]]), 1, IF(ISNUMBER(SEARCH(CONCATENATE(STLClientPriceCompute[[#This Row],[Category]],"-",STLClientPriceCompute[[#This Row],[Code]]),STLClientSpecificSettings[VolumeBasedPriceItems])),STLClientSpecificSettings[Volume %]/100,1))</f>
        <v>1</v>
      </c>
      <c r="R115" s="12" cm="1">
        <f t="array" ref="R115">IF(STLClientSpecificSettings[Core Pack Excluded from Std volume discount]="UP",IF(OR(E115="USR",E115="RBU"),STLClientSpecificSettings[Core Uplift %]/100+1,1),1)</f>
        <v>1</v>
      </c>
      <c r="S11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51.631350000000005</v>
      </c>
      <c r="T115" s="26" t="str">
        <f>IF(STLClientPriceCompute[[#This Row],[Available]]="Y", "P",IF(STLClientPriceCompute[[#This Row],[Available]]="N","O",""))</f>
        <v/>
      </c>
      <c r="U115" s="85" t="str">
        <f>TRIM(STLClientPriceCompute[[#This Row],[Description]])</f>
        <v>Import/Export Shipping Customs Report</v>
      </c>
      <c r="V115" s="82" t="str">
        <f>IF(STLClientPriceCompute[[#This Row],[Item Level]]=0,STLClientPriceCompute[[#This Row],[Desc without indent]],"")</f>
        <v/>
      </c>
      <c r="W115" s="82" t="str">
        <f>IF(STLClientPriceCompute[[#This Row],[Item Level]]=1,STLClientPriceCompute[[#This Row],[Desc without indent]],"")</f>
        <v/>
      </c>
      <c r="X115" s="82" t="str">
        <f>IF(STLClientPriceCompute[[#This Row],[Item Level]]=2,STLClientPriceCompute[[#This Row],[Desc without indent]],"")</f>
        <v/>
      </c>
      <c r="Y115" s="82" t="str">
        <f>IF(STLClientPriceCompute[[#This Row],[Item Level]]&gt;=3,_xlfn.CONCAT(REPT(" ",STLClientPriceCompute[[#This Row],[Item Level]]-3), STLClientPriceCompute[[#This Row],[Desc without indent]]),"")</f>
        <v>Import/Export Shipping Customs Report</v>
      </c>
      <c r="Z11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OBL</v>
      </c>
    </row>
    <row r="116" spans="2:26" x14ac:dyDescent="0.4">
      <c r="B116" s="15">
        <f>FIND(LEFT(TRIM(STLClientPriceCompute[[#This Row],[Description]]),1),STLClientPriceCompute[[#This Row],[Description]])-1</f>
        <v>3</v>
      </c>
      <c r="C116" s="19">
        <v>155</v>
      </c>
      <c r="D116" s="19" t="s">
        <v>240</v>
      </c>
      <c r="E116" s="19" t="s">
        <v>254</v>
      </c>
      <c r="F116" s="19" t="s">
        <v>255</v>
      </c>
      <c r="G116" s="19"/>
      <c r="H116" s="19" t="s">
        <v>87</v>
      </c>
      <c r="I116" s="20">
        <v>0.86052300000000004</v>
      </c>
      <c r="J116" s="19" t="s">
        <v>115</v>
      </c>
      <c r="K116" s="19" t="s">
        <v>87</v>
      </c>
      <c r="L116" s="21">
        <v>8.6052300000000006</v>
      </c>
      <c r="M116" s="19" t="s">
        <v>85</v>
      </c>
      <c r="N116"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1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16" s="22" cm="1">
        <f t="array" ref="P116">IF(STLClientSpecificSettings[Core Pack Excluded from Std volume discount]="EX",1, IF(STLClientSpecificSettings[Volume Price Adjustment]="HV", STLClientPriceCompute[[#This Row],[Category search for HV Base Discount]], STLClientSpecificSettings[Volume %]/100))</f>
        <v>1.5</v>
      </c>
      <c r="Q116" s="12" cm="1">
        <f t="array" ref="Q116">IF(ISBLANK(STLClientPriceCompute[[#This Row],[Category]]), 1, IF(ISNUMBER(SEARCH(CONCATENATE(STLClientPriceCompute[[#This Row],[Category]],"-",STLClientPriceCompute[[#This Row],[Code]]),STLClientSpecificSettings[VolumeBasedPriceItems])),STLClientSpecificSettings[Volume %]/100,1))</f>
        <v>1</v>
      </c>
      <c r="R116" s="12" cm="1">
        <f t="array" ref="R116">IF(STLClientSpecificSettings[Core Pack Excluded from Std volume discount]="UP",IF(OR(E116="USR",E116="RBU"),STLClientSpecificSettings[Core Uplift %]/100+1,1),1)</f>
        <v>1</v>
      </c>
      <c r="S11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16" s="26" t="str">
        <f>IF(STLClientPriceCompute[[#This Row],[Available]]="Y", "P",IF(STLClientPriceCompute[[#This Row],[Available]]="N","O",""))</f>
        <v/>
      </c>
      <c r="U116" s="85" t="str">
        <f>TRIM(STLClientPriceCompute[[#This Row],[Description]])</f>
        <v>Container Release/Container Arrive PreAdvice/Delivery Order</v>
      </c>
      <c r="V116" s="82" t="str">
        <f>IF(STLClientPriceCompute[[#This Row],[Item Level]]=0,STLClientPriceCompute[[#This Row],[Desc without indent]],"")</f>
        <v/>
      </c>
      <c r="W116" s="82" t="str">
        <f>IF(STLClientPriceCompute[[#This Row],[Item Level]]=1,STLClientPriceCompute[[#This Row],[Desc without indent]],"")</f>
        <v/>
      </c>
      <c r="X116" s="82" t="str">
        <f>IF(STLClientPriceCompute[[#This Row],[Item Level]]=2,STLClientPriceCompute[[#This Row],[Desc without indent]],"")</f>
        <v/>
      </c>
      <c r="Y116" s="82" t="str">
        <f>IF(STLClientPriceCompute[[#This Row],[Item Level]]&gt;=3,_xlfn.CONCAT(REPT(" ",STLClientPriceCompute[[#This Row],[Item Level]]-3), STLClientPriceCompute[[#This Row],[Desc without indent]]),"")</f>
        <v>Container Release/Container Arrive PreAdvice/Delivery Order</v>
      </c>
      <c r="Z11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Container</v>
      </c>
    </row>
    <row r="117" spans="2:26" x14ac:dyDescent="0.4">
      <c r="B117" s="15">
        <f>FIND(LEFT(TRIM(STLClientPriceCompute[[#This Row],[Description]]),1),STLClientPriceCompute[[#This Row],[Description]])-1</f>
        <v>3</v>
      </c>
      <c r="C117" s="19">
        <v>156</v>
      </c>
      <c r="D117" s="19" t="s">
        <v>240</v>
      </c>
      <c r="E117" s="19" t="s">
        <v>256</v>
      </c>
      <c r="F117" s="19" t="s">
        <v>257</v>
      </c>
      <c r="G117" s="19"/>
      <c r="H117" s="19" t="s">
        <v>87</v>
      </c>
      <c r="I117" s="20">
        <v>0.28684100000000001</v>
      </c>
      <c r="J117" s="19" t="s">
        <v>258</v>
      </c>
      <c r="K117" s="19" t="s">
        <v>87</v>
      </c>
      <c r="L117" s="21">
        <v>2.8684099999999999</v>
      </c>
      <c r="M117" s="19" t="s">
        <v>85</v>
      </c>
      <c r="N117" s="17">
        <f>_xlfn.IFNA(IF(STLClientPriceCompute[[#This Row],[Base Price (USD)]]="","", STLClientPriceCompute[[#This Row],[Base Price (USD)]]*VLOOKUP(_xlfn.CONCAT(STLClientPriceCompute[[#This Row],[Exchange Rate Group]],STLClientSpecificSettings[Currency]),ClientPriceExRate[[#All],[Ex-Currency]:[Exchange Rate]],2,FALSE)),"")</f>
        <v>0.40061935106000002</v>
      </c>
      <c r="O11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0.60092902659000003</v>
      </c>
      <c r="P117" s="22" cm="1">
        <f t="array" ref="P117">IF(STLClientSpecificSettings[Core Pack Excluded from Std volume discount]="EX",1, IF(STLClientSpecificSettings[Volume Price Adjustment]="HV", STLClientPriceCompute[[#This Row],[Category search for HV Base Discount]], STLClientSpecificSettings[Volume %]/100))</f>
        <v>1.5</v>
      </c>
      <c r="Q117" s="12" cm="1">
        <f t="array" ref="Q117">IF(ISBLANK(STLClientPriceCompute[[#This Row],[Category]]), 1, IF(ISNUMBER(SEARCH(CONCATENATE(STLClientPriceCompute[[#This Row],[Category]],"-",STLClientPriceCompute[[#This Row],[Code]]),STLClientSpecificSettings[VolumeBasedPriceItems])),STLClientSpecificSettings[Volume %]/100,1))</f>
        <v>1</v>
      </c>
      <c r="R117" s="12" cm="1">
        <f t="array" ref="R117">IF(STLClientSpecificSettings[Core Pack Excluded from Std volume discount]="UP",IF(OR(E117="USR",E117="RBU"),STLClientSpecificSettings[Core Uplift %]/100+1,1),1)</f>
        <v>1</v>
      </c>
      <c r="S11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4.3026149999999994</v>
      </c>
      <c r="T117" s="26" t="str">
        <f>IF(STLClientPriceCompute[[#This Row],[Available]]="Y", "P",IF(STLClientPriceCompute[[#This Row],[Available]]="N","O",""))</f>
        <v/>
      </c>
      <c r="U117" s="85" t="str">
        <f>TRIM(STLClientPriceCompute[[#This Row],[Description]])</f>
        <v>Port Authority/Stevedore Manifest (Shipping Manifest, Load/Discharge List)</v>
      </c>
      <c r="V117" s="82" t="str">
        <f>IF(STLClientPriceCompute[[#This Row],[Item Level]]=0,STLClientPriceCompute[[#This Row],[Desc without indent]],"")</f>
        <v/>
      </c>
      <c r="W117" s="82" t="str">
        <f>IF(STLClientPriceCompute[[#This Row],[Item Level]]=1,STLClientPriceCompute[[#This Row],[Desc without indent]],"")</f>
        <v/>
      </c>
      <c r="X117" s="82" t="str">
        <f>IF(STLClientPriceCompute[[#This Row],[Item Level]]=2,STLClientPriceCompute[[#This Row],[Desc without indent]],"")</f>
        <v/>
      </c>
      <c r="Y117" s="82" t="str">
        <f>IF(STLClientPriceCompute[[#This Row],[Item Level]]&gt;=3,_xlfn.CONCAT(REPT(" ",STLClientPriceCompute[[#This Row],[Item Level]]-3), STLClientPriceCompute[[#This Row],[Desc without indent]]),"")</f>
        <v>Port Authority/Stevedore Manifest (Shipping Manifest, Load/Discharge List)</v>
      </c>
      <c r="Z11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Bill of Lading</v>
      </c>
    </row>
    <row r="118" spans="2:26" x14ac:dyDescent="0.4">
      <c r="B118" s="15">
        <f>FIND(LEFT(TRIM(STLClientPriceCompute[[#This Row],[Description]]),1),STLClientPriceCompute[[#This Row],[Description]])-1</f>
        <v>3</v>
      </c>
      <c r="C118" s="19">
        <v>157</v>
      </c>
      <c r="D118" s="19"/>
      <c r="E118" s="19"/>
      <c r="F118" s="19" t="s">
        <v>259</v>
      </c>
      <c r="G118" s="19"/>
      <c r="H118" s="19" t="s">
        <v>87</v>
      </c>
      <c r="I118" s="20">
        <v>0.86052300000000004</v>
      </c>
      <c r="J118" s="19" t="s">
        <v>260</v>
      </c>
      <c r="K118" s="19" t="s">
        <v>87</v>
      </c>
      <c r="L118" s="21">
        <v>8.6052300000000006</v>
      </c>
      <c r="M118" s="19" t="s">
        <v>85</v>
      </c>
      <c r="N118" s="17">
        <f>_xlfn.IFNA(IF(STLClientPriceCompute[[#This Row],[Base Price (USD)]]="","", STLClientPriceCompute[[#This Row],[Base Price (USD)]]*VLOOKUP(_xlfn.CONCAT(STLClientPriceCompute[[#This Row],[Exchange Rate Group]],STLClientSpecificSettings[Currency]),ClientPriceExRate[[#All],[Ex-Currency]:[Exchange Rate]],2,FALSE)),"")</f>
        <v>1.2018580531800001</v>
      </c>
      <c r="O11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1.8027870797700001</v>
      </c>
      <c r="P118" s="22" cm="1">
        <f t="array" ref="P118">IF(STLClientSpecificSettings[Core Pack Excluded from Std volume discount]="EX",1, IF(STLClientSpecificSettings[Volume Price Adjustment]="HV", STLClientPriceCompute[[#This Row],[Category search for HV Base Discount]], STLClientSpecificSettings[Volume %]/100))</f>
        <v>1.5</v>
      </c>
      <c r="Q118" s="12" cm="1">
        <f t="array" ref="Q118">IF(ISBLANK(STLClientPriceCompute[[#This Row],[Category]]), 1, IF(ISNUMBER(SEARCH(CONCATENATE(STLClientPriceCompute[[#This Row],[Category]],"-",STLClientPriceCompute[[#This Row],[Code]]),STLClientSpecificSettings[VolumeBasedPriceItems])),STLClientSpecificSettings[Volume %]/100,1))</f>
        <v>1</v>
      </c>
      <c r="R118" s="12" cm="1">
        <f t="array" ref="R118">IF(STLClientSpecificSettings[Core Pack Excluded from Std volume discount]="UP",IF(OR(E118="USR",E118="RBU"),STLClientSpecificSettings[Core Uplift %]/100+1,1),1)</f>
        <v>1</v>
      </c>
      <c r="S11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12.907845000000002</v>
      </c>
      <c r="T118" s="26" t="str">
        <f>IF(STLClientPriceCompute[[#This Row],[Available]]="Y", "P",IF(STLClientPriceCompute[[#This Row],[Available]]="N","O",""))</f>
        <v/>
      </c>
      <c r="U118" s="85" t="str">
        <f>TRIM(STLClientPriceCompute[[#This Row],[Description]])</f>
        <v>Dangerous Goods Declaration</v>
      </c>
      <c r="V118" s="82" t="str">
        <f>IF(STLClientPriceCompute[[#This Row],[Item Level]]=0,STLClientPriceCompute[[#This Row],[Desc without indent]],"")</f>
        <v/>
      </c>
      <c r="W118" s="82" t="str">
        <f>IF(STLClientPriceCompute[[#This Row],[Item Level]]=1,STLClientPriceCompute[[#This Row],[Desc without indent]],"")</f>
        <v/>
      </c>
      <c r="X118" s="82" t="str">
        <f>IF(STLClientPriceCompute[[#This Row],[Item Level]]=2,STLClientPriceCompute[[#This Row],[Desc without indent]],"")</f>
        <v/>
      </c>
      <c r="Y118" s="82" t="str">
        <f>IF(STLClientPriceCompute[[#This Row],[Item Level]]&gt;=3,_xlfn.CONCAT(REPT(" ",STLClientPriceCompute[[#This Row],[Item Level]]-3), STLClientPriceCompute[[#This Row],[Desc without indent]]),"")</f>
        <v>Dangerous Goods Declaration</v>
      </c>
      <c r="Z11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Bill of Lading with DG</v>
      </c>
    </row>
    <row r="119" spans="2:26" x14ac:dyDescent="0.4">
      <c r="B119" s="15">
        <f>FIND(LEFT(TRIM(STLClientPriceCompute[[#This Row],[Description]]),1),STLClientPriceCompute[[#This Row],[Description]])-1</f>
        <v>3</v>
      </c>
      <c r="C119" s="19">
        <v>158</v>
      </c>
      <c r="D119" s="19" t="s">
        <v>87</v>
      </c>
      <c r="E119" s="19" t="s">
        <v>261</v>
      </c>
      <c r="F119" s="19" t="s">
        <v>262</v>
      </c>
      <c r="G119" s="19"/>
      <c r="H119" s="19" t="s">
        <v>87</v>
      </c>
      <c r="I119" s="20">
        <v>5.7368000000000002E-2</v>
      </c>
      <c r="J119" s="19" t="s">
        <v>263</v>
      </c>
      <c r="K119" s="19" t="s">
        <v>87</v>
      </c>
      <c r="L119" s="21">
        <v>0.57367999999999997</v>
      </c>
      <c r="M119" s="19" t="s">
        <v>85</v>
      </c>
      <c r="N119"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11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119" s="22" cm="1">
        <f t="array" ref="P119">IF(STLClientSpecificSettings[Core Pack Excluded from Std volume discount]="EX",1, IF(STLClientSpecificSettings[Volume Price Adjustment]="HV", STLClientPriceCompute[[#This Row],[Category search for HV Base Discount]], STLClientSpecificSettings[Volume %]/100))</f>
        <v>1.5</v>
      </c>
      <c r="Q119" s="12" cm="1">
        <f t="array" ref="Q119">IF(ISBLANK(STLClientPriceCompute[[#This Row],[Category]]), 1, IF(ISNUMBER(SEARCH(CONCATENATE(STLClientPriceCompute[[#This Row],[Category]],"-",STLClientPriceCompute[[#This Row],[Code]]),STLClientSpecificSettings[VolumeBasedPriceItems])),STLClientSpecificSettings[Volume %]/100,1))</f>
        <v>1</v>
      </c>
      <c r="R119" s="12" cm="1">
        <f t="array" ref="R119">IF(STLClientSpecificSettings[Core Pack Excluded from Std volume discount]="UP",IF(OR(E119="USR",E119="RBU"),STLClientSpecificSettings[Core Uplift %]/100+1,1),1)</f>
        <v>1</v>
      </c>
      <c r="S11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119" s="26" t="str">
        <f>IF(STLClientPriceCompute[[#This Row],[Available]]="Y", "P",IF(STLClientPriceCompute[[#This Row],[Available]]="N","O",""))</f>
        <v/>
      </c>
      <c r="U119" s="85" t="str">
        <f>TRIM(STLClientPriceCompute[[#This Row],[Description]])</f>
        <v>Container Movement Tracking</v>
      </c>
      <c r="V119" s="82" t="str">
        <f>IF(STLClientPriceCompute[[#This Row],[Item Level]]=0,STLClientPriceCompute[[#This Row],[Desc without indent]],"")</f>
        <v/>
      </c>
      <c r="W119" s="82" t="str">
        <f>IF(STLClientPriceCompute[[#This Row],[Item Level]]=1,STLClientPriceCompute[[#This Row],[Desc without indent]],"")</f>
        <v/>
      </c>
      <c r="X119" s="82" t="str">
        <f>IF(STLClientPriceCompute[[#This Row],[Item Level]]=2,STLClientPriceCompute[[#This Row],[Desc without indent]],"")</f>
        <v/>
      </c>
      <c r="Y119" s="82" t="str">
        <f>IF(STLClientPriceCompute[[#This Row],[Item Level]]&gt;=3,_xlfn.CONCAT(REPT(" ",STLClientPriceCompute[[#This Row],[Item Level]]-3), STLClientPriceCompute[[#This Row],[Desc without indent]]),"")</f>
        <v>Container Movement Tracking</v>
      </c>
      <c r="Z11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Movement</v>
      </c>
    </row>
    <row r="120" spans="2:26" x14ac:dyDescent="0.4">
      <c r="B120" s="15">
        <f>FIND(LEFT(TRIM(STLClientPriceCompute[[#This Row],[Description]]),1),STLClientPriceCompute[[#This Row],[Description]])-1</f>
        <v>2</v>
      </c>
      <c r="C120" s="19">
        <v>159</v>
      </c>
      <c r="D120" s="19"/>
      <c r="E120" s="19"/>
      <c r="F120" s="19" t="s">
        <v>264</v>
      </c>
      <c r="G120" s="19"/>
      <c r="H120" s="19" t="s">
        <v>87</v>
      </c>
      <c r="I120" s="20">
        <v>0</v>
      </c>
      <c r="J120" s="19"/>
      <c r="K120" s="19" t="s">
        <v>87</v>
      </c>
      <c r="L120" s="21">
        <v>0</v>
      </c>
      <c r="M120" s="19" t="s">
        <v>85</v>
      </c>
      <c r="N120" s="17">
        <f>_xlfn.IFNA(IF(STLClientPriceCompute[[#This Row],[Base Price (USD)]]="","", STLClientPriceCompute[[#This Row],[Base Price (USD)]]*VLOOKUP(_xlfn.CONCAT(STLClientPriceCompute[[#This Row],[Exchange Rate Group]],STLClientSpecificSettings[Currency]),ClientPriceExRate[[#All],[Ex-Currency]:[Exchange Rate]],2,FALSE)),"")</f>
        <v>0</v>
      </c>
      <c r="O12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20" s="22" cm="1">
        <f t="array" ref="P120">IF(STLClientSpecificSettings[Core Pack Excluded from Std volume discount]="EX",1, IF(STLClientSpecificSettings[Volume Price Adjustment]="HV", STLClientPriceCompute[[#This Row],[Category search for HV Base Discount]], STLClientSpecificSettings[Volume %]/100))</f>
        <v>1.5</v>
      </c>
      <c r="Q120" s="12" cm="1">
        <f t="array" ref="Q120">IF(ISBLANK(STLClientPriceCompute[[#This Row],[Category]]), 1, IF(ISNUMBER(SEARCH(CONCATENATE(STLClientPriceCompute[[#This Row],[Category]],"-",STLClientPriceCompute[[#This Row],[Code]]),STLClientSpecificSettings[VolumeBasedPriceItems])),STLClientSpecificSettings[Volume %]/100,1))</f>
        <v>1</v>
      </c>
      <c r="R120" s="12" cm="1">
        <f t="array" ref="R120">IF(STLClientSpecificSettings[Core Pack Excluded from Std volume discount]="UP",IF(OR(E120="USR",E120="RBU"),STLClientSpecificSettings[Core Uplift %]/100+1,1),1)</f>
        <v>1</v>
      </c>
      <c r="S12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20" s="26" t="str">
        <f>IF(STLClientPriceCompute[[#This Row],[Available]]="Y", "P",IF(STLClientPriceCompute[[#This Row],[Available]]="N","O",""))</f>
        <v/>
      </c>
      <c r="U120" s="85" t="str">
        <f>TRIM(STLClientPriceCompute[[#This Row],[Description]])</f>
        <v>Forwarding Port Messaging</v>
      </c>
      <c r="V120" s="82" t="str">
        <f>IF(STLClientPriceCompute[[#This Row],[Item Level]]=0,STLClientPriceCompute[[#This Row],[Desc without indent]],"")</f>
        <v/>
      </c>
      <c r="W120" s="82" t="str">
        <f>IF(STLClientPriceCompute[[#This Row],[Item Level]]=1,STLClientPriceCompute[[#This Row],[Desc without indent]],"")</f>
        <v/>
      </c>
      <c r="X120" s="82" t="str">
        <f>IF(STLClientPriceCompute[[#This Row],[Item Level]]=2,STLClientPriceCompute[[#This Row],[Desc without indent]],"")</f>
        <v>Forwarding Port Messaging</v>
      </c>
      <c r="Y120" s="82" t="str">
        <f>IF(STLClientPriceCompute[[#This Row],[Item Level]]&gt;=3,_xlfn.CONCAT(REPT(" ",STLClientPriceCompute[[#This Row],[Item Level]]-3), STLClientPriceCompute[[#This Row],[Desc without indent]]),"")</f>
        <v/>
      </c>
      <c r="Z12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21" spans="2:26" x14ac:dyDescent="0.4">
      <c r="B121" s="15">
        <f>FIND(LEFT(TRIM(STLClientPriceCompute[[#This Row],[Description]]),1),STLClientPriceCompute[[#This Row],[Description]])-1</f>
        <v>3</v>
      </c>
      <c r="C121" s="19">
        <v>160</v>
      </c>
      <c r="D121" s="19" t="s">
        <v>265</v>
      </c>
      <c r="E121" s="19" t="s">
        <v>266</v>
      </c>
      <c r="F121" s="19" t="s">
        <v>267</v>
      </c>
      <c r="G121" s="19"/>
      <c r="H121" s="19" t="s">
        <v>87</v>
      </c>
      <c r="I121" s="20">
        <v>1.5259929999999999</v>
      </c>
      <c r="J121" s="19" t="s">
        <v>187</v>
      </c>
      <c r="K121" s="19" t="s">
        <v>87</v>
      </c>
      <c r="L121" s="21">
        <v>15.259930000000001</v>
      </c>
      <c r="M121" s="19" t="s">
        <v>85</v>
      </c>
      <c r="N121" s="17">
        <f>_xlfn.IFNA(IF(STLClientPriceCompute[[#This Row],[Base Price (USD)]]="","", STLClientPriceCompute[[#This Row],[Base Price (USD)]]*VLOOKUP(_xlfn.CONCAT(STLClientPriceCompute[[#This Row],[Exchange Rate Group]],STLClientSpecificSettings[Currency]),ClientPriceExRate[[#All],[Ex-Currency]:[Exchange Rate]],2,FALSE)),"")</f>
        <v>2.1312933833800001</v>
      </c>
      <c r="O12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3.1969400750700001</v>
      </c>
      <c r="P121" s="22" cm="1">
        <f t="array" ref="P121">IF(STLClientSpecificSettings[Core Pack Excluded from Std volume discount]="EX",1, IF(STLClientSpecificSettings[Volume Price Adjustment]="HV", STLClientPriceCompute[[#This Row],[Category search for HV Base Discount]], STLClientSpecificSettings[Volume %]/100))</f>
        <v>1.5</v>
      </c>
      <c r="Q121" s="12" cm="1">
        <f t="array" ref="Q121">IF(ISBLANK(STLClientPriceCompute[[#This Row],[Category]]), 1, IF(ISNUMBER(SEARCH(CONCATENATE(STLClientPriceCompute[[#This Row],[Category]],"-",STLClientPriceCompute[[#This Row],[Code]]),STLClientSpecificSettings[VolumeBasedPriceItems])),STLClientSpecificSettings[Volume %]/100,1))</f>
        <v>1</v>
      </c>
      <c r="R121" s="12" cm="1">
        <f t="array" ref="R121">IF(STLClientSpecificSettings[Core Pack Excluded from Std volume discount]="UP",IF(OR(E121="USR",E121="RBU"),STLClientSpecificSettings[Core Uplift %]/100+1,1),1)</f>
        <v>1</v>
      </c>
      <c r="S12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22.889895000000003</v>
      </c>
      <c r="T121" s="26" t="str">
        <f>IF(STLClientPriceCompute[[#This Row],[Available]]="Y", "P",IF(STLClientPriceCompute[[#This Row],[Available]]="N","O",""))</f>
        <v/>
      </c>
      <c r="U121" s="85" t="str">
        <f>TRIM(STLClientPriceCompute[[#This Row],[Description]])</f>
        <v>Port Messaging Data Record / Original Entry (eg. MRN)</v>
      </c>
      <c r="V121" s="82" t="str">
        <f>IF(STLClientPriceCompute[[#This Row],[Item Level]]=0,STLClientPriceCompute[[#This Row],[Desc without indent]],"")</f>
        <v/>
      </c>
      <c r="W121" s="82" t="str">
        <f>IF(STLClientPriceCompute[[#This Row],[Item Level]]=1,STLClientPriceCompute[[#This Row],[Desc without indent]],"")</f>
        <v/>
      </c>
      <c r="X121" s="82" t="str">
        <f>IF(STLClientPriceCompute[[#This Row],[Item Level]]=2,STLClientPriceCompute[[#This Row],[Desc without indent]],"")</f>
        <v/>
      </c>
      <c r="Y121" s="82" t="str">
        <f>IF(STLClientPriceCompute[[#This Row],[Item Level]]&gt;=3,_xlfn.CONCAT(REPT(" ",STLClientPriceCompute[[#This Row],[Item Level]]-3), STLClientPriceCompute[[#This Row],[Desc without indent]]),"")</f>
        <v>Port Messaging Data Record / Original Entry (eg. MRN)</v>
      </c>
      <c r="Z12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Registration/First Message</v>
      </c>
    </row>
    <row r="122" spans="2:26" x14ac:dyDescent="0.4">
      <c r="B122" s="15">
        <f>FIND(LEFT(TRIM(STLClientPriceCompute[[#This Row],[Description]]),1),STLClientPriceCompute[[#This Row],[Description]])-1</f>
        <v>3</v>
      </c>
      <c r="C122" s="19">
        <v>161</v>
      </c>
      <c r="D122" s="19" t="s">
        <v>265</v>
      </c>
      <c r="E122" s="19" t="s">
        <v>268</v>
      </c>
      <c r="F122" s="19" t="s">
        <v>269</v>
      </c>
      <c r="G122" s="19"/>
      <c r="H122" s="19" t="s">
        <v>87</v>
      </c>
      <c r="I122" s="20">
        <v>0.76299700000000004</v>
      </c>
      <c r="J122" s="19" t="s">
        <v>270</v>
      </c>
      <c r="K122" s="19" t="s">
        <v>87</v>
      </c>
      <c r="L122" s="21">
        <v>7.6299700000000001</v>
      </c>
      <c r="M122" s="19" t="s">
        <v>85</v>
      </c>
      <c r="N122" s="17">
        <f>_xlfn.IFNA(IF(STLClientPriceCompute[[#This Row],[Base Price (USD)]]="","", STLClientPriceCompute[[#This Row],[Base Price (USD)]]*VLOOKUP(_xlfn.CONCAT(STLClientPriceCompute[[#This Row],[Exchange Rate Group]],STLClientSpecificSettings[Currency]),ClientPriceExRate[[#All],[Ex-Currency]:[Exchange Rate]],2,FALSE)),"")</f>
        <v>1.0656473900200001</v>
      </c>
      <c r="O12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1.5984710850300001</v>
      </c>
      <c r="P122" s="22" cm="1">
        <f t="array" ref="P122">IF(STLClientSpecificSettings[Core Pack Excluded from Std volume discount]="EX",1, IF(STLClientSpecificSettings[Volume Price Adjustment]="HV", STLClientPriceCompute[[#This Row],[Category search for HV Base Discount]], STLClientSpecificSettings[Volume %]/100))</f>
        <v>1.5</v>
      </c>
      <c r="Q122" s="12" cm="1">
        <f t="array" ref="Q122">IF(ISBLANK(STLClientPriceCompute[[#This Row],[Category]]), 1, IF(ISNUMBER(SEARCH(CONCATENATE(STLClientPriceCompute[[#This Row],[Category]],"-",STLClientPriceCompute[[#This Row],[Code]]),STLClientSpecificSettings[VolumeBasedPriceItems])),STLClientSpecificSettings[Volume %]/100,1))</f>
        <v>1</v>
      </c>
      <c r="R122" s="12" cm="1">
        <f t="array" ref="R122">IF(STLClientSpecificSettings[Core Pack Excluded from Std volume discount]="UP",IF(OR(E122="USR",E122="RBU"),STLClientSpecificSettings[Core Uplift %]/100+1,1),1)</f>
        <v>1</v>
      </c>
      <c r="S12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11.444955</v>
      </c>
      <c r="T122" s="26" t="str">
        <f>IF(STLClientPriceCompute[[#This Row],[Available]]="Y", "P",IF(STLClientPriceCompute[[#This Row],[Available]]="N","O",""))</f>
        <v/>
      </c>
      <c r="U122" s="85" t="str">
        <f>TRIM(STLClientPriceCompute[[#This Row],[Description]])</f>
        <v>Port Other Messages (eManifest /eCLP /eTerminal Release/Delivery/Stop/Gate Pass/Request/Cert/Cargo Dues etc)</v>
      </c>
      <c r="V122" s="82" t="str">
        <f>IF(STLClientPriceCompute[[#This Row],[Item Level]]=0,STLClientPriceCompute[[#This Row],[Desc without indent]],"")</f>
        <v/>
      </c>
      <c r="W122" s="82" t="str">
        <f>IF(STLClientPriceCompute[[#This Row],[Item Level]]=1,STLClientPriceCompute[[#This Row],[Desc without indent]],"")</f>
        <v/>
      </c>
      <c r="X122" s="82" t="str">
        <f>IF(STLClientPriceCompute[[#This Row],[Item Level]]=2,STLClientPriceCompute[[#This Row],[Desc without indent]],"")</f>
        <v/>
      </c>
      <c r="Y122" s="82" t="str">
        <f>IF(STLClientPriceCompute[[#This Row],[Item Level]]&gt;=3,_xlfn.CONCAT(REPT(" ",STLClientPriceCompute[[#This Row],[Item Level]]-3), STLClientPriceCompute[[#This Row],[Desc without indent]]),"")</f>
        <v>Port Other Messages (eManifest /eCLP /eTerminal Release/Delivery/Stop/Gate Pass/Request/Cert/Cargo Dues etc)</v>
      </c>
      <c r="Z12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Message</v>
      </c>
    </row>
    <row r="123" spans="2:26" x14ac:dyDescent="0.4">
      <c r="B123" s="15">
        <f>FIND(LEFT(TRIM(STLClientPriceCompute[[#This Row],[Description]]),1),STLClientPriceCompute[[#This Row],[Description]])-1</f>
        <v>3</v>
      </c>
      <c r="C123" s="19">
        <v>162</v>
      </c>
      <c r="D123" s="19" t="s">
        <v>265</v>
      </c>
      <c r="E123" s="19" t="s">
        <v>271</v>
      </c>
      <c r="F123" s="19" t="s">
        <v>272</v>
      </c>
      <c r="G123" s="19"/>
      <c r="H123" s="19" t="s">
        <v>87</v>
      </c>
      <c r="I123" s="20">
        <v>0.37863000000000002</v>
      </c>
      <c r="J123" s="19" t="s">
        <v>270</v>
      </c>
      <c r="K123" s="19" t="s">
        <v>87</v>
      </c>
      <c r="L123" s="21">
        <v>3.7863000000000002</v>
      </c>
      <c r="M123" s="19" t="s">
        <v>85</v>
      </c>
      <c r="N123" s="17">
        <f>_xlfn.IFNA(IF(STLClientPriceCompute[[#This Row],[Base Price (USD)]]="","", STLClientPriceCompute[[#This Row],[Base Price (USD)]]*VLOOKUP(_xlfn.CONCAT(STLClientPriceCompute[[#This Row],[Exchange Rate Group]],STLClientSpecificSettings[Currency]),ClientPriceExRate[[#All],[Ex-Currency]:[Exchange Rate]],2,FALSE)),"")</f>
        <v>0.52881737579999999</v>
      </c>
      <c r="O12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0.79322606369999993</v>
      </c>
      <c r="P123" s="22" cm="1">
        <f t="array" ref="P123">IF(STLClientSpecificSettings[Core Pack Excluded from Std volume discount]="EX",1, IF(STLClientSpecificSettings[Volume Price Adjustment]="HV", STLClientPriceCompute[[#This Row],[Category search for HV Base Discount]], STLClientSpecificSettings[Volume %]/100))</f>
        <v>1.5</v>
      </c>
      <c r="Q123" s="12" cm="1">
        <f t="array" ref="Q123">IF(ISBLANK(STLClientPriceCompute[[#This Row],[Category]]), 1, IF(ISNUMBER(SEARCH(CONCATENATE(STLClientPriceCompute[[#This Row],[Category]],"-",STLClientPriceCompute[[#This Row],[Code]]),STLClientSpecificSettings[VolumeBasedPriceItems])),STLClientSpecificSettings[Volume %]/100,1))</f>
        <v>1</v>
      </c>
      <c r="R123" s="12" cm="1">
        <f t="array" ref="R123">IF(STLClientSpecificSettings[Core Pack Excluded from Std volume discount]="UP",IF(OR(E123="USR",E123="RBU"),STLClientSpecificSettings[Core Uplift %]/100+1,1),1)</f>
        <v>1</v>
      </c>
      <c r="S12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5.6794500000000001</v>
      </c>
      <c r="T123" s="26" t="str">
        <f>IF(STLClientPriceCompute[[#This Row],[Available]]="Y", "P",IF(STLClientPriceCompute[[#This Row],[Available]]="N","O",""))</f>
        <v/>
      </c>
      <c r="U123" s="85" t="str">
        <f>TRIM(STLClientPriceCompute[[#This Row],[Description]])</f>
        <v>Port Status</v>
      </c>
      <c r="V123" s="82" t="str">
        <f>IF(STLClientPriceCompute[[#This Row],[Item Level]]=0,STLClientPriceCompute[[#This Row],[Desc without indent]],"")</f>
        <v/>
      </c>
      <c r="W123" s="82" t="str">
        <f>IF(STLClientPriceCompute[[#This Row],[Item Level]]=1,STLClientPriceCompute[[#This Row],[Desc without indent]],"")</f>
        <v/>
      </c>
      <c r="X123" s="82" t="str">
        <f>IF(STLClientPriceCompute[[#This Row],[Item Level]]=2,STLClientPriceCompute[[#This Row],[Desc without indent]],"")</f>
        <v/>
      </c>
      <c r="Y123" s="82" t="str">
        <f>IF(STLClientPriceCompute[[#This Row],[Item Level]]&gt;=3,_xlfn.CONCAT(REPT(" ",STLClientPriceCompute[[#This Row],[Item Level]]-3), STLClientPriceCompute[[#This Row],[Desc without indent]]),"")</f>
        <v>Port Status</v>
      </c>
      <c r="Z12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Message</v>
      </c>
    </row>
    <row r="124" spans="2:26" x14ac:dyDescent="0.4">
      <c r="B124" s="15">
        <f>FIND(LEFT(TRIM(STLClientPriceCompute[[#This Row],[Description]]),1),STLClientPriceCompute[[#This Row],[Description]])-1</f>
        <v>0</v>
      </c>
      <c r="C124" s="19">
        <v>163</v>
      </c>
      <c r="D124" s="19"/>
      <c r="E124" s="19"/>
      <c r="F124" s="19" t="s">
        <v>273</v>
      </c>
      <c r="G124" s="19"/>
      <c r="H124" s="19" t="s">
        <v>87</v>
      </c>
      <c r="I124" s="20">
        <v>0</v>
      </c>
      <c r="J124" s="19"/>
      <c r="K124" s="19" t="s">
        <v>87</v>
      </c>
      <c r="L124" s="21">
        <v>0</v>
      </c>
      <c r="M124" s="19" t="s">
        <v>274</v>
      </c>
      <c r="N124" s="17">
        <f>_xlfn.IFNA(IF(STLClientPriceCompute[[#This Row],[Base Price (USD)]]="","", STLClientPriceCompute[[#This Row],[Base Price (USD)]]*VLOOKUP(_xlfn.CONCAT(STLClientPriceCompute[[#This Row],[Exchange Rate Group]],STLClientSpecificSettings[Currency]),ClientPriceExRate[[#All],[Ex-Currency]:[Exchange Rate]],2,FALSE)),"")</f>
        <v>0</v>
      </c>
      <c r="O12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24" s="22" cm="1">
        <f t="array" ref="P124">IF(STLClientSpecificSettings[Core Pack Excluded from Std volume discount]="EX",1, IF(STLClientSpecificSettings[Volume Price Adjustment]="HV", STLClientPriceCompute[[#This Row],[Category search for HV Base Discount]], STLClientSpecificSettings[Volume %]/100))</f>
        <v>1.5</v>
      </c>
      <c r="Q124" s="12" cm="1">
        <f t="array" ref="Q124">IF(ISBLANK(STLClientPriceCompute[[#This Row],[Category]]), 1, IF(ISNUMBER(SEARCH(CONCATENATE(STLClientPriceCompute[[#This Row],[Category]],"-",STLClientPriceCompute[[#This Row],[Code]]),STLClientSpecificSettings[VolumeBasedPriceItems])),STLClientSpecificSettings[Volume %]/100,1))</f>
        <v>1</v>
      </c>
      <c r="R124" s="12" cm="1">
        <f t="array" ref="R124">IF(STLClientSpecificSettings[Core Pack Excluded from Std volume discount]="UP",IF(OR(E124="USR",E124="RBU"),STLClientSpecificSettings[Core Uplift %]/100+1,1),1)</f>
        <v>1</v>
      </c>
      <c r="S12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24" s="26" t="str">
        <f>IF(STLClientPriceCompute[[#This Row],[Available]]="Y", "P",IF(STLClientPriceCompute[[#This Row],[Available]]="N","O",""))</f>
        <v/>
      </c>
      <c r="U124" s="85" t="str">
        <f>TRIM(STLClientPriceCompute[[#This Row],[Description]])</f>
        <v>Bundled Language, Geographic Compliance, Online Air and Sea Schedule Data, Trade and Shipping Data and Reference Data Sets</v>
      </c>
      <c r="V124" s="82" t="str">
        <f>IF(STLClientPriceCompute[[#This Row],[Item Level]]=0,STLClientPriceCompute[[#This Row],[Desc without indent]],"")</f>
        <v>Bundled Language, Geographic Compliance, Online Air and Sea Schedule Data, Trade and Shipping Data and Reference Data Sets</v>
      </c>
      <c r="W124" s="82" t="str">
        <f>IF(STLClientPriceCompute[[#This Row],[Item Level]]=1,STLClientPriceCompute[[#This Row],[Desc without indent]],"")</f>
        <v/>
      </c>
      <c r="X124" s="82" t="str">
        <f>IF(STLClientPriceCompute[[#This Row],[Item Level]]=2,STLClientPriceCompute[[#This Row],[Desc without indent]],"")</f>
        <v/>
      </c>
      <c r="Y124" s="82" t="str">
        <f>IF(STLClientPriceCompute[[#This Row],[Item Level]]&gt;=3,_xlfn.CONCAT(REPT(" ",STLClientPriceCompute[[#This Row],[Item Level]]-3), STLClientPriceCompute[[#This Row],[Desc without indent]]),"")</f>
        <v/>
      </c>
      <c r="Z12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25" spans="2:26" x14ac:dyDescent="0.4">
      <c r="B125" s="15">
        <f>FIND(LEFT(TRIM(STLClientPriceCompute[[#This Row],[Description]]),1),STLClientPriceCompute[[#This Row],[Description]])-1</f>
        <v>2</v>
      </c>
      <c r="C125" s="19">
        <v>164</v>
      </c>
      <c r="D125" s="19"/>
      <c r="E125" s="19"/>
      <c r="F125" s="19" t="s">
        <v>275</v>
      </c>
      <c r="G125" s="19"/>
      <c r="H125" s="19" t="s">
        <v>87</v>
      </c>
      <c r="I125" s="20">
        <v>0</v>
      </c>
      <c r="J125" s="19"/>
      <c r="K125" s="19" t="s">
        <v>87</v>
      </c>
      <c r="L125" s="21">
        <v>0</v>
      </c>
      <c r="M125" s="19" t="s">
        <v>274</v>
      </c>
      <c r="N125" s="17">
        <f>_xlfn.IFNA(IF(STLClientPriceCompute[[#This Row],[Base Price (USD)]]="","", STLClientPriceCompute[[#This Row],[Base Price (USD)]]*VLOOKUP(_xlfn.CONCAT(STLClientPriceCompute[[#This Row],[Exchange Rate Group]],STLClientSpecificSettings[Currency]),ClientPriceExRate[[#All],[Ex-Currency]:[Exchange Rate]],2,FALSE)),"")</f>
        <v>0</v>
      </c>
      <c r="O12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25" s="22" cm="1">
        <f t="array" ref="P125">IF(STLClientSpecificSettings[Core Pack Excluded from Std volume discount]="EX",1, IF(STLClientSpecificSettings[Volume Price Adjustment]="HV", STLClientPriceCompute[[#This Row],[Category search for HV Base Discount]], STLClientSpecificSettings[Volume %]/100))</f>
        <v>1.5</v>
      </c>
      <c r="Q125" s="12" cm="1">
        <f t="array" ref="Q125">IF(ISBLANK(STLClientPriceCompute[[#This Row],[Category]]), 1, IF(ISNUMBER(SEARCH(CONCATENATE(STLClientPriceCompute[[#This Row],[Category]],"-",STLClientPriceCompute[[#This Row],[Code]]),STLClientSpecificSettings[VolumeBasedPriceItems])),STLClientSpecificSettings[Volume %]/100,1))</f>
        <v>1</v>
      </c>
      <c r="R125" s="12" cm="1">
        <f t="array" ref="R125">IF(STLClientSpecificSettings[Core Pack Excluded from Std volume discount]="UP",IF(OR(E125="USR",E125="RBU"),STLClientSpecificSettings[Core Uplift %]/100+1,1),1)</f>
        <v>1</v>
      </c>
      <c r="S12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25" s="26" t="str">
        <f>IF(STLClientPriceCompute[[#This Row],[Available]]="Y", "P",IF(STLClientPriceCompute[[#This Row],[Available]]="N","O",""))</f>
        <v/>
      </c>
      <c r="U125" s="85" t="str">
        <f>TRIM(STLClientPriceCompute[[#This Row],[Description]])</f>
        <v>Pricing is based on Average Registered Users per Country in the billing month.</v>
      </c>
      <c r="V125" s="82" t="str">
        <f>IF(STLClientPriceCompute[[#This Row],[Item Level]]=0,STLClientPriceCompute[[#This Row],[Desc without indent]],"")</f>
        <v/>
      </c>
      <c r="W125" s="82" t="str">
        <f>IF(STLClientPriceCompute[[#This Row],[Item Level]]=1,STLClientPriceCompute[[#This Row],[Desc without indent]],"")</f>
        <v/>
      </c>
      <c r="X125" s="82" t="str">
        <f>IF(STLClientPriceCompute[[#This Row],[Item Level]]=2,STLClientPriceCompute[[#This Row],[Desc without indent]],"")</f>
        <v>Pricing is based on Average Registered Users per Country in the billing month.</v>
      </c>
      <c r="Y125" s="82" t="str">
        <f>IF(STLClientPriceCompute[[#This Row],[Item Level]]&gt;=3,_xlfn.CONCAT(REPT(" ",STLClientPriceCompute[[#This Row],[Item Level]]-3), STLClientPriceCompute[[#This Row],[Desc without indent]]),"")</f>
        <v/>
      </c>
      <c r="Z12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26" spans="2:26" x14ac:dyDescent="0.4">
      <c r="B126" s="15">
        <f>FIND(LEFT(TRIM(STLClientPriceCompute[[#This Row],[Description]]),1),STLClientPriceCompute[[#This Row],[Description]])-1</f>
        <v>3</v>
      </c>
      <c r="C126" s="19">
        <v>165</v>
      </c>
      <c r="D126" s="19" t="s">
        <v>276</v>
      </c>
      <c r="E126" s="19" t="s">
        <v>277</v>
      </c>
      <c r="F126" s="19" t="s">
        <v>278</v>
      </c>
      <c r="G126" s="19"/>
      <c r="H126" s="19" t="s">
        <v>87</v>
      </c>
      <c r="I126" s="20">
        <v>0</v>
      </c>
      <c r="J126" s="19" t="s">
        <v>279</v>
      </c>
      <c r="K126" s="19" t="s">
        <v>87</v>
      </c>
      <c r="L126" s="21">
        <v>0</v>
      </c>
      <c r="M126" s="19" t="s">
        <v>274</v>
      </c>
      <c r="N126" s="17">
        <f>_xlfn.IFNA(IF(STLClientPriceCompute[[#This Row],[Base Price (USD)]]="","", STLClientPriceCompute[[#This Row],[Base Price (USD)]]*VLOOKUP(_xlfn.CONCAT(STLClientPriceCompute[[#This Row],[Exchange Rate Group]],STLClientSpecificSettings[Currency]),ClientPriceExRate[[#All],[Ex-Currency]:[Exchange Rate]],2,FALSE)),"")</f>
        <v>0</v>
      </c>
      <c r="O12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26" s="22" cm="1">
        <f t="array" ref="P126">IF(STLClientSpecificSettings[Core Pack Excluded from Std volume discount]="EX",1, IF(STLClientSpecificSettings[Volume Price Adjustment]="HV", STLClientPriceCompute[[#This Row],[Category search for HV Base Discount]], STLClientSpecificSettings[Volume %]/100))</f>
        <v>1.5</v>
      </c>
      <c r="Q126" s="12" cm="1">
        <f t="array" ref="Q126">IF(ISBLANK(STLClientPriceCompute[[#This Row],[Category]]), 1, IF(ISNUMBER(SEARCH(CONCATENATE(STLClientPriceCompute[[#This Row],[Category]],"-",STLClientPriceCompute[[#This Row],[Code]]),STLClientSpecificSettings[VolumeBasedPriceItems])),STLClientSpecificSettings[Volume %]/100,1))</f>
        <v>1</v>
      </c>
      <c r="R126" s="12" cm="1">
        <f t="array" ref="R126">IF(STLClientSpecificSettings[Core Pack Excluded from Std volume discount]="UP",IF(OR(E126="USR",E126="RBU"),STLClientSpecificSettings[Core Uplift %]/100+1,1),1)</f>
        <v>1</v>
      </c>
      <c r="S12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26" s="26" t="str">
        <f>IF(STLClientPriceCompute[[#This Row],[Available]]="Y", "P",IF(STLClientPriceCompute[[#This Row],[Available]]="N","O",""))</f>
        <v/>
      </c>
      <c r="U126" s="85" t="str">
        <f>TRIM(STLClientPriceCompute[[#This Row],[Description]])</f>
        <v>Less than or equal to 5 users</v>
      </c>
      <c r="V126" s="82" t="str">
        <f>IF(STLClientPriceCompute[[#This Row],[Item Level]]=0,STLClientPriceCompute[[#This Row],[Desc without indent]],"")</f>
        <v/>
      </c>
      <c r="W126" s="82" t="str">
        <f>IF(STLClientPriceCompute[[#This Row],[Item Level]]=1,STLClientPriceCompute[[#This Row],[Desc without indent]],"")</f>
        <v/>
      </c>
      <c r="X126" s="82" t="str">
        <f>IF(STLClientPriceCompute[[#This Row],[Item Level]]=2,STLClientPriceCompute[[#This Row],[Desc without indent]],"")</f>
        <v/>
      </c>
      <c r="Y126" s="82" t="str">
        <f>IF(STLClientPriceCompute[[#This Row],[Item Level]]&gt;=3,_xlfn.CONCAT(REPT(" ",STLClientPriceCompute[[#This Row],[Item Level]]-3), STLClientPriceCompute[[#This Row],[Desc without indent]]),"")</f>
        <v>Less than or equal to 5 users</v>
      </c>
      <c r="Z12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C - Country</v>
      </c>
    </row>
    <row r="127" spans="2:26" x14ac:dyDescent="0.4">
      <c r="B127" s="15">
        <f>FIND(LEFT(TRIM(STLClientPriceCompute[[#This Row],[Description]]),1),STLClientPriceCompute[[#This Row],[Description]])-1</f>
        <v>3</v>
      </c>
      <c r="C127" s="19">
        <v>166</v>
      </c>
      <c r="D127" s="19" t="s">
        <v>276</v>
      </c>
      <c r="E127" s="19" t="s">
        <v>277</v>
      </c>
      <c r="F127" s="19" t="s">
        <v>280</v>
      </c>
      <c r="G127" s="19"/>
      <c r="H127" s="19" t="s">
        <v>87</v>
      </c>
      <c r="I127" s="20">
        <v>185.76358999999999</v>
      </c>
      <c r="J127" s="19" t="s">
        <v>279</v>
      </c>
      <c r="K127" s="19" t="s">
        <v>87</v>
      </c>
      <c r="L127" s="21">
        <v>1857.6359</v>
      </c>
      <c r="M127" s="19" t="s">
        <v>274</v>
      </c>
      <c r="N127" s="17">
        <f>_xlfn.IFNA(IF(STLClientPriceCompute[[#This Row],[Base Price (USD)]]="","", STLClientPriceCompute[[#This Row],[Base Price (USD)]]*VLOOKUP(_xlfn.CONCAT(STLClientPriceCompute[[#This Row],[Exchange Rate Group]],STLClientSpecificSettings[Currency]),ClientPriceExRate[[#All],[Ex-Currency]:[Exchange Rate]],2,FALSE)),"")</f>
        <v>259.4485756094</v>
      </c>
      <c r="O12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259.4485756094</v>
      </c>
      <c r="P127" s="22" cm="1">
        <f t="array" ref="P127">IF(STLClientSpecificSettings[Core Pack Excluded from Std volume discount]="EX",1, IF(STLClientSpecificSettings[Volume Price Adjustment]="HV", STLClientPriceCompute[[#This Row],[Category search for HV Base Discount]], STLClientSpecificSettings[Volume %]/100))</f>
        <v>1.5</v>
      </c>
      <c r="Q127" s="12" cm="1">
        <f t="array" ref="Q127">IF(ISBLANK(STLClientPriceCompute[[#This Row],[Category]]), 1, IF(ISNUMBER(SEARCH(CONCATENATE(STLClientPriceCompute[[#This Row],[Category]],"-",STLClientPriceCompute[[#This Row],[Code]]),STLClientSpecificSettings[VolumeBasedPriceItems])),STLClientSpecificSettings[Volume %]/100,1))</f>
        <v>1</v>
      </c>
      <c r="R127" s="12" cm="1">
        <f t="array" ref="R127">IF(STLClientSpecificSettings[Core Pack Excluded from Std volume discount]="UP",IF(OR(E127="USR",E127="RBU"),STLClientSpecificSettings[Core Uplift %]/100+1,1),1)</f>
        <v>1</v>
      </c>
      <c r="S12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1857.6359</v>
      </c>
      <c r="T127" s="26" t="str">
        <f>IF(STLClientPriceCompute[[#This Row],[Available]]="Y", "P",IF(STLClientPriceCompute[[#This Row],[Available]]="N","O",""))</f>
        <v/>
      </c>
      <c r="U127" s="85" t="str">
        <f>TRIM(STLClientPriceCompute[[#This Row],[Description]])</f>
        <v>Greater than 5 users</v>
      </c>
      <c r="V127" s="82" t="str">
        <f>IF(STLClientPriceCompute[[#This Row],[Item Level]]=0,STLClientPriceCompute[[#This Row],[Desc without indent]],"")</f>
        <v/>
      </c>
      <c r="W127" s="82" t="str">
        <f>IF(STLClientPriceCompute[[#This Row],[Item Level]]=1,STLClientPriceCompute[[#This Row],[Desc without indent]],"")</f>
        <v/>
      </c>
      <c r="X127" s="82" t="str">
        <f>IF(STLClientPriceCompute[[#This Row],[Item Level]]=2,STLClientPriceCompute[[#This Row],[Desc without indent]],"")</f>
        <v/>
      </c>
      <c r="Y127" s="82" t="str">
        <f>IF(STLClientPriceCompute[[#This Row],[Item Level]]&gt;=3,_xlfn.CONCAT(REPT(" ",STLClientPriceCompute[[#This Row],[Item Level]]-3), STLClientPriceCompute[[#This Row],[Desc without indent]]),"")</f>
        <v>Greater than 5 users</v>
      </c>
      <c r="Z12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C - Country</v>
      </c>
    </row>
    <row r="128" spans="2:26" x14ac:dyDescent="0.4">
      <c r="B128" s="15">
        <f>FIND(LEFT(TRIM(STLClientPriceCompute[[#This Row],[Description]]),1),STLClientPriceCompute[[#This Row],[Description]])-1</f>
        <v>3</v>
      </c>
      <c r="C128" s="19">
        <v>167</v>
      </c>
      <c r="D128" s="19" t="s">
        <v>276</v>
      </c>
      <c r="E128" s="19" t="s">
        <v>277</v>
      </c>
      <c r="F128" s="19" t="s">
        <v>281</v>
      </c>
      <c r="G128" s="19"/>
      <c r="H128" s="19" t="s">
        <v>87</v>
      </c>
      <c r="I128" s="20">
        <v>464.67419999999998</v>
      </c>
      <c r="J128" s="19" t="s">
        <v>279</v>
      </c>
      <c r="K128" s="19" t="s">
        <v>87</v>
      </c>
      <c r="L128" s="21">
        <v>4646.7420000000002</v>
      </c>
      <c r="M128" s="19" t="s">
        <v>274</v>
      </c>
      <c r="N128" s="17">
        <f>_xlfn.IFNA(IF(STLClientPriceCompute[[#This Row],[Base Price (USD)]]="","", STLClientPriceCompute[[#This Row],[Base Price (USD)]]*VLOOKUP(_xlfn.CONCAT(STLClientPriceCompute[[#This Row],[Exchange Rate Group]],STLClientSpecificSettings[Currency]),ClientPriceExRate[[#All],[Ex-Currency]:[Exchange Rate]],2,FALSE)),"")</f>
        <v>648.99186817199995</v>
      </c>
      <c r="O12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648.99186817199995</v>
      </c>
      <c r="P128" s="22" cm="1">
        <f t="array" ref="P128">IF(STLClientSpecificSettings[Core Pack Excluded from Std volume discount]="EX",1, IF(STLClientSpecificSettings[Volume Price Adjustment]="HV", STLClientPriceCompute[[#This Row],[Category search for HV Base Discount]], STLClientSpecificSettings[Volume %]/100))</f>
        <v>1.5</v>
      </c>
      <c r="Q128" s="12" cm="1">
        <f t="array" ref="Q128">IF(ISBLANK(STLClientPriceCompute[[#This Row],[Category]]), 1, IF(ISNUMBER(SEARCH(CONCATENATE(STLClientPriceCompute[[#This Row],[Category]],"-",STLClientPriceCompute[[#This Row],[Code]]),STLClientSpecificSettings[VolumeBasedPriceItems])),STLClientSpecificSettings[Volume %]/100,1))</f>
        <v>1</v>
      </c>
      <c r="R128" s="12" cm="1">
        <f t="array" ref="R128">IF(STLClientSpecificSettings[Core Pack Excluded from Std volume discount]="UP",IF(OR(E128="USR",E128="RBU"),STLClientSpecificSettings[Core Uplift %]/100+1,1),1)</f>
        <v>1</v>
      </c>
      <c r="S12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4646.7420000000002</v>
      </c>
      <c r="T128" s="26" t="str">
        <f>IF(STLClientPriceCompute[[#This Row],[Available]]="Y", "P",IF(STLClientPriceCompute[[#This Row],[Available]]="N","O",""))</f>
        <v/>
      </c>
      <c r="U128" s="85" t="str">
        <f>TRIM(STLClientPriceCompute[[#This Row],[Description]])</f>
        <v>Greater than 25 users</v>
      </c>
      <c r="V128" s="82" t="str">
        <f>IF(STLClientPriceCompute[[#This Row],[Item Level]]=0,STLClientPriceCompute[[#This Row],[Desc without indent]],"")</f>
        <v/>
      </c>
      <c r="W128" s="82" t="str">
        <f>IF(STLClientPriceCompute[[#This Row],[Item Level]]=1,STLClientPriceCompute[[#This Row],[Desc without indent]],"")</f>
        <v/>
      </c>
      <c r="X128" s="82" t="str">
        <f>IF(STLClientPriceCompute[[#This Row],[Item Level]]=2,STLClientPriceCompute[[#This Row],[Desc without indent]],"")</f>
        <v/>
      </c>
      <c r="Y128" s="82" t="str">
        <f>IF(STLClientPriceCompute[[#This Row],[Item Level]]&gt;=3,_xlfn.CONCAT(REPT(" ",STLClientPriceCompute[[#This Row],[Item Level]]-3), STLClientPriceCompute[[#This Row],[Desc without indent]]),"")</f>
        <v>Greater than 25 users</v>
      </c>
      <c r="Z12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C - Country</v>
      </c>
    </row>
    <row r="129" spans="2:26" x14ac:dyDescent="0.4">
      <c r="B129" s="15">
        <f>FIND(LEFT(TRIM(STLClientPriceCompute[[#This Row],[Description]]),1),STLClientPriceCompute[[#This Row],[Description]])-1</f>
        <v>3</v>
      </c>
      <c r="C129" s="19">
        <v>168</v>
      </c>
      <c r="D129" s="19" t="s">
        <v>276</v>
      </c>
      <c r="E129" s="19" t="s">
        <v>277</v>
      </c>
      <c r="F129" s="19" t="s">
        <v>282</v>
      </c>
      <c r="G129" s="19"/>
      <c r="H129" s="19" t="s">
        <v>87</v>
      </c>
      <c r="I129" s="20">
        <v>934.28158499999995</v>
      </c>
      <c r="J129" s="19" t="s">
        <v>279</v>
      </c>
      <c r="K129" s="19" t="s">
        <v>87</v>
      </c>
      <c r="L129" s="21">
        <v>9342.8158500000009</v>
      </c>
      <c r="M129" s="19" t="s">
        <v>274</v>
      </c>
      <c r="N129" s="17">
        <f>_xlfn.IFNA(IF(STLClientPriceCompute[[#This Row],[Base Price (USD)]]="","", STLClientPriceCompute[[#This Row],[Base Price (USD)]]*VLOOKUP(_xlfn.CONCAT(STLClientPriceCompute[[#This Row],[Exchange Rate Group]],STLClientSpecificSettings[Currency]),ClientPriceExRate[[#All],[Ex-Currency]:[Exchange Rate]],2,FALSE)),"")</f>
        <v>1304.8737185061</v>
      </c>
      <c r="O12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1304.8737185061</v>
      </c>
      <c r="P129" s="22" cm="1">
        <f t="array" ref="P129">IF(STLClientSpecificSettings[Core Pack Excluded from Std volume discount]="EX",1, IF(STLClientSpecificSettings[Volume Price Adjustment]="HV", STLClientPriceCompute[[#This Row],[Category search for HV Base Discount]], STLClientSpecificSettings[Volume %]/100))</f>
        <v>1.5</v>
      </c>
      <c r="Q129" s="12" cm="1">
        <f t="array" ref="Q129">IF(ISBLANK(STLClientPriceCompute[[#This Row],[Category]]), 1, IF(ISNUMBER(SEARCH(CONCATENATE(STLClientPriceCompute[[#This Row],[Category]],"-",STLClientPriceCompute[[#This Row],[Code]]),STLClientSpecificSettings[VolumeBasedPriceItems])),STLClientSpecificSettings[Volume %]/100,1))</f>
        <v>1</v>
      </c>
      <c r="R129" s="12" cm="1">
        <f t="array" ref="R129">IF(STLClientSpecificSettings[Core Pack Excluded from Std volume discount]="UP",IF(OR(E129="USR",E129="RBU"),STLClientSpecificSettings[Core Uplift %]/100+1,1),1)</f>
        <v>1</v>
      </c>
      <c r="S12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9342.8158500000009</v>
      </c>
      <c r="T129" s="26" t="str">
        <f>IF(STLClientPriceCompute[[#This Row],[Available]]="Y", "P",IF(STLClientPriceCompute[[#This Row],[Available]]="N","O",""))</f>
        <v/>
      </c>
      <c r="U129" s="85" t="str">
        <f>TRIM(STLClientPriceCompute[[#This Row],[Description]])</f>
        <v>Greater than 100 users</v>
      </c>
      <c r="V129" s="82" t="str">
        <f>IF(STLClientPriceCompute[[#This Row],[Item Level]]=0,STLClientPriceCompute[[#This Row],[Desc without indent]],"")</f>
        <v/>
      </c>
      <c r="W129" s="82" t="str">
        <f>IF(STLClientPriceCompute[[#This Row],[Item Level]]=1,STLClientPriceCompute[[#This Row],[Desc without indent]],"")</f>
        <v/>
      </c>
      <c r="X129" s="82" t="str">
        <f>IF(STLClientPriceCompute[[#This Row],[Item Level]]=2,STLClientPriceCompute[[#This Row],[Desc without indent]],"")</f>
        <v/>
      </c>
      <c r="Y129" s="82" t="str">
        <f>IF(STLClientPriceCompute[[#This Row],[Item Level]]&gt;=3,_xlfn.CONCAT(REPT(" ",STLClientPriceCompute[[#This Row],[Item Level]]-3), STLClientPriceCompute[[#This Row],[Desc without indent]]),"")</f>
        <v>Greater than 100 users</v>
      </c>
      <c r="Z12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C - Country</v>
      </c>
    </row>
    <row r="130" spans="2:26" x14ac:dyDescent="0.4">
      <c r="B130" s="15">
        <f>FIND(LEFT(TRIM(STLClientPriceCompute[[#This Row],[Description]]),1),STLClientPriceCompute[[#This Row],[Description]])-1</f>
        <v>0</v>
      </c>
      <c r="C130" s="19">
        <v>169</v>
      </c>
      <c r="D130" s="19"/>
      <c r="E130" s="19"/>
      <c r="F130" s="19" t="s">
        <v>283</v>
      </c>
      <c r="G130" s="19"/>
      <c r="H130" s="19" t="s">
        <v>87</v>
      </c>
      <c r="I130" s="20">
        <v>0</v>
      </c>
      <c r="J130" s="19"/>
      <c r="K130" s="19" t="s">
        <v>87</v>
      </c>
      <c r="L130" s="21">
        <v>0</v>
      </c>
      <c r="M130" s="19" t="s">
        <v>85</v>
      </c>
      <c r="N130" s="17">
        <f>_xlfn.IFNA(IF(STLClientPriceCompute[[#This Row],[Base Price (USD)]]="","", STLClientPriceCompute[[#This Row],[Base Price (USD)]]*VLOOKUP(_xlfn.CONCAT(STLClientPriceCompute[[#This Row],[Exchange Rate Group]],STLClientSpecificSettings[Currency]),ClientPriceExRate[[#All],[Ex-Currency]:[Exchange Rate]],2,FALSE)),"")</f>
        <v>0</v>
      </c>
      <c r="O13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0" s="22" cm="1">
        <f t="array" ref="P130">IF(STLClientSpecificSettings[Core Pack Excluded from Std volume discount]="EX",1, IF(STLClientSpecificSettings[Volume Price Adjustment]="HV", STLClientPriceCompute[[#This Row],[Category search for HV Base Discount]], STLClientSpecificSettings[Volume %]/100))</f>
        <v>1.5</v>
      </c>
      <c r="Q130" s="12" cm="1">
        <f t="array" ref="Q130">IF(ISBLANK(STLClientPriceCompute[[#This Row],[Category]]), 1, IF(ISNUMBER(SEARCH(CONCATENATE(STLClientPriceCompute[[#This Row],[Category]],"-",STLClientPriceCompute[[#This Row],[Code]]),STLClientSpecificSettings[VolumeBasedPriceItems])),STLClientSpecificSettings[Volume %]/100,1))</f>
        <v>1</v>
      </c>
      <c r="R130" s="12" cm="1">
        <f t="array" ref="R130">IF(STLClientSpecificSettings[Core Pack Excluded from Std volume discount]="UP",IF(OR(E130="USR",E130="RBU"),STLClientSpecificSettings[Core Uplift %]/100+1,1),1)</f>
        <v>1</v>
      </c>
      <c r="S13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0" s="26" t="str">
        <f>IF(STLClientPriceCompute[[#This Row],[Available]]="Y", "P",IF(STLClientPriceCompute[[#This Row],[Available]]="N","O",""))</f>
        <v/>
      </c>
      <c r="U130" s="85" t="str">
        <f>TRIM(STLClientPriceCompute[[#This Row],[Description]])</f>
        <v>Additional Services</v>
      </c>
      <c r="V130" s="82" t="str">
        <f>IF(STLClientPriceCompute[[#This Row],[Item Level]]=0,STLClientPriceCompute[[#This Row],[Desc without indent]],"")</f>
        <v>Additional Services</v>
      </c>
      <c r="W130" s="82" t="str">
        <f>IF(STLClientPriceCompute[[#This Row],[Item Level]]=1,STLClientPriceCompute[[#This Row],[Desc without indent]],"")</f>
        <v/>
      </c>
      <c r="X130" s="82" t="str">
        <f>IF(STLClientPriceCompute[[#This Row],[Item Level]]=2,STLClientPriceCompute[[#This Row],[Desc without indent]],"")</f>
        <v/>
      </c>
      <c r="Y130" s="82" t="str">
        <f>IF(STLClientPriceCompute[[#This Row],[Item Level]]&gt;=3,_xlfn.CONCAT(REPT(" ",STLClientPriceCompute[[#This Row],[Item Level]]-3), STLClientPriceCompute[[#This Row],[Desc without indent]]),"")</f>
        <v/>
      </c>
      <c r="Z13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31" spans="2:26" x14ac:dyDescent="0.4">
      <c r="B131" s="15">
        <f>FIND(LEFT(TRIM(STLClientPriceCompute[[#This Row],[Description]]),1),STLClientPriceCompute[[#This Row],[Description]])-1</f>
        <v>1</v>
      </c>
      <c r="C131" s="19">
        <v>170</v>
      </c>
      <c r="D131" s="19"/>
      <c r="E131" s="19"/>
      <c r="F131" s="19" t="s">
        <v>284</v>
      </c>
      <c r="G131" s="19"/>
      <c r="H131" s="19" t="s">
        <v>87</v>
      </c>
      <c r="I131" s="20">
        <v>0</v>
      </c>
      <c r="J131" s="19"/>
      <c r="K131" s="19" t="s">
        <v>87</v>
      </c>
      <c r="L131" s="21">
        <v>0</v>
      </c>
      <c r="M131" s="19" t="s">
        <v>85</v>
      </c>
      <c r="N131" s="17">
        <f>_xlfn.IFNA(IF(STLClientPriceCompute[[#This Row],[Base Price (USD)]]="","", STLClientPriceCompute[[#This Row],[Base Price (USD)]]*VLOOKUP(_xlfn.CONCAT(STLClientPriceCompute[[#This Row],[Exchange Rate Group]],STLClientSpecificSettings[Currency]),ClientPriceExRate[[#All],[Ex-Currency]:[Exchange Rate]],2,FALSE)),"")</f>
        <v>0</v>
      </c>
      <c r="O13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1" s="22" cm="1">
        <f t="array" ref="P131">IF(STLClientSpecificSettings[Core Pack Excluded from Std volume discount]="EX",1, IF(STLClientSpecificSettings[Volume Price Adjustment]="HV", STLClientPriceCompute[[#This Row],[Category search for HV Base Discount]], STLClientSpecificSettings[Volume %]/100))</f>
        <v>1.5</v>
      </c>
      <c r="Q131" s="12" cm="1">
        <f t="array" ref="Q131">IF(ISBLANK(STLClientPriceCompute[[#This Row],[Category]]), 1, IF(ISNUMBER(SEARCH(CONCATENATE(STLClientPriceCompute[[#This Row],[Category]],"-",STLClientPriceCompute[[#This Row],[Code]]),STLClientSpecificSettings[VolumeBasedPriceItems])),STLClientSpecificSettings[Volume %]/100,1))</f>
        <v>1</v>
      </c>
      <c r="R131" s="12" cm="1">
        <f t="array" ref="R131">IF(STLClientSpecificSettings[Core Pack Excluded from Std volume discount]="UP",IF(OR(E131="USR",E131="RBU"),STLClientSpecificSettings[Core Uplift %]/100+1,1),1)</f>
        <v>1</v>
      </c>
      <c r="S13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1" s="26" t="str">
        <f>IF(STLClientPriceCompute[[#This Row],[Available]]="Y", "P",IF(STLClientPriceCompute[[#This Row],[Available]]="N","O",""))</f>
        <v/>
      </c>
      <c r="U131" s="85" t="str">
        <f>TRIM(STLClientPriceCompute[[#This Row],[Description]])</f>
        <v>Additional Services</v>
      </c>
      <c r="V131" s="82" t="str">
        <f>IF(STLClientPriceCompute[[#This Row],[Item Level]]=0,STLClientPriceCompute[[#This Row],[Desc without indent]],"")</f>
        <v/>
      </c>
      <c r="W131" s="82" t="str">
        <f>IF(STLClientPriceCompute[[#This Row],[Item Level]]=1,STLClientPriceCompute[[#This Row],[Desc without indent]],"")</f>
        <v>Additional Services</v>
      </c>
      <c r="X131" s="82" t="str">
        <f>IF(STLClientPriceCompute[[#This Row],[Item Level]]=2,STLClientPriceCompute[[#This Row],[Desc without indent]],"")</f>
        <v/>
      </c>
      <c r="Y131" s="82" t="str">
        <f>IF(STLClientPriceCompute[[#This Row],[Item Level]]&gt;=3,_xlfn.CONCAT(REPT(" ",STLClientPriceCompute[[#This Row],[Item Level]]-3), STLClientPriceCompute[[#This Row],[Desc without indent]]),"")</f>
        <v/>
      </c>
      <c r="Z13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32" spans="2:26" x14ac:dyDescent="0.4">
      <c r="B132" s="15">
        <f>FIND(LEFT(TRIM(STLClientPriceCompute[[#This Row],[Description]]),1),STLClientPriceCompute[[#This Row],[Description]])-1</f>
        <v>2</v>
      </c>
      <c r="C132" s="19">
        <v>171</v>
      </c>
      <c r="D132" s="19"/>
      <c r="E132" s="19"/>
      <c r="F132" s="19" t="s">
        <v>285</v>
      </c>
      <c r="G132" s="19"/>
      <c r="H132" s="19" t="s">
        <v>87</v>
      </c>
      <c r="I132" s="20">
        <v>0</v>
      </c>
      <c r="J132" s="19"/>
      <c r="K132" s="19" t="s">
        <v>87</v>
      </c>
      <c r="L132" s="21">
        <v>0</v>
      </c>
      <c r="M132" s="19" t="s">
        <v>85</v>
      </c>
      <c r="N132" s="17">
        <f>_xlfn.IFNA(IF(STLClientPriceCompute[[#This Row],[Base Price (USD)]]="","", STLClientPriceCompute[[#This Row],[Base Price (USD)]]*VLOOKUP(_xlfn.CONCAT(STLClientPriceCompute[[#This Row],[Exchange Rate Group]],STLClientSpecificSettings[Currency]),ClientPriceExRate[[#All],[Ex-Currency]:[Exchange Rate]],2,FALSE)),"")</f>
        <v>0</v>
      </c>
      <c r="O13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2" s="22" cm="1">
        <f t="array" ref="P132">IF(STLClientSpecificSettings[Core Pack Excluded from Std volume discount]="EX",1, IF(STLClientSpecificSettings[Volume Price Adjustment]="HV", STLClientPriceCompute[[#This Row],[Category search for HV Base Discount]], STLClientSpecificSettings[Volume %]/100))</f>
        <v>1.5</v>
      </c>
      <c r="Q132" s="12" cm="1">
        <f t="array" ref="Q132">IF(ISBLANK(STLClientPriceCompute[[#This Row],[Category]]), 1, IF(ISNUMBER(SEARCH(CONCATENATE(STLClientPriceCompute[[#This Row],[Category]],"-",STLClientPriceCompute[[#This Row],[Code]]),STLClientSpecificSettings[VolumeBasedPriceItems])),STLClientSpecificSettings[Volume %]/100,1))</f>
        <v>1</v>
      </c>
      <c r="R132" s="12" cm="1">
        <f t="array" ref="R132">IF(STLClientSpecificSettings[Core Pack Excluded from Std volume discount]="UP",IF(OR(E132="USR",E132="RBU"),STLClientSpecificSettings[Core Uplift %]/100+1,1),1)</f>
        <v>1</v>
      </c>
      <c r="S13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2" s="26" t="str">
        <f>IF(STLClientPriceCompute[[#This Row],[Available]]="Y", "P",IF(STLClientPriceCompute[[#This Row],[Available]]="N","O",""))</f>
        <v/>
      </c>
      <c r="U132" s="85" t="str">
        <f>TRIM(STLClientPriceCompute[[#This Row],[Description]])</f>
        <v>Distance Calculations</v>
      </c>
      <c r="V132" s="82" t="str">
        <f>IF(STLClientPriceCompute[[#This Row],[Item Level]]=0,STLClientPriceCompute[[#This Row],[Desc without indent]],"")</f>
        <v/>
      </c>
      <c r="W132" s="82" t="str">
        <f>IF(STLClientPriceCompute[[#This Row],[Item Level]]=1,STLClientPriceCompute[[#This Row],[Desc without indent]],"")</f>
        <v/>
      </c>
      <c r="X132" s="82" t="str">
        <f>IF(STLClientPriceCompute[[#This Row],[Item Level]]=2,STLClientPriceCompute[[#This Row],[Desc without indent]],"")</f>
        <v>Distance Calculations</v>
      </c>
      <c r="Y132" s="82" t="str">
        <f>IF(STLClientPriceCompute[[#This Row],[Item Level]]&gt;=3,_xlfn.CONCAT(REPT(" ",STLClientPriceCompute[[#This Row],[Item Level]]-3), STLClientPriceCompute[[#This Row],[Desc without indent]]),"")</f>
        <v/>
      </c>
      <c r="Z13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33" spans="2:26" x14ac:dyDescent="0.4">
      <c r="B133" s="15">
        <f>FIND(LEFT(TRIM(STLClientPriceCompute[[#This Row],[Description]]),1),STLClientPriceCompute[[#This Row],[Description]])-1</f>
        <v>3</v>
      </c>
      <c r="C133" s="19">
        <v>172</v>
      </c>
      <c r="D133" s="19" t="s">
        <v>286</v>
      </c>
      <c r="E133" s="19" t="s">
        <v>286</v>
      </c>
      <c r="F133" s="19" t="s">
        <v>287</v>
      </c>
      <c r="G133" s="19"/>
      <c r="H133" s="19" t="s">
        <v>87</v>
      </c>
      <c r="I133" s="20">
        <v>0.114736</v>
      </c>
      <c r="J133" s="19" t="s">
        <v>288</v>
      </c>
      <c r="K133" s="19" t="s">
        <v>87</v>
      </c>
      <c r="L133" s="21">
        <v>1.1473599999999999</v>
      </c>
      <c r="M133" s="19" t="s">
        <v>85</v>
      </c>
      <c r="N133" s="17">
        <f>_xlfn.IFNA(IF(STLClientPriceCompute[[#This Row],[Base Price (USD)]]="","", STLClientPriceCompute[[#This Row],[Base Price (USD)]]*VLOOKUP(_xlfn.CONCAT(STLClientPriceCompute[[#This Row],[Exchange Rate Group]],STLClientSpecificSettings[Currency]),ClientPriceExRate[[#All],[Ex-Currency]:[Exchange Rate]],2,FALSE)),"")</f>
        <v>0.16024718176</v>
      </c>
      <c r="O13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0.24037077264000001</v>
      </c>
      <c r="P133" s="22" cm="1">
        <f t="array" ref="P133">IF(STLClientSpecificSettings[Core Pack Excluded from Std volume discount]="EX",1, IF(STLClientSpecificSettings[Volume Price Adjustment]="HV", STLClientPriceCompute[[#This Row],[Category search for HV Base Discount]], STLClientSpecificSettings[Volume %]/100))</f>
        <v>1.5</v>
      </c>
      <c r="Q133" s="12" cm="1">
        <f t="array" ref="Q133">IF(ISBLANK(STLClientPriceCompute[[#This Row],[Category]]), 1, IF(ISNUMBER(SEARCH(CONCATENATE(STLClientPriceCompute[[#This Row],[Category]],"-",STLClientPriceCompute[[#This Row],[Code]]),STLClientSpecificSettings[VolumeBasedPriceItems])),STLClientSpecificSettings[Volume %]/100,1))</f>
        <v>1</v>
      </c>
      <c r="R133" s="12" cm="1">
        <f t="array" ref="R133">IF(STLClientSpecificSettings[Core Pack Excluded from Std volume discount]="UP",IF(OR(E133="USR",E133="RBU"),STLClientSpecificSettings[Core Uplift %]/100+1,1),1)</f>
        <v>1</v>
      </c>
      <c r="S13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1.7210399999999999</v>
      </c>
      <c r="T133" s="26" t="str">
        <f>IF(STLClientPriceCompute[[#This Row],[Available]]="Y", "P",IF(STLClientPriceCompute[[#This Row],[Available]]="N","O",""))</f>
        <v/>
      </c>
      <c r="U133" s="85" t="str">
        <f>TRIM(STLClientPriceCompute[[#This Row],[Description]])</f>
        <v>Distance Calculator (Google)</v>
      </c>
      <c r="V133" s="82" t="str">
        <f>IF(STLClientPriceCompute[[#This Row],[Item Level]]=0,STLClientPriceCompute[[#This Row],[Desc without indent]],"")</f>
        <v/>
      </c>
      <c r="W133" s="82" t="str">
        <f>IF(STLClientPriceCompute[[#This Row],[Item Level]]=1,STLClientPriceCompute[[#This Row],[Desc without indent]],"")</f>
        <v/>
      </c>
      <c r="X133" s="82" t="str">
        <f>IF(STLClientPriceCompute[[#This Row],[Item Level]]=2,STLClientPriceCompute[[#This Row],[Desc without indent]],"")</f>
        <v/>
      </c>
      <c r="Y133" s="82" t="str">
        <f>IF(STLClientPriceCompute[[#This Row],[Item Level]]&gt;=3,_xlfn.CONCAT(REPT(" ",STLClientPriceCompute[[#This Row],[Item Level]]-3), STLClientPriceCompute[[#This Row],[Desc without indent]]),"")</f>
        <v>Distance Calculator (Google)</v>
      </c>
      <c r="Z13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Query</v>
      </c>
    </row>
    <row r="134" spans="2:26" x14ac:dyDescent="0.4">
      <c r="B134" s="15">
        <f>FIND(LEFT(TRIM(STLClientPriceCompute[[#This Row],[Description]]),1),STLClientPriceCompute[[#This Row],[Description]])-1</f>
        <v>2</v>
      </c>
      <c r="C134" s="19">
        <v>173</v>
      </c>
      <c r="D134" s="19"/>
      <c r="E134" s="19"/>
      <c r="F134" s="19" t="s">
        <v>289</v>
      </c>
      <c r="G134" s="19"/>
      <c r="H134" s="19" t="s">
        <v>87</v>
      </c>
      <c r="I134" s="20">
        <v>0</v>
      </c>
      <c r="J134" s="19"/>
      <c r="K134" s="19" t="s">
        <v>87</v>
      </c>
      <c r="L134" s="21">
        <v>0</v>
      </c>
      <c r="M134" s="19" t="s">
        <v>85</v>
      </c>
      <c r="N134" s="17">
        <f>_xlfn.IFNA(IF(STLClientPriceCompute[[#This Row],[Base Price (USD)]]="","", STLClientPriceCompute[[#This Row],[Base Price (USD)]]*VLOOKUP(_xlfn.CONCAT(STLClientPriceCompute[[#This Row],[Exchange Rate Group]],STLClientSpecificSettings[Currency]),ClientPriceExRate[[#All],[Ex-Currency]:[Exchange Rate]],2,FALSE)),"")</f>
        <v>0</v>
      </c>
      <c r="O13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4" s="22" cm="1">
        <f t="array" ref="P134">IF(STLClientSpecificSettings[Core Pack Excluded from Std volume discount]="EX",1, IF(STLClientSpecificSettings[Volume Price Adjustment]="HV", STLClientPriceCompute[[#This Row],[Category search for HV Base Discount]], STLClientSpecificSettings[Volume %]/100))</f>
        <v>1.5</v>
      </c>
      <c r="Q134" s="12" cm="1">
        <f t="array" ref="Q134">IF(ISBLANK(STLClientPriceCompute[[#This Row],[Category]]), 1, IF(ISNUMBER(SEARCH(CONCATENATE(STLClientPriceCompute[[#This Row],[Category]],"-",STLClientPriceCompute[[#This Row],[Code]]),STLClientSpecificSettings[VolumeBasedPriceItems])),STLClientSpecificSettings[Volume %]/100,1))</f>
        <v>1</v>
      </c>
      <c r="R134" s="12" cm="1">
        <f t="array" ref="R134">IF(STLClientSpecificSettings[Core Pack Excluded from Std volume discount]="UP",IF(OR(E134="USR",E134="RBU"),STLClientSpecificSettings[Core Uplift %]/100+1,1),1)</f>
        <v>1</v>
      </c>
      <c r="S13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4" s="26" t="str">
        <f>IF(STLClientPriceCompute[[#This Row],[Available]]="Y", "P",IF(STLClientPriceCompute[[#This Row],[Available]]="N","O",""))</f>
        <v/>
      </c>
      <c r="U134" s="85" t="str">
        <f>TRIM(STLClientPriceCompute[[#This Row],[Description]])</f>
        <v>Messaging and Electronic Submission</v>
      </c>
      <c r="V134" s="82" t="str">
        <f>IF(STLClientPriceCompute[[#This Row],[Item Level]]=0,STLClientPriceCompute[[#This Row],[Desc without indent]],"")</f>
        <v/>
      </c>
      <c r="W134" s="82" t="str">
        <f>IF(STLClientPriceCompute[[#This Row],[Item Level]]=1,STLClientPriceCompute[[#This Row],[Desc without indent]],"")</f>
        <v/>
      </c>
      <c r="X134" s="82" t="str">
        <f>IF(STLClientPriceCompute[[#This Row],[Item Level]]=2,STLClientPriceCompute[[#This Row],[Desc without indent]],"")</f>
        <v>Messaging and Electronic Submission</v>
      </c>
      <c r="Y134" s="82" t="str">
        <f>IF(STLClientPriceCompute[[#This Row],[Item Level]]&gt;=3,_xlfn.CONCAT(REPT(" ",STLClientPriceCompute[[#This Row],[Item Level]]-3), STLClientPriceCompute[[#This Row],[Desc without indent]]),"")</f>
        <v/>
      </c>
      <c r="Z13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35" spans="2:26" x14ac:dyDescent="0.4">
      <c r="B135" s="15">
        <f>FIND(LEFT(TRIM(STLClientPriceCompute[[#This Row],[Description]]),1),STLClientPriceCompute[[#This Row],[Description]])-1</f>
        <v>3</v>
      </c>
      <c r="C135" s="19">
        <v>174</v>
      </c>
      <c r="D135" s="19" t="s">
        <v>290</v>
      </c>
      <c r="E135" s="19" t="s">
        <v>291</v>
      </c>
      <c r="F135" s="19" t="s">
        <v>292</v>
      </c>
      <c r="G135" s="19"/>
      <c r="H135" s="19" t="s">
        <v>87</v>
      </c>
      <c r="I135" s="20">
        <v>0.114736</v>
      </c>
      <c r="J135" s="19" t="s">
        <v>293</v>
      </c>
      <c r="K135" s="19" t="s">
        <v>87</v>
      </c>
      <c r="L135" s="21">
        <v>1.1473599999999999</v>
      </c>
      <c r="M135" s="19" t="s">
        <v>85</v>
      </c>
      <c r="N135" s="17">
        <f>_xlfn.IFNA(IF(STLClientPriceCompute[[#This Row],[Base Price (USD)]]="","", STLClientPriceCompute[[#This Row],[Base Price (USD)]]*VLOOKUP(_xlfn.CONCAT(STLClientPriceCompute[[#This Row],[Exchange Rate Group]],STLClientSpecificSettings[Currency]),ClientPriceExRate[[#All],[Ex-Currency]:[Exchange Rate]],2,FALSE)),"")</f>
        <v>0.16024718176</v>
      </c>
      <c r="O13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0.24037077264000001</v>
      </c>
      <c r="P135" s="22" cm="1">
        <f t="array" ref="P135">IF(STLClientSpecificSettings[Core Pack Excluded from Std volume discount]="EX",1, IF(STLClientSpecificSettings[Volume Price Adjustment]="HV", STLClientPriceCompute[[#This Row],[Category search for HV Base Discount]], STLClientSpecificSettings[Volume %]/100))</f>
        <v>1.5</v>
      </c>
      <c r="Q135" s="12" cm="1">
        <f t="array" ref="Q135">IF(ISBLANK(STLClientPriceCompute[[#This Row],[Category]]), 1, IF(ISNUMBER(SEARCH(CONCATENATE(STLClientPriceCompute[[#This Row],[Category]],"-",STLClientPriceCompute[[#This Row],[Code]]),STLClientSpecificSettings[VolumeBasedPriceItems])),STLClientSpecificSettings[Volume %]/100,1))</f>
        <v>1</v>
      </c>
      <c r="R135" s="12" cm="1">
        <f t="array" ref="R135">IF(STLClientSpecificSettings[Core Pack Excluded from Std volume discount]="UP",IF(OR(E135="USR",E135="RBU"),STLClientSpecificSettings[Core Uplift %]/100+1,1),1)</f>
        <v>1</v>
      </c>
      <c r="S13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1.7210399999999999</v>
      </c>
      <c r="T135" s="26" t="str">
        <f>IF(STLClientPriceCompute[[#This Row],[Available]]="Y", "P",IF(STLClientPriceCompute[[#This Row],[Available]]="N","O",""))</f>
        <v/>
      </c>
      <c r="U135" s="85" t="str">
        <f>TRIM(STLClientPriceCompute[[#This Row],[Description]])</f>
        <v>Airlines Messaging (FWB/FHL//FSR)</v>
      </c>
      <c r="V135" s="82" t="str">
        <f>IF(STLClientPriceCompute[[#This Row],[Item Level]]=0,STLClientPriceCompute[[#This Row],[Desc without indent]],"")</f>
        <v/>
      </c>
      <c r="W135" s="82" t="str">
        <f>IF(STLClientPriceCompute[[#This Row],[Item Level]]=1,STLClientPriceCompute[[#This Row],[Desc without indent]],"")</f>
        <v/>
      </c>
      <c r="X135" s="82" t="str">
        <f>IF(STLClientPriceCompute[[#This Row],[Item Level]]=2,STLClientPriceCompute[[#This Row],[Desc without indent]],"")</f>
        <v/>
      </c>
      <c r="Y135" s="82" t="str">
        <f>IF(STLClientPriceCompute[[#This Row],[Item Level]]&gt;=3,_xlfn.CONCAT(REPT(" ",STLClientPriceCompute[[#This Row],[Item Level]]-3), STLClientPriceCompute[[#This Row],[Desc without indent]]),"")</f>
        <v>Airlines Messaging (FWB/FHL//FSR)</v>
      </c>
      <c r="Z13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outward FWB/FHL/FSR</v>
      </c>
    </row>
    <row r="136" spans="2:26" x14ac:dyDescent="0.4">
      <c r="B136" s="15">
        <f>FIND(LEFT(TRIM(STLClientPriceCompute[[#This Row],[Description]]),1),STLClientPriceCompute[[#This Row],[Description]])-1</f>
        <v>3</v>
      </c>
      <c r="C136" s="19">
        <v>175</v>
      </c>
      <c r="D136" s="19"/>
      <c r="E136" s="19"/>
      <c r="F136" s="19" t="s">
        <v>704</v>
      </c>
      <c r="G136" s="19"/>
      <c r="H136" s="19" t="s">
        <v>87</v>
      </c>
      <c r="I136" s="20">
        <v>5.7368000000000002E-2</v>
      </c>
      <c r="J136" s="19" t="s">
        <v>295</v>
      </c>
      <c r="K136" s="19" t="s">
        <v>87</v>
      </c>
      <c r="L136" s="21">
        <v>0.57367999999999997</v>
      </c>
      <c r="M136" s="19" t="s">
        <v>85</v>
      </c>
      <c r="N136"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13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136" s="22" cm="1">
        <f t="array" ref="P136">IF(STLClientSpecificSettings[Core Pack Excluded from Std volume discount]="EX",1, IF(STLClientSpecificSettings[Volume Price Adjustment]="HV", STLClientPriceCompute[[#This Row],[Category search for HV Base Discount]], STLClientSpecificSettings[Volume %]/100))</f>
        <v>1.5</v>
      </c>
      <c r="Q136" s="12" cm="1">
        <f t="array" ref="Q136">IF(ISBLANK(STLClientPriceCompute[[#This Row],[Category]]), 1, IF(ISNUMBER(SEARCH(CONCATENATE(STLClientPriceCompute[[#This Row],[Category]],"-",STLClientPriceCompute[[#This Row],[Code]]),STLClientSpecificSettings[VolumeBasedPriceItems])),STLClientSpecificSettings[Volume %]/100,1))</f>
        <v>1</v>
      </c>
      <c r="R136" s="12" cm="1">
        <f t="array" ref="R136">IF(STLClientSpecificSettings[Core Pack Excluded from Std volume discount]="UP",IF(OR(E136="USR",E136="RBU"),STLClientSpecificSettings[Core Uplift %]/100+1,1),1)</f>
        <v>1</v>
      </c>
      <c r="S13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136" s="26" t="str">
        <f>IF(STLClientPriceCompute[[#This Row],[Available]]="Y", "P",IF(STLClientPriceCompute[[#This Row],[Available]]="N","O",""))</f>
        <v/>
      </c>
      <c r="U136" s="85" t="str">
        <f>TRIM(STLClientPriceCompute[[#This Row],[Description]])</f>
        <v>Booking/Shipping Instruction/Shipping Order (China) - submission to Carrier</v>
      </c>
      <c r="V136" s="82" t="str">
        <f>IF(STLClientPriceCompute[[#This Row],[Item Level]]=0,STLClientPriceCompute[[#This Row],[Desc without indent]],"")</f>
        <v/>
      </c>
      <c r="W136" s="82" t="str">
        <f>IF(STLClientPriceCompute[[#This Row],[Item Level]]=1,STLClientPriceCompute[[#This Row],[Desc without indent]],"")</f>
        <v/>
      </c>
      <c r="X136" s="82" t="str">
        <f>IF(STLClientPriceCompute[[#This Row],[Item Level]]=2,STLClientPriceCompute[[#This Row],[Desc without indent]],"")</f>
        <v/>
      </c>
      <c r="Y136" s="82" t="str">
        <f>IF(STLClientPriceCompute[[#This Row],[Item Level]]&gt;=3,_xlfn.CONCAT(REPT(" ",STLClientPriceCompute[[#This Row],[Item Level]]-3), STLClientPriceCompute[[#This Row],[Desc without indent]]),"")</f>
        <v>Booking/Shipping Instruction/Shipping Order (China) - submission to Carrier</v>
      </c>
      <c r="Z13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Booking/Shipping Instruction Message Sent</v>
      </c>
    </row>
    <row r="137" spans="2:26" x14ac:dyDescent="0.4">
      <c r="B137" s="15">
        <f>FIND(LEFT(TRIM(STLClientPriceCompute[[#This Row],[Description]]),1),STLClientPriceCompute[[#This Row],[Description]])-1</f>
        <v>3</v>
      </c>
      <c r="C137" s="19">
        <v>176</v>
      </c>
      <c r="D137" s="19" t="s">
        <v>294</v>
      </c>
      <c r="E137" s="19" t="s">
        <v>296</v>
      </c>
      <c r="F137" s="19" t="s">
        <v>297</v>
      </c>
      <c r="G137" s="19"/>
      <c r="H137" s="19" t="s">
        <v>87</v>
      </c>
      <c r="I137" s="20">
        <v>5.7368000000000002E-2</v>
      </c>
      <c r="J137" s="19" t="s">
        <v>115</v>
      </c>
      <c r="K137" s="19" t="s">
        <v>87</v>
      </c>
      <c r="L137" s="21">
        <v>0.57367999999999997</v>
      </c>
      <c r="M137" s="19" t="s">
        <v>85</v>
      </c>
      <c r="N137"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13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137" s="22" cm="1">
        <f t="array" ref="P137">IF(STLClientSpecificSettings[Core Pack Excluded from Std volume discount]="EX",1, IF(STLClientSpecificSettings[Volume Price Adjustment]="HV", STLClientPriceCompute[[#This Row],[Category search for HV Base Discount]], STLClientSpecificSettings[Volume %]/100))</f>
        <v>1.5</v>
      </c>
      <c r="Q137" s="12" cm="1">
        <f t="array" ref="Q137">IF(ISBLANK(STLClientPriceCompute[[#This Row],[Category]]), 1, IF(ISNUMBER(SEARCH(CONCATENATE(STLClientPriceCompute[[#This Row],[Category]],"-",STLClientPriceCompute[[#This Row],[Code]]),STLClientSpecificSettings[VolumeBasedPriceItems])),STLClientSpecificSettings[Volume %]/100,1))</f>
        <v>1</v>
      </c>
      <c r="R137" s="12" cm="1">
        <f t="array" ref="R137">IF(STLClientSpecificSettings[Core Pack Excluded from Std volume discount]="UP",IF(OR(E137="USR",E137="RBU"),STLClientSpecificSettings[Core Uplift %]/100+1,1),1)</f>
        <v>1</v>
      </c>
      <c r="S13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137" s="26" t="str">
        <f>IF(STLClientPriceCompute[[#This Row],[Available]]="Y", "P",IF(STLClientPriceCompute[[#This Row],[Available]]="N","O",""))</f>
        <v/>
      </c>
      <c r="U137" s="85" t="str">
        <f>TRIM(STLClientPriceCompute[[#This Row],[Description]])</f>
        <v>VGM - submission to Carrier</v>
      </c>
      <c r="V137" s="82" t="str">
        <f>IF(STLClientPriceCompute[[#This Row],[Item Level]]=0,STLClientPriceCompute[[#This Row],[Desc without indent]],"")</f>
        <v/>
      </c>
      <c r="W137" s="82" t="str">
        <f>IF(STLClientPriceCompute[[#This Row],[Item Level]]=1,STLClientPriceCompute[[#This Row],[Desc without indent]],"")</f>
        <v/>
      </c>
      <c r="X137" s="82" t="str">
        <f>IF(STLClientPriceCompute[[#This Row],[Item Level]]=2,STLClientPriceCompute[[#This Row],[Desc without indent]],"")</f>
        <v/>
      </c>
      <c r="Y137" s="82" t="str">
        <f>IF(STLClientPriceCompute[[#This Row],[Item Level]]&gt;=3,_xlfn.CONCAT(REPT(" ",STLClientPriceCompute[[#This Row],[Item Level]]-3), STLClientPriceCompute[[#This Row],[Desc without indent]]),"")</f>
        <v>VGM - submission to Carrier</v>
      </c>
      <c r="Z13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Container</v>
      </c>
    </row>
    <row r="138" spans="2:26" x14ac:dyDescent="0.4">
      <c r="B138" s="15">
        <f>FIND(LEFT(TRIM(STLClientPriceCompute[[#This Row],[Description]]),1),STLClientPriceCompute[[#This Row],[Description]])-1</f>
        <v>3</v>
      </c>
      <c r="C138" s="19">
        <v>177</v>
      </c>
      <c r="D138" s="19" t="s">
        <v>294</v>
      </c>
      <c r="E138" s="19" t="s">
        <v>705</v>
      </c>
      <c r="F138" s="19" t="s">
        <v>298</v>
      </c>
      <c r="G138" s="19"/>
      <c r="H138" s="19" t="s">
        <v>87</v>
      </c>
      <c r="I138" s="20">
        <v>5.7368000000000002E-2</v>
      </c>
      <c r="J138" s="19" t="s">
        <v>299</v>
      </c>
      <c r="K138" s="19" t="s">
        <v>87</v>
      </c>
      <c r="L138" s="21">
        <v>0.57367999999999997</v>
      </c>
      <c r="M138" s="19" t="s">
        <v>85</v>
      </c>
      <c r="N138"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13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138" s="22" cm="1">
        <f t="array" ref="P138">IF(STLClientSpecificSettings[Core Pack Excluded from Std volume discount]="EX",1, IF(STLClientSpecificSettings[Volume Price Adjustment]="HV", STLClientPriceCompute[[#This Row],[Category search for HV Base Discount]], STLClientSpecificSettings[Volume %]/100))</f>
        <v>1.5</v>
      </c>
      <c r="Q138" s="12" cm="1">
        <f t="array" ref="Q138">IF(ISBLANK(STLClientPriceCompute[[#This Row],[Category]]), 1, IF(ISNUMBER(SEARCH(CONCATENATE(STLClientPriceCompute[[#This Row],[Category]],"-",STLClientPriceCompute[[#This Row],[Code]]),STLClientSpecificSettings[VolumeBasedPriceItems])),STLClientSpecificSettings[Volume %]/100,1))</f>
        <v>1</v>
      </c>
      <c r="R138" s="12" cm="1">
        <f t="array" ref="R138">IF(STLClientSpecificSettings[Core Pack Excluded from Std volume discount]="UP",IF(OR(E138="USR",E138="RBU"),STLClientSpecificSettings[Core Uplift %]/100+1,1),1)</f>
        <v>1</v>
      </c>
      <c r="S13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138" s="26" t="str">
        <f>IF(STLClientPriceCompute[[#This Row],[Available]]="Y", "P",IF(STLClientPriceCompute[[#This Row],[Available]]="N","O",""))</f>
        <v/>
      </c>
      <c r="U138" s="85" t="str">
        <f>TRIM(STLClientPriceCompute[[#This Row],[Description]])</f>
        <v>Status Events not otherwise provided for</v>
      </c>
      <c r="V138" s="82" t="str">
        <f>IF(STLClientPriceCompute[[#This Row],[Item Level]]=0,STLClientPriceCompute[[#This Row],[Desc without indent]],"")</f>
        <v/>
      </c>
      <c r="W138" s="82" t="str">
        <f>IF(STLClientPriceCompute[[#This Row],[Item Level]]=1,STLClientPriceCompute[[#This Row],[Desc without indent]],"")</f>
        <v/>
      </c>
      <c r="X138" s="82" t="str">
        <f>IF(STLClientPriceCompute[[#This Row],[Item Level]]=2,STLClientPriceCompute[[#This Row],[Desc without indent]],"")</f>
        <v/>
      </c>
      <c r="Y138" s="82" t="str">
        <f>IF(STLClientPriceCompute[[#This Row],[Item Level]]&gt;=3,_xlfn.CONCAT(REPT(" ",STLClientPriceCompute[[#This Row],[Item Level]]-3), STLClientPriceCompute[[#This Row],[Desc without indent]]),"")</f>
        <v>Status Events not otherwise provided for</v>
      </c>
      <c r="Z13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Status Event Received</v>
      </c>
    </row>
    <row r="139" spans="2:26" x14ac:dyDescent="0.4">
      <c r="B139" s="15">
        <f>FIND(LEFT(TRIM(STLClientPriceCompute[[#This Row],[Description]]),1),STLClientPriceCompute[[#This Row],[Description]])-1</f>
        <v>2</v>
      </c>
      <c r="C139" s="19">
        <v>178</v>
      </c>
      <c r="D139" s="19"/>
      <c r="E139" s="19"/>
      <c r="F139" s="19" t="s">
        <v>300</v>
      </c>
      <c r="G139" s="19"/>
      <c r="H139" s="19" t="s">
        <v>87</v>
      </c>
      <c r="I139" s="20">
        <v>0</v>
      </c>
      <c r="J139" s="19"/>
      <c r="K139" s="19" t="s">
        <v>87</v>
      </c>
      <c r="L139" s="21">
        <v>0</v>
      </c>
      <c r="M139" s="19" t="s">
        <v>85</v>
      </c>
      <c r="N139" s="17">
        <f>_xlfn.IFNA(IF(STLClientPriceCompute[[#This Row],[Base Price (USD)]]="","", STLClientPriceCompute[[#This Row],[Base Price (USD)]]*VLOOKUP(_xlfn.CONCAT(STLClientPriceCompute[[#This Row],[Exchange Rate Group]],STLClientSpecificSettings[Currency]),ClientPriceExRate[[#All],[Ex-Currency]:[Exchange Rate]],2,FALSE)),"")</f>
        <v>0</v>
      </c>
      <c r="O13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39" s="22" cm="1">
        <f t="array" ref="P139">IF(STLClientSpecificSettings[Core Pack Excluded from Std volume discount]="EX",1, IF(STLClientSpecificSettings[Volume Price Adjustment]="HV", STLClientPriceCompute[[#This Row],[Category search for HV Base Discount]], STLClientSpecificSettings[Volume %]/100))</f>
        <v>1.5</v>
      </c>
      <c r="Q139" s="12" cm="1">
        <f t="array" ref="Q139">IF(ISBLANK(STLClientPriceCompute[[#This Row],[Category]]), 1, IF(ISNUMBER(SEARCH(CONCATENATE(STLClientPriceCompute[[#This Row],[Category]],"-",STLClientPriceCompute[[#This Row],[Code]]),STLClientSpecificSettings[VolumeBasedPriceItems])),STLClientSpecificSettings[Volume %]/100,1))</f>
        <v>1</v>
      </c>
      <c r="R139" s="12" cm="1">
        <f t="array" ref="R139">IF(STLClientSpecificSettings[Core Pack Excluded from Std volume discount]="UP",IF(OR(E139="USR",E139="RBU"),STLClientSpecificSettings[Core Uplift %]/100+1,1),1)</f>
        <v>1</v>
      </c>
      <c r="S13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39" s="26" t="str">
        <f>IF(STLClientPriceCompute[[#This Row],[Available]]="Y", "P",IF(STLClientPriceCompute[[#This Row],[Available]]="N","O",""))</f>
        <v/>
      </c>
      <c r="U139" s="85" t="str">
        <f>TRIM(STLClientPriceCompute[[#This Row],[Description]])</f>
        <v>Carrier/NVOCC Messaging</v>
      </c>
      <c r="V139" s="82" t="str">
        <f>IF(STLClientPriceCompute[[#This Row],[Item Level]]=0,STLClientPriceCompute[[#This Row],[Desc without indent]],"")</f>
        <v/>
      </c>
      <c r="W139" s="82" t="str">
        <f>IF(STLClientPriceCompute[[#This Row],[Item Level]]=1,STLClientPriceCompute[[#This Row],[Desc without indent]],"")</f>
        <v/>
      </c>
      <c r="X139" s="82" t="str">
        <f>IF(STLClientPriceCompute[[#This Row],[Item Level]]=2,STLClientPriceCompute[[#This Row],[Desc without indent]],"")</f>
        <v>Carrier/NVOCC Messaging</v>
      </c>
      <c r="Y139" s="82" t="str">
        <f>IF(STLClientPriceCompute[[#This Row],[Item Level]]&gt;=3,_xlfn.CONCAT(REPT(" ",STLClientPriceCompute[[#This Row],[Item Level]]-3), STLClientPriceCompute[[#This Row],[Desc without indent]]),"")</f>
        <v/>
      </c>
      <c r="Z13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40" spans="2:26" x14ac:dyDescent="0.4">
      <c r="B140" s="15">
        <f>FIND(LEFT(TRIM(STLClientPriceCompute[[#This Row],[Description]]),1),STLClientPriceCompute[[#This Row],[Description]])-1</f>
        <v>3</v>
      </c>
      <c r="C140" s="19">
        <v>179</v>
      </c>
      <c r="D140" s="19" t="s">
        <v>294</v>
      </c>
      <c r="E140" s="19" t="s">
        <v>301</v>
      </c>
      <c r="F140" s="19" t="s">
        <v>302</v>
      </c>
      <c r="G140" s="19"/>
      <c r="H140" s="19" t="s">
        <v>87</v>
      </c>
      <c r="I140" s="20">
        <v>0.57368200000000003</v>
      </c>
      <c r="J140" s="19" t="s">
        <v>115</v>
      </c>
      <c r="K140" s="19" t="s">
        <v>87</v>
      </c>
      <c r="L140" s="21">
        <v>5.7368199999999998</v>
      </c>
      <c r="M140" s="19" t="s">
        <v>85</v>
      </c>
      <c r="N140" s="17">
        <f>_xlfn.IFNA(IF(STLClientPriceCompute[[#This Row],[Base Price (USD)]]="","", STLClientPriceCompute[[#This Row],[Base Price (USD)]]*VLOOKUP(_xlfn.CONCAT(STLClientPriceCompute[[#This Row],[Exchange Rate Group]],STLClientSpecificSettings[Currency]),ClientPriceExRate[[#All],[Ex-Currency]:[Exchange Rate]],2,FALSE)),"")</f>
        <v>0.80123870212000003</v>
      </c>
      <c r="O14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1.2018580531800001</v>
      </c>
      <c r="P140" s="22" cm="1">
        <f t="array" ref="P140">IF(STLClientSpecificSettings[Core Pack Excluded from Std volume discount]="EX",1, IF(STLClientSpecificSettings[Volume Price Adjustment]="HV", STLClientPriceCompute[[#This Row],[Category search for HV Base Discount]], STLClientSpecificSettings[Volume %]/100))</f>
        <v>1.5</v>
      </c>
      <c r="Q140" s="12" cm="1">
        <f t="array" ref="Q140">IF(ISBLANK(STLClientPriceCompute[[#This Row],[Category]]), 1, IF(ISNUMBER(SEARCH(CONCATENATE(STLClientPriceCompute[[#This Row],[Category]],"-",STLClientPriceCompute[[#This Row],[Code]]),STLClientSpecificSettings[VolumeBasedPriceItems])),STLClientSpecificSettings[Volume %]/100,1))</f>
        <v>1</v>
      </c>
      <c r="R140" s="12" cm="1">
        <f t="array" ref="R140">IF(STLClientSpecificSettings[Core Pack Excluded from Std volume discount]="UP",IF(OR(E140="USR",E140="RBU"),STLClientSpecificSettings[Core Uplift %]/100+1,1),1)</f>
        <v>1</v>
      </c>
      <c r="S14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8.6052299999999988</v>
      </c>
      <c r="T140" s="26" t="str">
        <f>IF(STLClientPriceCompute[[#This Row],[Available]]="Y", "P",IF(STLClientPriceCompute[[#This Row],[Available]]="N","O",""))</f>
        <v/>
      </c>
      <c r="U140" s="85" t="str">
        <f>TRIM(STLClientPriceCompute[[#This Row],[Description]])</f>
        <v>Receiving VGM</v>
      </c>
      <c r="V140" s="82" t="str">
        <f>IF(STLClientPriceCompute[[#This Row],[Item Level]]=0,STLClientPriceCompute[[#This Row],[Desc without indent]],"")</f>
        <v/>
      </c>
      <c r="W140" s="82" t="str">
        <f>IF(STLClientPriceCompute[[#This Row],[Item Level]]=1,STLClientPriceCompute[[#This Row],[Desc without indent]],"")</f>
        <v/>
      </c>
      <c r="X140" s="82" t="str">
        <f>IF(STLClientPriceCompute[[#This Row],[Item Level]]=2,STLClientPriceCompute[[#This Row],[Desc without indent]],"")</f>
        <v/>
      </c>
      <c r="Y140" s="82" t="str">
        <f>IF(STLClientPriceCompute[[#This Row],[Item Level]]&gt;=3,_xlfn.CONCAT(REPT(" ",STLClientPriceCompute[[#This Row],[Item Level]]-3), STLClientPriceCompute[[#This Row],[Desc without indent]]),"")</f>
        <v>Receiving VGM</v>
      </c>
      <c r="Z14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Container</v>
      </c>
    </row>
    <row r="141" spans="2:26" x14ac:dyDescent="0.4">
      <c r="B141" s="15">
        <f>FIND(LEFT(TRIM(STLClientPriceCompute[[#This Row],[Description]]),1),STLClientPriceCompute[[#This Row],[Description]])-1</f>
        <v>3</v>
      </c>
      <c r="C141" s="19">
        <v>181</v>
      </c>
      <c r="D141" s="19" t="s">
        <v>294</v>
      </c>
      <c r="E141" s="19" t="s">
        <v>303</v>
      </c>
      <c r="F141" s="19" t="s">
        <v>304</v>
      </c>
      <c r="G141" s="19"/>
      <c r="H141" s="19" t="s">
        <v>87</v>
      </c>
      <c r="I141" s="20">
        <v>0.57368200000000003</v>
      </c>
      <c r="J141" s="19" t="s">
        <v>305</v>
      </c>
      <c r="K141" s="19" t="s">
        <v>87</v>
      </c>
      <c r="L141" s="21">
        <v>5.7368199999999998</v>
      </c>
      <c r="M141" s="19" t="s">
        <v>85</v>
      </c>
      <c r="N141" s="17">
        <f>_xlfn.IFNA(IF(STLClientPriceCompute[[#This Row],[Base Price (USD)]]="","", STLClientPriceCompute[[#This Row],[Base Price (USD)]]*VLOOKUP(_xlfn.CONCAT(STLClientPriceCompute[[#This Row],[Exchange Rate Group]],STLClientSpecificSettings[Currency]),ClientPriceExRate[[#All],[Ex-Currency]:[Exchange Rate]],2,FALSE)),"")</f>
        <v>0.80123870212000003</v>
      </c>
      <c r="O14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1.2018580531800001</v>
      </c>
      <c r="P141" s="22" cm="1">
        <f t="array" ref="P141">IF(STLClientSpecificSettings[Core Pack Excluded from Std volume discount]="EX",1, IF(STLClientSpecificSettings[Volume Price Adjustment]="HV", STLClientPriceCompute[[#This Row],[Category search for HV Base Discount]], STLClientSpecificSettings[Volume %]/100))</f>
        <v>1.5</v>
      </c>
      <c r="Q141" s="12" cm="1">
        <f t="array" ref="Q141">IF(ISBLANK(STLClientPriceCompute[[#This Row],[Category]]), 1, IF(ISNUMBER(SEARCH(CONCATENATE(STLClientPriceCompute[[#This Row],[Category]],"-",STLClientPriceCompute[[#This Row],[Code]]),STLClientSpecificSettings[VolumeBasedPriceItems])),STLClientSpecificSettings[Volume %]/100,1))</f>
        <v>1</v>
      </c>
      <c r="R141" s="12" cm="1">
        <f t="array" ref="R141">IF(STLClientSpecificSettings[Core Pack Excluded from Std volume discount]="UP",IF(OR(E141="USR",E141="RBU"),STLClientSpecificSettings[Core Uplift %]/100+1,1),1)</f>
        <v>1</v>
      </c>
      <c r="S14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8.6052299999999988</v>
      </c>
      <c r="T141" s="26" t="str">
        <f>IF(STLClientPriceCompute[[#This Row],[Available]]="Y", "P",IF(STLClientPriceCompute[[#This Row],[Available]]="N","O",""))</f>
        <v/>
      </c>
      <c r="U141" s="85" t="str">
        <f>TRIM(STLClientPriceCompute[[#This Row],[Description]])</f>
        <v>Receiving Booking/SI</v>
      </c>
      <c r="V141" s="82" t="str">
        <f>IF(STLClientPriceCompute[[#This Row],[Item Level]]=0,STLClientPriceCompute[[#This Row],[Desc without indent]],"")</f>
        <v/>
      </c>
      <c r="W141" s="82" t="str">
        <f>IF(STLClientPriceCompute[[#This Row],[Item Level]]=1,STLClientPriceCompute[[#This Row],[Desc without indent]],"")</f>
        <v/>
      </c>
      <c r="X141" s="82" t="str">
        <f>IF(STLClientPriceCompute[[#This Row],[Item Level]]=2,STLClientPriceCompute[[#This Row],[Desc without indent]],"")</f>
        <v/>
      </c>
      <c r="Y141" s="82" t="str">
        <f>IF(STLClientPriceCompute[[#This Row],[Item Level]]&gt;=3,_xlfn.CONCAT(REPT(" ",STLClientPriceCompute[[#This Row],[Item Level]]-3), STLClientPriceCompute[[#This Row],[Desc without indent]]),"")</f>
        <v>Receiving Booking/SI</v>
      </c>
      <c r="Z14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Shipment</v>
      </c>
    </row>
    <row r="142" spans="2:26" x14ac:dyDescent="0.4">
      <c r="B142" s="15">
        <f>FIND(LEFT(TRIM(STLClientPriceCompute[[#This Row],[Description]]),1),STLClientPriceCompute[[#This Row],[Description]])-1</f>
        <v>2</v>
      </c>
      <c r="C142" s="19">
        <v>182</v>
      </c>
      <c r="D142" s="19"/>
      <c r="E142" s="19"/>
      <c r="F142" s="19" t="s">
        <v>306</v>
      </c>
      <c r="G142" s="19"/>
      <c r="H142" s="19" t="s">
        <v>87</v>
      </c>
      <c r="I142" s="20">
        <v>0</v>
      </c>
      <c r="J142" s="19"/>
      <c r="K142" s="19" t="s">
        <v>87</v>
      </c>
      <c r="L142" s="21">
        <v>0</v>
      </c>
      <c r="M142" s="19" t="s">
        <v>85</v>
      </c>
      <c r="N142" s="17">
        <f>_xlfn.IFNA(IF(STLClientPriceCompute[[#This Row],[Base Price (USD)]]="","", STLClientPriceCompute[[#This Row],[Base Price (USD)]]*VLOOKUP(_xlfn.CONCAT(STLClientPriceCompute[[#This Row],[Exchange Rate Group]],STLClientSpecificSettings[Currency]),ClientPriceExRate[[#All],[Ex-Currency]:[Exchange Rate]],2,FALSE)),"")</f>
        <v>0</v>
      </c>
      <c r="O14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2" s="22" cm="1">
        <f t="array" ref="P142">IF(STLClientSpecificSettings[Core Pack Excluded from Std volume discount]="EX",1, IF(STLClientSpecificSettings[Volume Price Adjustment]="HV", STLClientPriceCompute[[#This Row],[Category search for HV Base Discount]], STLClientSpecificSettings[Volume %]/100))</f>
        <v>1.5</v>
      </c>
      <c r="Q142" s="12" cm="1">
        <f t="array" ref="Q142">IF(ISBLANK(STLClientPriceCompute[[#This Row],[Category]]), 1, IF(ISNUMBER(SEARCH(CONCATENATE(STLClientPriceCompute[[#This Row],[Category]],"-",STLClientPriceCompute[[#This Row],[Code]]),STLClientSpecificSettings[VolumeBasedPriceItems])),STLClientSpecificSettings[Volume %]/100,1))</f>
        <v>1</v>
      </c>
      <c r="R142" s="12" cm="1">
        <f t="array" ref="R142">IF(STLClientSpecificSettings[Core Pack Excluded from Std volume discount]="UP",IF(OR(E142="USR",E142="RBU"),STLClientSpecificSettings[Core Uplift %]/100+1,1),1)</f>
        <v>1</v>
      </c>
      <c r="S14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2" s="26" t="str">
        <f>IF(STLClientPriceCompute[[#This Row],[Available]]="Y", "P",IF(STLClientPriceCompute[[#This Row],[Available]]="N","O",""))</f>
        <v/>
      </c>
      <c r="U142" s="85" t="str">
        <f>TRIM(STLClientPriceCompute[[#This Row],[Description]])</f>
        <v>Tracking Functions</v>
      </c>
      <c r="V142" s="82" t="str">
        <f>IF(STLClientPriceCompute[[#This Row],[Item Level]]=0,STLClientPriceCompute[[#This Row],[Desc without indent]],"")</f>
        <v/>
      </c>
      <c r="W142" s="82" t="str">
        <f>IF(STLClientPriceCompute[[#This Row],[Item Level]]=1,STLClientPriceCompute[[#This Row],[Desc without indent]],"")</f>
        <v/>
      </c>
      <c r="X142" s="82" t="str">
        <f>IF(STLClientPriceCompute[[#This Row],[Item Level]]=2,STLClientPriceCompute[[#This Row],[Desc without indent]],"")</f>
        <v>Tracking Functions</v>
      </c>
      <c r="Y142" s="82" t="str">
        <f>IF(STLClientPriceCompute[[#This Row],[Item Level]]&gt;=3,_xlfn.CONCAT(REPT(" ",STLClientPriceCompute[[#This Row],[Item Level]]-3), STLClientPriceCompute[[#This Row],[Desc without indent]]),"")</f>
        <v/>
      </c>
      <c r="Z14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43" spans="2:26" x14ac:dyDescent="0.4">
      <c r="B143" s="15">
        <f>FIND(LEFT(TRIM(STLClientPriceCompute[[#This Row],[Description]]),1),STLClientPriceCompute[[#This Row],[Description]])-1</f>
        <v>3</v>
      </c>
      <c r="C143" s="19">
        <v>183</v>
      </c>
      <c r="D143" s="19" t="s">
        <v>307</v>
      </c>
      <c r="E143" s="19" t="s">
        <v>308</v>
      </c>
      <c r="F143" s="19" t="s">
        <v>309</v>
      </c>
      <c r="G143" s="19"/>
      <c r="H143" s="19" t="s">
        <v>87</v>
      </c>
      <c r="I143" s="20">
        <v>5.4635999999999997E-2</v>
      </c>
      <c r="J143" s="19" t="s">
        <v>310</v>
      </c>
      <c r="K143" s="19" t="s">
        <v>87</v>
      </c>
      <c r="L143" s="21">
        <v>0.54635999999999996</v>
      </c>
      <c r="M143" s="19" t="s">
        <v>85</v>
      </c>
      <c r="N143" s="17">
        <f>_xlfn.IFNA(IF(STLClientPriceCompute[[#This Row],[Base Price (USD)]]="","", STLClientPriceCompute[[#This Row],[Base Price (USD)]]*VLOOKUP(_xlfn.CONCAT(STLClientPriceCompute[[#This Row],[Exchange Rate Group]],STLClientSpecificSettings[Currency]),ClientPriceExRate[[#All],[Ex-Currency]:[Exchange Rate]],2,FALSE)),"")</f>
        <v>7.6307915759999997E-2</v>
      </c>
      <c r="O14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0.11446187363999999</v>
      </c>
      <c r="P143" s="22" cm="1">
        <f t="array" ref="P143">IF(STLClientSpecificSettings[Core Pack Excluded from Std volume discount]="EX",1, IF(STLClientSpecificSettings[Volume Price Adjustment]="HV", STLClientPriceCompute[[#This Row],[Category search for HV Base Discount]], STLClientSpecificSettings[Volume %]/100))</f>
        <v>1.5</v>
      </c>
      <c r="Q143" s="12" cm="1">
        <f t="array" ref="Q143">IF(ISBLANK(STLClientPriceCompute[[#This Row],[Category]]), 1, IF(ISNUMBER(SEARCH(CONCATENATE(STLClientPriceCompute[[#This Row],[Category]],"-",STLClientPriceCompute[[#This Row],[Code]]),STLClientSpecificSettings[VolumeBasedPriceItems])),STLClientSpecificSettings[Volume %]/100,1))</f>
        <v>1</v>
      </c>
      <c r="R143" s="12" cm="1">
        <f t="array" ref="R143">IF(STLClientSpecificSettings[Core Pack Excluded from Std volume discount]="UP",IF(OR(E143="USR",E143="RBU"),STLClientSpecificSettings[Core Uplift %]/100+1,1),1)</f>
        <v>1</v>
      </c>
      <c r="S14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0.81953999999999994</v>
      </c>
      <c r="T143" s="26" t="str">
        <f>IF(STLClientPriceCompute[[#This Row],[Available]]="Y", "P",IF(STLClientPriceCompute[[#This Row],[Available]]="N","O",""))</f>
        <v/>
      </c>
      <c r="U143" s="85" t="str">
        <f>TRIM(STLClientPriceCompute[[#This Row],[Description]])</f>
        <v>Railinc Tracking Event</v>
      </c>
      <c r="V143" s="82" t="str">
        <f>IF(STLClientPriceCompute[[#This Row],[Item Level]]=0,STLClientPriceCompute[[#This Row],[Desc without indent]],"")</f>
        <v/>
      </c>
      <c r="W143" s="82" t="str">
        <f>IF(STLClientPriceCompute[[#This Row],[Item Level]]=1,STLClientPriceCompute[[#This Row],[Desc without indent]],"")</f>
        <v/>
      </c>
      <c r="X143" s="82" t="str">
        <f>IF(STLClientPriceCompute[[#This Row],[Item Level]]=2,STLClientPriceCompute[[#This Row],[Desc without indent]],"")</f>
        <v/>
      </c>
      <c r="Y143" s="82" t="str">
        <f>IF(STLClientPriceCompute[[#This Row],[Item Level]]&gt;=3,_xlfn.CONCAT(REPT(" ",STLClientPriceCompute[[#This Row],[Item Level]]-3), STLClientPriceCompute[[#This Row],[Desc without indent]]),"")</f>
        <v>Railinc Tracking Event</v>
      </c>
      <c r="Z14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Event Received</v>
      </c>
    </row>
    <row r="144" spans="2:26" x14ac:dyDescent="0.4">
      <c r="B144" s="15">
        <f>FIND(LEFT(TRIM(STLClientPriceCompute[[#This Row],[Description]]),1),STLClientPriceCompute[[#This Row],[Description]])-1</f>
        <v>3</v>
      </c>
      <c r="C144" s="19">
        <v>184</v>
      </c>
      <c r="D144" s="19"/>
      <c r="E144" s="19"/>
      <c r="F144" s="19" t="s">
        <v>706</v>
      </c>
      <c r="G144" s="19"/>
      <c r="H144" s="19" t="s">
        <v>87</v>
      </c>
      <c r="I144" s="20">
        <v>0</v>
      </c>
      <c r="J144" s="19" t="s">
        <v>712</v>
      </c>
      <c r="K144" s="19" t="s">
        <v>87</v>
      </c>
      <c r="L144" s="21">
        <v>0</v>
      </c>
      <c r="M144" s="19" t="s">
        <v>85</v>
      </c>
      <c r="N144" s="17">
        <f>_xlfn.IFNA(IF(STLClientPriceCompute[[#This Row],[Base Price (USD)]]="","", STLClientPriceCompute[[#This Row],[Base Price (USD)]]*VLOOKUP(_xlfn.CONCAT(STLClientPriceCompute[[#This Row],[Exchange Rate Group]],STLClientSpecificSettings[Currency]),ClientPriceExRate[[#All],[Ex-Currency]:[Exchange Rate]],2,FALSE)),"")</f>
        <v>0</v>
      </c>
      <c r="O14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4" s="22" cm="1">
        <f t="array" ref="P144">IF(STLClientSpecificSettings[Core Pack Excluded from Std volume discount]="EX",1, IF(STLClientSpecificSettings[Volume Price Adjustment]="HV", STLClientPriceCompute[[#This Row],[Category search for HV Base Discount]], STLClientSpecificSettings[Volume %]/100))</f>
        <v>1.5</v>
      </c>
      <c r="Q144" s="12" cm="1">
        <f t="array" ref="Q144">IF(ISBLANK(STLClientPriceCompute[[#This Row],[Category]]), 1, IF(ISNUMBER(SEARCH(CONCATENATE(STLClientPriceCompute[[#This Row],[Category]],"-",STLClientPriceCompute[[#This Row],[Code]]),STLClientSpecificSettings[VolumeBasedPriceItems])),STLClientSpecificSettings[Volume %]/100,1))</f>
        <v>1</v>
      </c>
      <c r="R144" s="12" cm="1">
        <f t="array" ref="R144">IF(STLClientSpecificSettings[Core Pack Excluded from Std volume discount]="UP",IF(OR(E144="USR",E144="RBU"),STLClientSpecificSettings[Core Uplift %]/100+1,1),1)</f>
        <v>1</v>
      </c>
      <c r="S14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4" s="26" t="str">
        <f>IF(STLClientPriceCompute[[#This Row],[Available]]="Y", "P",IF(STLClientPriceCompute[[#This Row],[Available]]="N","O",""))</f>
        <v/>
      </c>
      <c r="U144" s="85" t="str">
        <f>TRIM(STLClientPriceCompute[[#This Row],[Description]])</f>
        <v>LCL Tracking &amp; Automation</v>
      </c>
      <c r="V144" s="82" t="str">
        <f>IF(STLClientPriceCompute[[#This Row],[Item Level]]=0,STLClientPriceCompute[[#This Row],[Desc without indent]],"")</f>
        <v/>
      </c>
      <c r="W144" s="82" t="str">
        <f>IF(STLClientPriceCompute[[#This Row],[Item Level]]=1,STLClientPriceCompute[[#This Row],[Desc without indent]],"")</f>
        <v/>
      </c>
      <c r="X144" s="82" t="str">
        <f>IF(STLClientPriceCompute[[#This Row],[Item Level]]=2,STLClientPriceCompute[[#This Row],[Desc without indent]],"")</f>
        <v/>
      </c>
      <c r="Y144" s="82" t="str">
        <f>IF(STLClientPriceCompute[[#This Row],[Item Level]]&gt;=3,_xlfn.CONCAT(REPT(" ",STLClientPriceCompute[[#This Row],[Item Level]]-3), STLClientPriceCompute[[#This Row],[Desc without indent]]),"")</f>
        <v>LCL Tracking &amp; Automation</v>
      </c>
      <c r="Z14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LCL Booking (Currently on introductory pricing)</v>
      </c>
    </row>
    <row r="145" spans="2:26" x14ac:dyDescent="0.4">
      <c r="B145" s="15">
        <f>FIND(LEFT(TRIM(STLClientPriceCompute[[#This Row],[Description]]),1),STLClientPriceCompute[[#This Row],[Description]])-1</f>
        <v>3</v>
      </c>
      <c r="C145" s="19">
        <v>185</v>
      </c>
      <c r="D145" s="19"/>
      <c r="E145" s="19"/>
      <c r="F145" s="19" t="s">
        <v>311</v>
      </c>
      <c r="G145" s="19"/>
      <c r="H145" s="19" t="s">
        <v>87</v>
      </c>
      <c r="I145" s="20">
        <v>0</v>
      </c>
      <c r="J145" s="19" t="s">
        <v>312</v>
      </c>
      <c r="K145" s="19" t="s">
        <v>87</v>
      </c>
      <c r="L145" s="21">
        <v>0</v>
      </c>
      <c r="M145" s="19" t="s">
        <v>85</v>
      </c>
      <c r="N145" s="17">
        <f>_xlfn.IFNA(IF(STLClientPriceCompute[[#This Row],[Base Price (USD)]]="","", STLClientPriceCompute[[#This Row],[Base Price (USD)]]*VLOOKUP(_xlfn.CONCAT(STLClientPriceCompute[[#This Row],[Exchange Rate Group]],STLClientSpecificSettings[Currency]),ClientPriceExRate[[#All],[Ex-Currency]:[Exchange Rate]],2,FALSE)),"")</f>
        <v>0</v>
      </c>
      <c r="O14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5" s="22" cm="1">
        <f t="array" ref="P145">IF(STLClientSpecificSettings[Core Pack Excluded from Std volume discount]="EX",1, IF(STLClientSpecificSettings[Volume Price Adjustment]="HV", STLClientPriceCompute[[#This Row],[Category search for HV Base Discount]], STLClientSpecificSettings[Volume %]/100))</f>
        <v>1.5</v>
      </c>
      <c r="Q145" s="12" cm="1">
        <f t="array" ref="Q145">IF(ISBLANK(STLClientPriceCompute[[#This Row],[Category]]), 1, IF(ISNUMBER(SEARCH(CONCATENATE(STLClientPriceCompute[[#This Row],[Category]],"-",STLClientPriceCompute[[#This Row],[Code]]),STLClientSpecificSettings[VolumeBasedPriceItems])),STLClientSpecificSettings[Volume %]/100,1))</f>
        <v>1</v>
      </c>
      <c r="R145" s="12" cm="1">
        <f t="array" ref="R145">IF(STLClientSpecificSettings[Core Pack Excluded from Std volume discount]="UP",IF(OR(E145="USR",E145="RBU"),STLClientSpecificSettings[Core Uplift %]/100+1,1),1)</f>
        <v>1</v>
      </c>
      <c r="S14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5" s="26" t="str">
        <f>IF(STLClientPriceCompute[[#This Row],[Available]]="Y", "P",IF(STLClientPriceCompute[[#This Row],[Available]]="N","O",""))</f>
        <v/>
      </c>
      <c r="U145" s="85" t="str">
        <f>TRIM(STLClientPriceCompute[[#This Row],[Description]])</f>
        <v>Ocean Bill Tracking</v>
      </c>
      <c r="V145" s="82" t="str">
        <f>IF(STLClientPriceCompute[[#This Row],[Item Level]]=0,STLClientPriceCompute[[#This Row],[Desc without indent]],"")</f>
        <v/>
      </c>
      <c r="W145" s="82" t="str">
        <f>IF(STLClientPriceCompute[[#This Row],[Item Level]]=1,STLClientPriceCompute[[#This Row],[Desc without indent]],"")</f>
        <v/>
      </c>
      <c r="X145" s="82" t="str">
        <f>IF(STLClientPriceCompute[[#This Row],[Item Level]]=2,STLClientPriceCompute[[#This Row],[Desc without indent]],"")</f>
        <v/>
      </c>
      <c r="Y145" s="82" t="str">
        <f>IF(STLClientPriceCompute[[#This Row],[Item Level]]&gt;=3,_xlfn.CONCAT(REPT(" ",STLClientPriceCompute[[#This Row],[Item Level]]-3), STLClientPriceCompute[[#This Row],[Desc without indent]]),"")</f>
        <v>Ocean Bill Tracking</v>
      </c>
      <c r="Z14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Booking/SI</v>
      </c>
    </row>
    <row r="146" spans="2:26" x14ac:dyDescent="0.4">
      <c r="B146" s="15">
        <f>FIND(LEFT(TRIM(STLClientPriceCompute[[#This Row],[Description]]),1),STLClientPriceCompute[[#This Row],[Description]])-1</f>
        <v>3</v>
      </c>
      <c r="C146" s="19">
        <v>186</v>
      </c>
      <c r="D146" s="19"/>
      <c r="E146" s="19"/>
      <c r="F146" s="19" t="s">
        <v>313</v>
      </c>
      <c r="G146" s="19"/>
      <c r="H146" s="19" t="s">
        <v>87</v>
      </c>
      <c r="I146" s="20">
        <v>0</v>
      </c>
      <c r="J146" s="19" t="s">
        <v>314</v>
      </c>
      <c r="K146" s="19" t="s">
        <v>87</v>
      </c>
      <c r="L146" s="21">
        <v>0</v>
      </c>
      <c r="M146" s="19" t="s">
        <v>85</v>
      </c>
      <c r="N146" s="17">
        <f>_xlfn.IFNA(IF(STLClientPriceCompute[[#This Row],[Base Price (USD)]]="","", STLClientPriceCompute[[#This Row],[Base Price (USD)]]*VLOOKUP(_xlfn.CONCAT(STLClientPriceCompute[[#This Row],[Exchange Rate Group]],STLClientSpecificSettings[Currency]),ClientPriceExRate[[#All],[Ex-Currency]:[Exchange Rate]],2,FALSE)),"")</f>
        <v>0</v>
      </c>
      <c r="O14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6" s="22" cm="1">
        <f t="array" ref="P146">IF(STLClientSpecificSettings[Core Pack Excluded from Std volume discount]="EX",1, IF(STLClientSpecificSettings[Volume Price Adjustment]="HV", STLClientPriceCompute[[#This Row],[Category search for HV Base Discount]], STLClientSpecificSettings[Volume %]/100))</f>
        <v>1.5</v>
      </c>
      <c r="Q146" s="12" cm="1">
        <f t="array" ref="Q146">IF(ISBLANK(STLClientPriceCompute[[#This Row],[Category]]), 1, IF(ISNUMBER(SEARCH(CONCATENATE(STLClientPriceCompute[[#This Row],[Category]],"-",STLClientPriceCompute[[#This Row],[Code]]),STLClientSpecificSettings[VolumeBasedPriceItems])),STLClientSpecificSettings[Volume %]/100,1))</f>
        <v>1</v>
      </c>
      <c r="R146" s="12" cm="1">
        <f t="array" ref="R146">IF(STLClientSpecificSettings[Core Pack Excluded from Std volume discount]="UP",IF(OR(E146="USR",E146="RBU"),STLClientSpecificSettings[Core Uplift %]/100+1,1),1)</f>
        <v>1</v>
      </c>
      <c r="S14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6" s="26" t="str">
        <f>IF(STLClientPriceCompute[[#This Row],[Available]]="Y", "P",IF(STLClientPriceCompute[[#This Row],[Available]]="N","O",""))</f>
        <v/>
      </c>
      <c r="U146" s="85" t="str">
        <f>TRIM(STLClientPriceCompute[[#This Row],[Description]])</f>
        <v>Airline FSU/FSA/FMA/FNA</v>
      </c>
      <c r="V146" s="82" t="str">
        <f>IF(STLClientPriceCompute[[#This Row],[Item Level]]=0,STLClientPriceCompute[[#This Row],[Desc without indent]],"")</f>
        <v/>
      </c>
      <c r="W146" s="82" t="str">
        <f>IF(STLClientPriceCompute[[#This Row],[Item Level]]=1,STLClientPriceCompute[[#This Row],[Desc without indent]],"")</f>
        <v/>
      </c>
      <c r="X146" s="82" t="str">
        <f>IF(STLClientPriceCompute[[#This Row],[Item Level]]=2,STLClientPriceCompute[[#This Row],[Desc without indent]],"")</f>
        <v/>
      </c>
      <c r="Y146" s="82" t="str">
        <f>IF(STLClientPriceCompute[[#This Row],[Item Level]]&gt;=3,_xlfn.CONCAT(REPT(" ",STLClientPriceCompute[[#This Row],[Item Level]]-3), STLClientPriceCompute[[#This Row],[Desc without indent]]),"")</f>
        <v>Airline FSU/FSA/FMA/FNA</v>
      </c>
      <c r="Z14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FWB/FSR transaction</v>
      </c>
    </row>
    <row r="147" spans="2:26" x14ac:dyDescent="0.4">
      <c r="B147" s="15">
        <f>FIND(LEFT(TRIM(STLClientPriceCompute[[#This Row],[Description]]),1),STLClientPriceCompute[[#This Row],[Description]])-1</f>
        <v>0</v>
      </c>
      <c r="C147" s="19">
        <v>188</v>
      </c>
      <c r="D147" s="19"/>
      <c r="E147" s="19"/>
      <c r="F147" s="19" t="s">
        <v>315</v>
      </c>
      <c r="G147" s="19"/>
      <c r="H147" s="19" t="s">
        <v>87</v>
      </c>
      <c r="I147" s="20">
        <v>0</v>
      </c>
      <c r="J147" s="19"/>
      <c r="K147" s="19" t="s">
        <v>87</v>
      </c>
      <c r="L147" s="21">
        <v>0</v>
      </c>
      <c r="M147" s="19" t="s">
        <v>85</v>
      </c>
      <c r="N147" s="17">
        <f>_xlfn.IFNA(IF(STLClientPriceCompute[[#This Row],[Base Price (USD)]]="","", STLClientPriceCompute[[#This Row],[Base Price (USD)]]*VLOOKUP(_xlfn.CONCAT(STLClientPriceCompute[[#This Row],[Exchange Rate Group]],STLClientSpecificSettings[Currency]),ClientPriceExRate[[#All],[Ex-Currency]:[Exchange Rate]],2,FALSE)),"")</f>
        <v>0</v>
      </c>
      <c r="O14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7" s="22" cm="1">
        <f t="array" ref="P147">IF(STLClientSpecificSettings[Core Pack Excluded from Std volume discount]="EX",1, IF(STLClientSpecificSettings[Volume Price Adjustment]="HV", STLClientPriceCompute[[#This Row],[Category search for HV Base Discount]], STLClientSpecificSettings[Volume %]/100))</f>
        <v>1.5</v>
      </c>
      <c r="Q147" s="12" cm="1">
        <f t="array" ref="Q147">IF(ISBLANK(STLClientPriceCompute[[#This Row],[Category]]), 1, IF(ISNUMBER(SEARCH(CONCATENATE(STLClientPriceCompute[[#This Row],[Category]],"-",STLClientPriceCompute[[#This Row],[Code]]),STLClientSpecificSettings[VolumeBasedPriceItems])),STLClientSpecificSettings[Volume %]/100,1))</f>
        <v>1</v>
      </c>
      <c r="R147" s="12" cm="1">
        <f t="array" ref="R147">IF(STLClientSpecificSettings[Core Pack Excluded from Std volume discount]="UP",IF(OR(E147="USR",E147="RBU"),STLClientSpecificSettings[Core Uplift %]/100+1,1),1)</f>
        <v>1</v>
      </c>
      <c r="S14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7" s="26" t="str">
        <f>IF(STLClientPriceCompute[[#This Row],[Available]]="Y", "P",IF(STLClientPriceCompute[[#This Row],[Available]]="N","O",""))</f>
        <v/>
      </c>
      <c r="U147" s="85" t="str">
        <f>TRIM(STLClientPriceCompute[[#This Row],[Description]])</f>
        <v>CRM / Sales Management / HRM</v>
      </c>
      <c r="V147" s="82" t="str">
        <f>IF(STLClientPriceCompute[[#This Row],[Item Level]]=0,STLClientPriceCompute[[#This Row],[Desc without indent]],"")</f>
        <v>CRM / Sales Management / HRM</v>
      </c>
      <c r="W147" s="82" t="str">
        <f>IF(STLClientPriceCompute[[#This Row],[Item Level]]=1,STLClientPriceCompute[[#This Row],[Desc without indent]],"")</f>
        <v/>
      </c>
      <c r="X147" s="82" t="str">
        <f>IF(STLClientPriceCompute[[#This Row],[Item Level]]=2,STLClientPriceCompute[[#This Row],[Desc without indent]],"")</f>
        <v/>
      </c>
      <c r="Y147" s="82" t="str">
        <f>IF(STLClientPriceCompute[[#This Row],[Item Level]]&gt;=3,_xlfn.CONCAT(REPT(" ",STLClientPriceCompute[[#This Row],[Item Level]]-3), STLClientPriceCompute[[#This Row],[Desc without indent]]),"")</f>
        <v/>
      </c>
      <c r="Z14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48" spans="2:26" x14ac:dyDescent="0.4">
      <c r="B148" s="15">
        <f>FIND(LEFT(TRIM(STLClientPriceCompute[[#This Row],[Description]]),1),STLClientPriceCompute[[#This Row],[Description]])-1</f>
        <v>1</v>
      </c>
      <c r="C148" s="19">
        <v>189</v>
      </c>
      <c r="D148" s="19"/>
      <c r="E148" s="19"/>
      <c r="F148" s="19" t="s">
        <v>316</v>
      </c>
      <c r="G148" s="19"/>
      <c r="H148" s="19" t="s">
        <v>87</v>
      </c>
      <c r="I148" s="20">
        <v>0</v>
      </c>
      <c r="J148" s="19"/>
      <c r="K148" s="19" t="s">
        <v>87</v>
      </c>
      <c r="L148" s="21">
        <v>0</v>
      </c>
      <c r="M148" s="19" t="s">
        <v>85</v>
      </c>
      <c r="N148" s="17">
        <f>_xlfn.IFNA(IF(STLClientPriceCompute[[#This Row],[Base Price (USD)]]="","", STLClientPriceCompute[[#This Row],[Base Price (USD)]]*VLOOKUP(_xlfn.CONCAT(STLClientPriceCompute[[#This Row],[Exchange Rate Group]],STLClientSpecificSettings[Currency]),ClientPriceExRate[[#All],[Ex-Currency]:[Exchange Rate]],2,FALSE)),"")</f>
        <v>0</v>
      </c>
      <c r="O14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8" s="22" cm="1">
        <f t="array" ref="P148">IF(STLClientSpecificSettings[Core Pack Excluded from Std volume discount]="EX",1, IF(STLClientSpecificSettings[Volume Price Adjustment]="HV", STLClientPriceCompute[[#This Row],[Category search for HV Base Discount]], STLClientSpecificSettings[Volume %]/100))</f>
        <v>1.5</v>
      </c>
      <c r="Q148" s="12" cm="1">
        <f t="array" ref="Q148">IF(ISBLANK(STLClientPriceCompute[[#This Row],[Category]]), 1, IF(ISNUMBER(SEARCH(CONCATENATE(STLClientPriceCompute[[#This Row],[Category]],"-",STLClientPriceCompute[[#This Row],[Code]]),STLClientSpecificSettings[VolumeBasedPriceItems])),STLClientSpecificSettings[Volume %]/100,1))</f>
        <v>1</v>
      </c>
      <c r="R148" s="12" cm="1">
        <f t="array" ref="R148">IF(STLClientSpecificSettings[Core Pack Excluded from Std volume discount]="UP",IF(OR(E148="USR",E148="RBU"),STLClientSpecificSettings[Core Uplift %]/100+1,1),1)</f>
        <v>1</v>
      </c>
      <c r="S14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8" s="26" t="str">
        <f>IF(STLClientPriceCompute[[#This Row],[Available]]="Y", "P",IF(STLClientPriceCompute[[#This Row],[Available]]="N","O",""))</f>
        <v/>
      </c>
      <c r="U148" s="85" t="str">
        <f>TRIM(STLClientPriceCompute[[#This Row],[Description]])</f>
        <v>Sales and Marketing System</v>
      </c>
      <c r="V148" s="82" t="str">
        <f>IF(STLClientPriceCompute[[#This Row],[Item Level]]=0,STLClientPriceCompute[[#This Row],[Desc without indent]],"")</f>
        <v/>
      </c>
      <c r="W148" s="82" t="str">
        <f>IF(STLClientPriceCompute[[#This Row],[Item Level]]=1,STLClientPriceCompute[[#This Row],[Desc without indent]],"")</f>
        <v>Sales and Marketing System</v>
      </c>
      <c r="X148" s="82" t="str">
        <f>IF(STLClientPriceCompute[[#This Row],[Item Level]]=2,STLClientPriceCompute[[#This Row],[Desc without indent]],"")</f>
        <v/>
      </c>
      <c r="Y148" s="82" t="str">
        <f>IF(STLClientPriceCompute[[#This Row],[Item Level]]&gt;=3,_xlfn.CONCAT(REPT(" ",STLClientPriceCompute[[#This Row],[Item Level]]-3), STLClientPriceCompute[[#This Row],[Desc without indent]]),"")</f>
        <v/>
      </c>
      <c r="Z14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49" spans="2:26" x14ac:dyDescent="0.4">
      <c r="B149" s="15">
        <f>FIND(LEFT(TRIM(STLClientPriceCompute[[#This Row],[Description]]),1),STLClientPriceCompute[[#This Row],[Description]])-1</f>
        <v>2</v>
      </c>
      <c r="C149" s="19">
        <v>190</v>
      </c>
      <c r="D149" s="19"/>
      <c r="E149" s="19"/>
      <c r="F149" s="19" t="s">
        <v>317</v>
      </c>
      <c r="G149" s="19"/>
      <c r="H149" s="19" t="s">
        <v>87</v>
      </c>
      <c r="I149" s="20">
        <v>0</v>
      </c>
      <c r="J149" s="19" t="s">
        <v>118</v>
      </c>
      <c r="K149" s="19" t="s">
        <v>87</v>
      </c>
      <c r="L149" s="21">
        <v>0</v>
      </c>
      <c r="M149" s="19" t="s">
        <v>85</v>
      </c>
      <c r="N149" s="17">
        <f>_xlfn.IFNA(IF(STLClientPriceCompute[[#This Row],[Base Price (USD)]]="","", STLClientPriceCompute[[#This Row],[Base Price (USD)]]*VLOOKUP(_xlfn.CONCAT(STLClientPriceCompute[[#This Row],[Exchange Rate Group]],STLClientSpecificSettings[Currency]),ClientPriceExRate[[#All],[Ex-Currency]:[Exchange Rate]],2,FALSE)),"")</f>
        <v>0</v>
      </c>
      <c r="O14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49" s="22" cm="1">
        <f t="array" ref="P149">IF(STLClientSpecificSettings[Core Pack Excluded from Std volume discount]="EX",1, IF(STLClientSpecificSettings[Volume Price Adjustment]="HV", STLClientPriceCompute[[#This Row],[Category search for HV Base Discount]], STLClientSpecificSettings[Volume %]/100))</f>
        <v>1.5</v>
      </c>
      <c r="Q149" s="12" cm="1">
        <f t="array" ref="Q149">IF(ISBLANK(STLClientPriceCompute[[#This Row],[Category]]), 1, IF(ISNUMBER(SEARCH(CONCATENATE(STLClientPriceCompute[[#This Row],[Category]],"-",STLClientPriceCompute[[#This Row],[Code]]),STLClientSpecificSettings[VolumeBasedPriceItems])),STLClientSpecificSettings[Volume %]/100,1))</f>
        <v>1</v>
      </c>
      <c r="R149" s="12" cm="1">
        <f t="array" ref="R149">IF(STLClientSpecificSettings[Core Pack Excluded from Std volume discount]="UP",IF(OR(E149="USR",E149="RBU"),STLClientSpecificSettings[Core Uplift %]/100+1,1),1)</f>
        <v>1</v>
      </c>
      <c r="S14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49" s="26" t="str">
        <f>IF(STLClientPriceCompute[[#This Row],[Available]]="Y", "P",IF(STLClientPriceCompute[[#This Row],[Available]]="N","O",""))</f>
        <v/>
      </c>
      <c r="U149" s="85" t="str">
        <f>TRIM(STLClientPriceCompute[[#This Row],[Description]])</f>
        <v>General Sales and Marketing tools</v>
      </c>
      <c r="V149" s="82" t="str">
        <f>IF(STLClientPriceCompute[[#This Row],[Item Level]]=0,STLClientPriceCompute[[#This Row],[Desc without indent]],"")</f>
        <v/>
      </c>
      <c r="W149" s="82" t="str">
        <f>IF(STLClientPriceCompute[[#This Row],[Item Level]]=1,STLClientPriceCompute[[#This Row],[Desc without indent]],"")</f>
        <v/>
      </c>
      <c r="X149" s="82" t="str">
        <f>IF(STLClientPriceCompute[[#This Row],[Item Level]]=2,STLClientPriceCompute[[#This Row],[Desc without indent]],"")</f>
        <v>General Sales and Marketing tools</v>
      </c>
      <c r="Y149" s="82" t="str">
        <f>IF(STLClientPriceCompute[[#This Row],[Item Level]]&gt;=3,_xlfn.CONCAT(REPT(" ",STLClientPriceCompute[[#This Row],[Item Level]]-3), STLClientPriceCompute[[#This Row],[Desc without indent]]),"")</f>
        <v/>
      </c>
      <c r="Z14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150" spans="2:26" x14ac:dyDescent="0.4">
      <c r="B150" s="15">
        <f>FIND(LEFT(TRIM(STLClientPriceCompute[[#This Row],[Description]]),1),STLClientPriceCompute[[#This Row],[Description]])-1</f>
        <v>3</v>
      </c>
      <c r="C150" s="19">
        <v>191</v>
      </c>
      <c r="D150" s="19"/>
      <c r="E150" s="19"/>
      <c r="F150" s="19" t="s">
        <v>318</v>
      </c>
      <c r="G150" s="19"/>
      <c r="H150" s="19" t="s">
        <v>87</v>
      </c>
      <c r="I150" s="20">
        <v>0</v>
      </c>
      <c r="J150" s="19" t="s">
        <v>118</v>
      </c>
      <c r="K150" s="19" t="s">
        <v>87</v>
      </c>
      <c r="L150" s="21">
        <v>0</v>
      </c>
      <c r="M150" s="19" t="s">
        <v>85</v>
      </c>
      <c r="N150" s="17">
        <f>_xlfn.IFNA(IF(STLClientPriceCompute[[#This Row],[Base Price (USD)]]="","", STLClientPriceCompute[[#This Row],[Base Price (USD)]]*VLOOKUP(_xlfn.CONCAT(STLClientPriceCompute[[#This Row],[Exchange Rate Group]],STLClientSpecificSettings[Currency]),ClientPriceExRate[[#All],[Ex-Currency]:[Exchange Rate]],2,FALSE)),"")</f>
        <v>0</v>
      </c>
      <c r="O15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50" s="22" cm="1">
        <f t="array" ref="P150">IF(STLClientSpecificSettings[Core Pack Excluded from Std volume discount]="EX",1, IF(STLClientSpecificSettings[Volume Price Adjustment]="HV", STLClientPriceCompute[[#This Row],[Category search for HV Base Discount]], STLClientSpecificSettings[Volume %]/100))</f>
        <v>1.5</v>
      </c>
      <c r="Q150" s="12" cm="1">
        <f t="array" ref="Q150">IF(ISBLANK(STLClientPriceCompute[[#This Row],[Category]]), 1, IF(ISNUMBER(SEARCH(CONCATENATE(STLClientPriceCompute[[#This Row],[Category]],"-",STLClientPriceCompute[[#This Row],[Code]]),STLClientSpecificSettings[VolumeBasedPriceItems])),STLClientSpecificSettings[Volume %]/100,1))</f>
        <v>1</v>
      </c>
      <c r="R150" s="12" cm="1">
        <f t="array" ref="R150">IF(STLClientSpecificSettings[Core Pack Excluded from Std volume discount]="UP",IF(OR(E150="USR",E150="RBU"),STLClientSpecificSettings[Core Uplift %]/100+1,1),1)</f>
        <v>1</v>
      </c>
      <c r="S15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50" s="26" t="str">
        <f>IF(STLClientPriceCompute[[#This Row],[Available]]="Y", "P",IF(STLClientPriceCompute[[#This Row],[Available]]="N","O",""))</f>
        <v/>
      </c>
      <c r="U150" s="85" t="str">
        <f>TRIM(STLClientPriceCompute[[#This Row],[Description]])</f>
        <v>Customer and Competitor Intelligence</v>
      </c>
      <c r="V150" s="82" t="str">
        <f>IF(STLClientPriceCompute[[#This Row],[Item Level]]=0,STLClientPriceCompute[[#This Row],[Desc without indent]],"")</f>
        <v/>
      </c>
      <c r="W150" s="82" t="str">
        <f>IF(STLClientPriceCompute[[#This Row],[Item Level]]=1,STLClientPriceCompute[[#This Row],[Desc without indent]],"")</f>
        <v/>
      </c>
      <c r="X150" s="82" t="str">
        <f>IF(STLClientPriceCompute[[#This Row],[Item Level]]=2,STLClientPriceCompute[[#This Row],[Desc without indent]],"")</f>
        <v/>
      </c>
      <c r="Y150" s="82" t="str">
        <f>IF(STLClientPriceCompute[[#This Row],[Item Level]]&gt;=3,_xlfn.CONCAT(REPT(" ",STLClientPriceCompute[[#This Row],[Item Level]]-3), STLClientPriceCompute[[#This Row],[Desc without indent]]),"")</f>
        <v>Customer and Competitor Intelligence</v>
      </c>
      <c r="Z15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151" spans="2:26" x14ac:dyDescent="0.4">
      <c r="B151" s="15">
        <f>FIND(LEFT(TRIM(STLClientPriceCompute[[#This Row],[Description]]),1),STLClientPriceCompute[[#This Row],[Description]])-1</f>
        <v>3</v>
      </c>
      <c r="C151" s="19">
        <v>192</v>
      </c>
      <c r="D151" s="19"/>
      <c r="E151" s="19"/>
      <c r="F151" s="19" t="s">
        <v>319</v>
      </c>
      <c r="G151" s="19"/>
      <c r="H151" s="19" t="s">
        <v>87</v>
      </c>
      <c r="I151" s="20">
        <v>0</v>
      </c>
      <c r="J151" s="19" t="s">
        <v>118</v>
      </c>
      <c r="K151" s="19" t="s">
        <v>87</v>
      </c>
      <c r="L151" s="21">
        <v>0</v>
      </c>
      <c r="M151" s="19" t="s">
        <v>85</v>
      </c>
      <c r="N151" s="17">
        <f>_xlfn.IFNA(IF(STLClientPriceCompute[[#This Row],[Base Price (USD)]]="","", STLClientPriceCompute[[#This Row],[Base Price (USD)]]*VLOOKUP(_xlfn.CONCAT(STLClientPriceCompute[[#This Row],[Exchange Rate Group]],STLClientSpecificSettings[Currency]),ClientPriceExRate[[#All],[Ex-Currency]:[Exchange Rate]],2,FALSE)),"")</f>
        <v>0</v>
      </c>
      <c r="O15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51" s="22" cm="1">
        <f t="array" ref="P151">IF(STLClientSpecificSettings[Core Pack Excluded from Std volume discount]="EX",1, IF(STLClientSpecificSettings[Volume Price Adjustment]="HV", STLClientPriceCompute[[#This Row],[Category search for HV Base Discount]], STLClientSpecificSettings[Volume %]/100))</f>
        <v>1.5</v>
      </c>
      <c r="Q151" s="12" cm="1">
        <f t="array" ref="Q151">IF(ISBLANK(STLClientPriceCompute[[#This Row],[Category]]), 1, IF(ISNUMBER(SEARCH(CONCATENATE(STLClientPriceCompute[[#This Row],[Category]],"-",STLClientPriceCompute[[#This Row],[Code]]),STLClientSpecificSettings[VolumeBasedPriceItems])),STLClientSpecificSettings[Volume %]/100,1))</f>
        <v>1</v>
      </c>
      <c r="R151" s="12" cm="1">
        <f t="array" ref="R151">IF(STLClientSpecificSettings[Core Pack Excluded from Std volume discount]="UP",IF(OR(E151="USR",E151="RBU"),STLClientSpecificSettings[Core Uplift %]/100+1,1),1)</f>
        <v>1</v>
      </c>
      <c r="S15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51" s="26" t="str">
        <f>IF(STLClientPriceCompute[[#This Row],[Available]]="Y", "P",IF(STLClientPriceCompute[[#This Row],[Available]]="N","O",""))</f>
        <v/>
      </c>
      <c r="U151" s="85" t="str">
        <f>TRIM(STLClientPriceCompute[[#This Row],[Description]])</f>
        <v>Inquiry Manager</v>
      </c>
      <c r="V151" s="82" t="str">
        <f>IF(STLClientPriceCompute[[#This Row],[Item Level]]=0,STLClientPriceCompute[[#This Row],[Desc without indent]],"")</f>
        <v/>
      </c>
      <c r="W151" s="82" t="str">
        <f>IF(STLClientPriceCompute[[#This Row],[Item Level]]=1,STLClientPriceCompute[[#This Row],[Desc without indent]],"")</f>
        <v/>
      </c>
      <c r="X151" s="82" t="str">
        <f>IF(STLClientPriceCompute[[#This Row],[Item Level]]=2,STLClientPriceCompute[[#This Row],[Desc without indent]],"")</f>
        <v/>
      </c>
      <c r="Y151" s="82" t="str">
        <f>IF(STLClientPriceCompute[[#This Row],[Item Level]]&gt;=3,_xlfn.CONCAT(REPT(" ",STLClientPriceCompute[[#This Row],[Item Level]]-3), STLClientPriceCompute[[#This Row],[Desc without indent]]),"")</f>
        <v>Inquiry Manager</v>
      </c>
      <c r="Z15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152" spans="2:26" x14ac:dyDescent="0.4">
      <c r="B152" s="15">
        <f>FIND(LEFT(TRIM(STLClientPriceCompute[[#This Row],[Description]]),1),STLClientPriceCompute[[#This Row],[Description]])-1</f>
        <v>3</v>
      </c>
      <c r="C152" s="19">
        <v>193</v>
      </c>
      <c r="D152" s="19"/>
      <c r="E152" s="19"/>
      <c r="F152" s="19" t="s">
        <v>320</v>
      </c>
      <c r="G152" s="19"/>
      <c r="H152" s="19" t="s">
        <v>87</v>
      </c>
      <c r="I152" s="20">
        <v>0</v>
      </c>
      <c r="J152" s="19" t="s">
        <v>118</v>
      </c>
      <c r="K152" s="19" t="s">
        <v>87</v>
      </c>
      <c r="L152" s="21">
        <v>0</v>
      </c>
      <c r="M152" s="19" t="s">
        <v>85</v>
      </c>
      <c r="N152" s="17">
        <f>_xlfn.IFNA(IF(STLClientPriceCompute[[#This Row],[Base Price (USD)]]="","", STLClientPriceCompute[[#This Row],[Base Price (USD)]]*VLOOKUP(_xlfn.CONCAT(STLClientPriceCompute[[#This Row],[Exchange Rate Group]],STLClientSpecificSettings[Currency]),ClientPriceExRate[[#All],[Ex-Currency]:[Exchange Rate]],2,FALSE)),"")</f>
        <v>0</v>
      </c>
      <c r="O15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52" s="22" cm="1">
        <f t="array" ref="P152">IF(STLClientSpecificSettings[Core Pack Excluded from Std volume discount]="EX",1, IF(STLClientSpecificSettings[Volume Price Adjustment]="HV", STLClientPriceCompute[[#This Row],[Category search for HV Base Discount]], STLClientSpecificSettings[Volume %]/100))</f>
        <v>1.5</v>
      </c>
      <c r="Q152" s="12" cm="1">
        <f t="array" ref="Q152">IF(ISBLANK(STLClientPriceCompute[[#This Row],[Category]]), 1, IF(ISNUMBER(SEARCH(CONCATENATE(STLClientPriceCompute[[#This Row],[Category]],"-",STLClientPriceCompute[[#This Row],[Code]]),STLClientSpecificSettings[VolumeBasedPriceItems])),STLClientSpecificSettings[Volume %]/100,1))</f>
        <v>1</v>
      </c>
      <c r="R152" s="12" cm="1">
        <f t="array" ref="R152">IF(STLClientSpecificSettings[Core Pack Excluded from Std volume discount]="UP",IF(OR(E152="USR",E152="RBU"),STLClientSpecificSettings[Core Uplift %]/100+1,1),1)</f>
        <v>1</v>
      </c>
      <c r="S15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52" s="26" t="str">
        <f>IF(STLClientPriceCompute[[#This Row],[Available]]="Y", "P",IF(STLClientPriceCompute[[#This Row],[Available]]="N","O",""))</f>
        <v/>
      </c>
      <c r="U152" s="85" t="str">
        <f>TRIM(STLClientPriceCompute[[#This Row],[Description]])</f>
        <v>Communications Manager</v>
      </c>
      <c r="V152" s="82" t="str">
        <f>IF(STLClientPriceCompute[[#This Row],[Item Level]]=0,STLClientPriceCompute[[#This Row],[Desc without indent]],"")</f>
        <v/>
      </c>
      <c r="W152" s="82" t="str">
        <f>IF(STLClientPriceCompute[[#This Row],[Item Level]]=1,STLClientPriceCompute[[#This Row],[Desc without indent]],"")</f>
        <v/>
      </c>
      <c r="X152" s="82" t="str">
        <f>IF(STLClientPriceCompute[[#This Row],[Item Level]]=2,STLClientPriceCompute[[#This Row],[Desc without indent]],"")</f>
        <v/>
      </c>
      <c r="Y152" s="82" t="str">
        <f>IF(STLClientPriceCompute[[#This Row],[Item Level]]&gt;=3,_xlfn.CONCAT(REPT(" ",STLClientPriceCompute[[#This Row],[Item Level]]-3), STLClientPriceCompute[[#This Row],[Desc without indent]]),"")</f>
        <v>Communications Manager</v>
      </c>
      <c r="Z15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v>
      </c>
    </row>
    <row r="153" spans="2:26" x14ac:dyDescent="0.4">
      <c r="B153" s="15">
        <f>FIND(LEFT(TRIM(STLClientPriceCompute[[#This Row],[Description]]),1),STLClientPriceCompute[[#This Row],[Description]])-1</f>
        <v>2</v>
      </c>
      <c r="C153" s="19">
        <v>194</v>
      </c>
      <c r="D153" s="19"/>
      <c r="E153" s="19"/>
      <c r="F153" s="19" t="s">
        <v>321</v>
      </c>
      <c r="G153" s="19"/>
      <c r="H153" s="19" t="s">
        <v>87</v>
      </c>
      <c r="I153" s="20">
        <v>0</v>
      </c>
      <c r="J153" s="19"/>
      <c r="K153" s="19" t="s">
        <v>87</v>
      </c>
      <c r="L153" s="21">
        <v>0</v>
      </c>
      <c r="M153" s="19" t="s">
        <v>85</v>
      </c>
      <c r="N153" s="17">
        <f>_xlfn.IFNA(IF(STLClientPriceCompute[[#This Row],[Base Price (USD)]]="","", STLClientPriceCompute[[#This Row],[Base Price (USD)]]*VLOOKUP(_xlfn.CONCAT(STLClientPriceCompute[[#This Row],[Exchange Rate Group]],STLClientSpecificSettings[Currency]),ClientPriceExRate[[#All],[Ex-Currency]:[Exchange Rate]],2,FALSE)),"")</f>
        <v>0</v>
      </c>
      <c r="O15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53" s="22" cm="1">
        <f t="array" ref="P153">IF(STLClientSpecificSettings[Core Pack Excluded from Std volume discount]="EX",1, IF(STLClientSpecificSettings[Volume Price Adjustment]="HV", STLClientPriceCompute[[#This Row],[Category search for HV Base Discount]], STLClientSpecificSettings[Volume %]/100))</f>
        <v>1.5</v>
      </c>
      <c r="Q153" s="12" cm="1">
        <f t="array" ref="Q153">IF(ISBLANK(STLClientPriceCompute[[#This Row],[Category]]), 1, IF(ISNUMBER(SEARCH(CONCATENATE(STLClientPriceCompute[[#This Row],[Category]],"-",STLClientPriceCompute[[#This Row],[Code]]),STLClientSpecificSettings[VolumeBasedPriceItems])),STLClientSpecificSettings[Volume %]/100,1))</f>
        <v>1</v>
      </c>
      <c r="R153" s="12" cm="1">
        <f t="array" ref="R153">IF(STLClientSpecificSettings[Core Pack Excluded from Std volume discount]="UP",IF(OR(E153="USR",E153="RBU"),STLClientSpecificSettings[Core Uplift %]/100+1,1),1)</f>
        <v>1</v>
      </c>
      <c r="S15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53" s="26" t="str">
        <f>IF(STLClientPriceCompute[[#This Row],[Available]]="Y", "P",IF(STLClientPriceCompute[[#This Row],[Available]]="N","O",""))</f>
        <v/>
      </c>
      <c r="U153" s="85" t="str">
        <f>TRIM(STLClientPriceCompute[[#This Row],[Description]])</f>
        <v>Sales and Marketing Power Functions</v>
      </c>
      <c r="V153" s="82" t="str">
        <f>IF(STLClientPriceCompute[[#This Row],[Item Level]]=0,STLClientPriceCompute[[#This Row],[Desc without indent]],"")</f>
        <v/>
      </c>
      <c r="W153" s="82" t="str">
        <f>IF(STLClientPriceCompute[[#This Row],[Item Level]]=1,STLClientPriceCompute[[#This Row],[Desc without indent]],"")</f>
        <v/>
      </c>
      <c r="X153" s="82" t="str">
        <f>IF(STLClientPriceCompute[[#This Row],[Item Level]]=2,STLClientPriceCompute[[#This Row],[Desc without indent]],"")</f>
        <v>Sales and Marketing Power Functions</v>
      </c>
      <c r="Y153" s="82" t="str">
        <f>IF(STLClientPriceCompute[[#This Row],[Item Level]]&gt;=3,_xlfn.CONCAT(REPT(" ",STLClientPriceCompute[[#This Row],[Item Level]]-3), STLClientPriceCompute[[#This Row],[Desc without indent]]),"")</f>
        <v/>
      </c>
      <c r="Z15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54" spans="2:26" x14ac:dyDescent="0.4">
      <c r="B154" s="15">
        <f>FIND(LEFT(TRIM(STLClientPriceCompute[[#This Row],[Description]]),1),STLClientPriceCompute[[#This Row],[Description]])-1</f>
        <v>3</v>
      </c>
      <c r="C154" s="19">
        <v>195</v>
      </c>
      <c r="D154" s="19" t="s">
        <v>87</v>
      </c>
      <c r="E154" s="19" t="s">
        <v>322</v>
      </c>
      <c r="F154" s="19" t="s">
        <v>323</v>
      </c>
      <c r="G154" s="19"/>
      <c r="H154" s="19" t="s">
        <v>87</v>
      </c>
      <c r="I154" s="20">
        <v>6.8841799999999997</v>
      </c>
      <c r="J154" s="19" t="s">
        <v>324</v>
      </c>
      <c r="K154" s="19" t="s">
        <v>87</v>
      </c>
      <c r="L154" s="21">
        <v>68.841800000000006</v>
      </c>
      <c r="M154" s="19" t="s">
        <v>85</v>
      </c>
      <c r="N154" s="17">
        <f>_xlfn.IFNA(IF(STLClientPriceCompute[[#This Row],[Base Price (USD)]]="","", STLClientPriceCompute[[#This Row],[Base Price (USD)]]*VLOOKUP(_xlfn.CONCAT(STLClientPriceCompute[[#This Row],[Exchange Rate Group]],STLClientSpecificSettings[Currency]),ClientPriceExRate[[#All],[Ex-Currency]:[Exchange Rate]],2,FALSE)),"")</f>
        <v>9.6148588388</v>
      </c>
      <c r="O15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154" s="22" cm="1">
        <f t="array" ref="P154">IF(STLClientSpecificSettings[Core Pack Excluded from Std volume discount]="EX",1, IF(STLClientSpecificSettings[Volume Price Adjustment]="HV", STLClientPriceCompute[[#This Row],[Category search for HV Base Discount]], STLClientSpecificSettings[Volume %]/100))</f>
        <v>1.5</v>
      </c>
      <c r="Q154" s="12" cm="1">
        <f t="array" ref="Q154">IF(ISBLANK(STLClientPriceCompute[[#This Row],[Category]]), 1, IF(ISNUMBER(SEARCH(CONCATENATE(STLClientPriceCompute[[#This Row],[Category]],"-",STLClientPriceCompute[[#This Row],[Code]]),STLClientSpecificSettings[VolumeBasedPriceItems])),STLClientSpecificSettings[Volume %]/100,1))</f>
        <v>1</v>
      </c>
      <c r="R154" s="12" cm="1">
        <f t="array" ref="R154">IF(STLClientSpecificSettings[Core Pack Excluded from Std volume discount]="UP",IF(OR(E154="USR",E154="RBU"),STLClientSpecificSettings[Core Uplift %]/100+1,1),1)</f>
        <v>1</v>
      </c>
      <c r="S15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154" s="26" t="str">
        <f>IF(STLClientPriceCompute[[#This Row],[Available]]="Y", "P",IF(STLClientPriceCompute[[#This Row],[Available]]="N","O",""))</f>
        <v/>
      </c>
      <c r="U154" s="85" t="str">
        <f>TRIM(STLClientPriceCompute[[#This Row],[Description]])</f>
        <v>Campaign Manager - Campaign Registration</v>
      </c>
      <c r="V154" s="82" t="str">
        <f>IF(STLClientPriceCompute[[#This Row],[Item Level]]=0,STLClientPriceCompute[[#This Row],[Desc without indent]],"")</f>
        <v/>
      </c>
      <c r="W154" s="82" t="str">
        <f>IF(STLClientPriceCompute[[#This Row],[Item Level]]=1,STLClientPriceCompute[[#This Row],[Desc without indent]],"")</f>
        <v/>
      </c>
      <c r="X154" s="82" t="str">
        <f>IF(STLClientPriceCompute[[#This Row],[Item Level]]=2,STLClientPriceCompute[[#This Row],[Desc without indent]],"")</f>
        <v/>
      </c>
      <c r="Y154" s="82" t="str">
        <f>IF(STLClientPriceCompute[[#This Row],[Item Level]]&gt;=3,_xlfn.CONCAT(REPT(" ",STLClientPriceCompute[[#This Row],[Item Level]]-3), STLClientPriceCompute[[#This Row],[Desc without indent]]),"")</f>
        <v>Campaign Manager - Campaign Registration</v>
      </c>
      <c r="Z15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Campaign (Free if CargoWise Certification Program requirements are met - refer to MyAccount)</v>
      </c>
    </row>
    <row r="155" spans="2:26" x14ac:dyDescent="0.4">
      <c r="B155" s="15">
        <f>FIND(LEFT(TRIM(STLClientPriceCompute[[#This Row],[Description]]),1),STLClientPriceCompute[[#This Row],[Description]])-1</f>
        <v>7</v>
      </c>
      <c r="C155" s="19">
        <v>196</v>
      </c>
      <c r="D155" s="19" t="s">
        <v>87</v>
      </c>
      <c r="E155" s="19" t="s">
        <v>325</v>
      </c>
      <c r="F155" s="19" t="s">
        <v>326</v>
      </c>
      <c r="G155" s="19"/>
      <c r="H155" s="19" t="s">
        <v>87</v>
      </c>
      <c r="I155" s="20">
        <v>5.7368000000000002E-2</v>
      </c>
      <c r="J155" s="19" t="s">
        <v>327</v>
      </c>
      <c r="K155" s="19" t="s">
        <v>87</v>
      </c>
      <c r="L155" s="21">
        <v>0.57367999999999997</v>
      </c>
      <c r="M155" s="19" t="s">
        <v>85</v>
      </c>
      <c r="N155" s="17">
        <f>_xlfn.IFNA(IF(STLClientPriceCompute[[#This Row],[Base Price (USD)]]="","", STLClientPriceCompute[[#This Row],[Base Price (USD)]]*VLOOKUP(_xlfn.CONCAT(STLClientPriceCompute[[#This Row],[Exchange Rate Group]],STLClientSpecificSettings[Currency]),ClientPriceExRate[[#All],[Ex-Currency]:[Exchange Rate]],2,FALSE)),"")</f>
        <v>8.0123590879999998E-2</v>
      </c>
      <c r="O15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0.12018538632</v>
      </c>
      <c r="P155" s="22" cm="1">
        <f t="array" ref="P155">IF(STLClientSpecificSettings[Core Pack Excluded from Std volume discount]="EX",1, IF(STLClientSpecificSettings[Volume Price Adjustment]="HV", STLClientPriceCompute[[#This Row],[Category search for HV Base Discount]], STLClientSpecificSettings[Volume %]/100))</f>
        <v>1.5</v>
      </c>
      <c r="Q155" s="12" cm="1">
        <f t="array" ref="Q155">IF(ISBLANK(STLClientPriceCompute[[#This Row],[Category]]), 1, IF(ISNUMBER(SEARCH(CONCATENATE(STLClientPriceCompute[[#This Row],[Category]],"-",STLClientPriceCompute[[#This Row],[Code]]),STLClientSpecificSettings[VolumeBasedPriceItems])),STLClientSpecificSettings[Volume %]/100,1))</f>
        <v>1</v>
      </c>
      <c r="R155" s="12" cm="1">
        <f t="array" ref="R155">IF(STLClientSpecificSettings[Core Pack Excluded from Std volume discount]="UP",IF(OR(E155="USR",E155="RBU"),STLClientSpecificSettings[Core Uplift %]/100+1,1),1)</f>
        <v>1</v>
      </c>
      <c r="S15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0.86051999999999995</v>
      </c>
      <c r="T155" s="26" t="str">
        <f>IF(STLClientPriceCompute[[#This Row],[Available]]="Y", "P",IF(STLClientPriceCompute[[#This Row],[Available]]="N","O",""))</f>
        <v/>
      </c>
      <c r="U155" s="85" t="str">
        <f>TRIM(STLClientPriceCompute[[#This Row],[Description]])</f>
        <v>- Email Creation and Transmission</v>
      </c>
      <c r="V155" s="82" t="str">
        <f>IF(STLClientPriceCompute[[#This Row],[Item Level]]=0,STLClientPriceCompute[[#This Row],[Desc without indent]],"")</f>
        <v/>
      </c>
      <c r="W155" s="82" t="str">
        <f>IF(STLClientPriceCompute[[#This Row],[Item Level]]=1,STLClientPriceCompute[[#This Row],[Desc without indent]],"")</f>
        <v/>
      </c>
      <c r="X155" s="82" t="str">
        <f>IF(STLClientPriceCompute[[#This Row],[Item Level]]=2,STLClientPriceCompute[[#This Row],[Desc without indent]],"")</f>
        <v/>
      </c>
      <c r="Y155" s="82" t="str">
        <f>IF(STLClientPriceCompute[[#This Row],[Item Level]]&gt;=3,_xlfn.CONCAT(REPT(" ",STLClientPriceCompute[[#This Row],[Item Level]]-3), STLClientPriceCompute[[#This Row],[Desc without indent]]),"")</f>
        <v xml:space="preserve">    - Email Creation and Transmission</v>
      </c>
      <c r="Z15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Email (Free if CargoWise Certification Program requirements are met - refer to MyAccount)</v>
      </c>
    </row>
    <row r="156" spans="2:26" x14ac:dyDescent="0.4">
      <c r="B156" s="15">
        <f>FIND(LEFT(TRIM(STLClientPriceCompute[[#This Row],[Description]]),1),STLClientPriceCompute[[#This Row],[Description]])-1</f>
        <v>3</v>
      </c>
      <c r="C156" s="19">
        <v>197</v>
      </c>
      <c r="D156" s="19" t="s">
        <v>87</v>
      </c>
      <c r="E156" s="19" t="s">
        <v>328</v>
      </c>
      <c r="F156" s="19" t="s">
        <v>329</v>
      </c>
      <c r="G156" s="19"/>
      <c r="H156" s="19" t="s">
        <v>87</v>
      </c>
      <c r="I156" s="20">
        <v>6.8841799999999997</v>
      </c>
      <c r="J156" s="19" t="s">
        <v>330</v>
      </c>
      <c r="K156" s="19" t="s">
        <v>87</v>
      </c>
      <c r="L156" s="21">
        <v>68.841800000000006</v>
      </c>
      <c r="M156" s="19" t="s">
        <v>85</v>
      </c>
      <c r="N156" s="17">
        <f>_xlfn.IFNA(IF(STLClientPriceCompute[[#This Row],[Base Price (USD)]]="","", STLClientPriceCompute[[#This Row],[Base Price (USD)]]*VLOOKUP(_xlfn.CONCAT(STLClientPriceCompute[[#This Row],[Exchange Rate Group]],STLClientSpecificSettings[Currency]),ClientPriceExRate[[#All],[Ex-Currency]:[Exchange Rate]],2,FALSE)),"")</f>
        <v>9.6148588388</v>
      </c>
      <c r="O15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156" s="22" cm="1">
        <f t="array" ref="P156">IF(STLClientSpecificSettings[Core Pack Excluded from Std volume discount]="EX",1, IF(STLClientSpecificSettings[Volume Price Adjustment]="HV", STLClientPriceCompute[[#This Row],[Category search for HV Base Discount]], STLClientSpecificSettings[Volume %]/100))</f>
        <v>1.5</v>
      </c>
      <c r="Q156" s="12" cm="1">
        <f t="array" ref="Q156">IF(ISBLANK(STLClientPriceCompute[[#This Row],[Category]]), 1, IF(ISNUMBER(SEARCH(CONCATENATE(STLClientPriceCompute[[#This Row],[Category]],"-",STLClientPriceCompute[[#This Row],[Code]]),STLClientSpecificSettings[VolumeBasedPriceItems])),STLClientSpecificSettings[Volume %]/100,1))</f>
        <v>1</v>
      </c>
      <c r="R156" s="12" cm="1">
        <f t="array" ref="R156">IF(STLClientSpecificSettings[Core Pack Excluded from Std volume discount]="UP",IF(OR(E156="USR",E156="RBU"),STLClientSpecificSettings[Core Uplift %]/100+1,1),1)</f>
        <v>1</v>
      </c>
      <c r="S15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156" s="26" t="str">
        <f>IF(STLClientPriceCompute[[#This Row],[Available]]="Y", "P",IF(STLClientPriceCompute[[#This Row],[Available]]="N","O",""))</f>
        <v/>
      </c>
      <c r="U156" s="85" t="str">
        <f>TRIM(STLClientPriceCompute[[#This Row],[Description]])</f>
        <v>Opportunity Manager</v>
      </c>
      <c r="V156" s="82" t="str">
        <f>IF(STLClientPriceCompute[[#This Row],[Item Level]]=0,STLClientPriceCompute[[#This Row],[Desc without indent]],"")</f>
        <v/>
      </c>
      <c r="W156" s="82" t="str">
        <f>IF(STLClientPriceCompute[[#This Row],[Item Level]]=1,STLClientPriceCompute[[#This Row],[Desc without indent]],"")</f>
        <v/>
      </c>
      <c r="X156" s="82" t="str">
        <f>IF(STLClientPriceCompute[[#This Row],[Item Level]]=2,STLClientPriceCompute[[#This Row],[Desc without indent]],"")</f>
        <v/>
      </c>
      <c r="Y156" s="82" t="str">
        <f>IF(STLClientPriceCompute[[#This Row],[Item Level]]&gt;=3,_xlfn.CONCAT(REPT(" ",STLClientPriceCompute[[#This Row],[Item Level]]-3), STLClientPriceCompute[[#This Row],[Desc without indent]]),"")</f>
        <v>Opportunity Manager</v>
      </c>
      <c r="Z15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Opportunity (Free if CargoWise Certification Program requirements are met - refer to MyAccount)</v>
      </c>
    </row>
    <row r="157" spans="2:26" x14ac:dyDescent="0.4">
      <c r="B157" s="15">
        <f>FIND(LEFT(TRIM(STLClientPriceCompute[[#This Row],[Description]]),1),STLClientPriceCompute[[#This Row],[Description]])-1</f>
        <v>3</v>
      </c>
      <c r="C157" s="19">
        <v>198</v>
      </c>
      <c r="D157" s="19"/>
      <c r="E157" s="19"/>
      <c r="F157" s="19" t="s">
        <v>331</v>
      </c>
      <c r="G157" s="19"/>
      <c r="H157" s="19" t="s">
        <v>87</v>
      </c>
      <c r="I157" s="20">
        <v>6.8841799999999997</v>
      </c>
      <c r="J157" s="19" t="s">
        <v>332</v>
      </c>
      <c r="K157" s="19" t="s">
        <v>87</v>
      </c>
      <c r="L157" s="21">
        <v>68.841800000000006</v>
      </c>
      <c r="M157" s="19" t="s">
        <v>85</v>
      </c>
      <c r="N157" s="17">
        <f>_xlfn.IFNA(IF(STLClientPriceCompute[[#This Row],[Base Price (USD)]]="","", STLClientPriceCompute[[#This Row],[Base Price (USD)]]*VLOOKUP(_xlfn.CONCAT(STLClientPriceCompute[[#This Row],[Exchange Rate Group]],STLClientSpecificSettings[Currency]),ClientPriceExRate[[#All],[Ex-Currency]:[Exchange Rate]],2,FALSE)),"")</f>
        <v>9.6148588388</v>
      </c>
      <c r="O15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157" s="22" cm="1">
        <f t="array" ref="P157">IF(STLClientSpecificSettings[Core Pack Excluded from Std volume discount]="EX",1, IF(STLClientSpecificSettings[Volume Price Adjustment]="HV", STLClientPriceCompute[[#This Row],[Category search for HV Base Discount]], STLClientSpecificSettings[Volume %]/100))</f>
        <v>1.5</v>
      </c>
      <c r="Q157" s="12" cm="1">
        <f t="array" ref="Q157">IF(ISBLANK(STLClientPriceCompute[[#This Row],[Category]]), 1, IF(ISNUMBER(SEARCH(CONCATENATE(STLClientPriceCompute[[#This Row],[Category]],"-",STLClientPriceCompute[[#This Row],[Code]]),STLClientSpecificSettings[VolumeBasedPriceItems])),STLClientSpecificSettings[Volume %]/100,1))</f>
        <v>1</v>
      </c>
      <c r="R157" s="12" cm="1">
        <f t="array" ref="R157">IF(STLClientSpecificSettings[Core Pack Excluded from Std volume discount]="UP",IF(OR(E157="USR",E157="RBU"),STLClientSpecificSettings[Core Uplift %]/100+1,1),1)</f>
        <v>1</v>
      </c>
      <c r="S15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157" s="26" t="str">
        <f>IF(STLClientPriceCompute[[#This Row],[Available]]="Y", "P",IF(STLClientPriceCompute[[#This Row],[Available]]="N","O",""))</f>
        <v/>
      </c>
      <c r="U157" s="85" t="str">
        <f>TRIM(STLClientPriceCompute[[#This Row],[Description]])</f>
        <v>Event Manager - Event Registration</v>
      </c>
      <c r="V157" s="82" t="str">
        <f>IF(STLClientPriceCompute[[#This Row],[Item Level]]=0,STLClientPriceCompute[[#This Row],[Desc without indent]],"")</f>
        <v/>
      </c>
      <c r="W157" s="82" t="str">
        <f>IF(STLClientPriceCompute[[#This Row],[Item Level]]=1,STLClientPriceCompute[[#This Row],[Desc without indent]],"")</f>
        <v/>
      </c>
      <c r="X157" s="82" t="str">
        <f>IF(STLClientPriceCompute[[#This Row],[Item Level]]=2,STLClientPriceCompute[[#This Row],[Desc without indent]],"")</f>
        <v/>
      </c>
      <c r="Y157" s="82" t="str">
        <f>IF(STLClientPriceCompute[[#This Row],[Item Level]]&gt;=3,_xlfn.CONCAT(REPT(" ",STLClientPriceCompute[[#This Row],[Item Level]]-3), STLClientPriceCompute[[#This Row],[Desc without indent]]),"")</f>
        <v>Event Manager - Event Registration</v>
      </c>
      <c r="Z15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Event (Free if CargoWise Certification Program requirements are met - refer to MyAccount)</v>
      </c>
    </row>
    <row r="158" spans="2:26" x14ac:dyDescent="0.4">
      <c r="B158" s="15">
        <f>FIND(LEFT(TRIM(STLClientPriceCompute[[#This Row],[Description]]),1),STLClientPriceCompute[[#This Row],[Description]])-1</f>
        <v>8</v>
      </c>
      <c r="C158" s="19">
        <v>199</v>
      </c>
      <c r="D158" s="19"/>
      <c r="E158" s="19"/>
      <c r="F158" s="19" t="s">
        <v>333</v>
      </c>
      <c r="G158" s="19"/>
      <c r="H158" s="19" t="s">
        <v>87</v>
      </c>
      <c r="I158" s="20">
        <v>0.22947300000000001</v>
      </c>
      <c r="J158" s="19" t="s">
        <v>334</v>
      </c>
      <c r="K158" s="19" t="s">
        <v>87</v>
      </c>
      <c r="L158" s="21">
        <v>2.2947299999999999</v>
      </c>
      <c r="M158" s="19" t="s">
        <v>85</v>
      </c>
      <c r="N158" s="17">
        <f>_xlfn.IFNA(IF(STLClientPriceCompute[[#This Row],[Base Price (USD)]]="","", STLClientPriceCompute[[#This Row],[Base Price (USD)]]*VLOOKUP(_xlfn.CONCAT(STLClientPriceCompute[[#This Row],[Exchange Rate Group]],STLClientSpecificSettings[Currency]),ClientPriceExRate[[#All],[Ex-Currency]:[Exchange Rate]],2,FALSE)),"")</f>
        <v>0.32049576018000003</v>
      </c>
      <c r="O15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0.48074364027000005</v>
      </c>
      <c r="P158" s="22" cm="1">
        <f t="array" ref="P158">IF(STLClientSpecificSettings[Core Pack Excluded from Std volume discount]="EX",1, IF(STLClientSpecificSettings[Volume Price Adjustment]="HV", STLClientPriceCompute[[#This Row],[Category search for HV Base Discount]], STLClientSpecificSettings[Volume %]/100))</f>
        <v>1.5</v>
      </c>
      <c r="Q158" s="12" cm="1">
        <f t="array" ref="Q158">IF(ISBLANK(STLClientPriceCompute[[#This Row],[Category]]), 1, IF(ISNUMBER(SEARCH(CONCATENATE(STLClientPriceCompute[[#This Row],[Category]],"-",STLClientPriceCompute[[#This Row],[Code]]),STLClientSpecificSettings[VolumeBasedPriceItems])),STLClientSpecificSettings[Volume %]/100,1))</f>
        <v>1</v>
      </c>
      <c r="R158" s="12" cm="1">
        <f t="array" ref="R158">IF(STLClientSpecificSettings[Core Pack Excluded from Std volume discount]="UP",IF(OR(E158="USR",E158="RBU"),STLClientSpecificSettings[Core Uplift %]/100+1,1),1)</f>
        <v>1</v>
      </c>
      <c r="S15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3.4420950000000001</v>
      </c>
      <c r="T158" s="26" t="str">
        <f>IF(STLClientPriceCompute[[#This Row],[Available]]="Y", "P",IF(STLClientPriceCompute[[#This Row],[Available]]="N","O",""))</f>
        <v/>
      </c>
      <c r="U158" s="85" t="str">
        <f>TRIM(STLClientPriceCompute[[#This Row],[Description]])</f>
        <v>- Per Attendee</v>
      </c>
      <c r="V158" s="82" t="str">
        <f>IF(STLClientPriceCompute[[#This Row],[Item Level]]=0,STLClientPriceCompute[[#This Row],[Desc without indent]],"")</f>
        <v/>
      </c>
      <c r="W158" s="82" t="str">
        <f>IF(STLClientPriceCompute[[#This Row],[Item Level]]=1,STLClientPriceCompute[[#This Row],[Desc without indent]],"")</f>
        <v/>
      </c>
      <c r="X158" s="82" t="str">
        <f>IF(STLClientPriceCompute[[#This Row],[Item Level]]=2,STLClientPriceCompute[[#This Row],[Desc without indent]],"")</f>
        <v/>
      </c>
      <c r="Y158" s="82" t="str">
        <f>IF(STLClientPriceCompute[[#This Row],[Item Level]]&gt;=3,_xlfn.CONCAT(REPT(" ",STLClientPriceCompute[[#This Row],[Item Level]]-3), STLClientPriceCompute[[#This Row],[Desc without indent]]),"")</f>
        <v xml:space="preserve">     - Per Attendee</v>
      </c>
      <c r="Z15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Attendee (Free if CargoWise Certification Program requirements are met - refer to MyAccount)</v>
      </c>
    </row>
    <row r="159" spans="2:26" x14ac:dyDescent="0.4">
      <c r="B159" s="15">
        <f>FIND(LEFT(TRIM(STLClientPriceCompute[[#This Row],[Description]]),1),STLClientPriceCompute[[#This Row],[Description]])-1</f>
        <v>3</v>
      </c>
      <c r="C159" s="19">
        <v>200</v>
      </c>
      <c r="D159" s="19"/>
      <c r="E159" s="19"/>
      <c r="F159" s="19" t="s">
        <v>335</v>
      </c>
      <c r="G159" s="19"/>
      <c r="H159" s="19" t="s">
        <v>87</v>
      </c>
      <c r="I159" s="20">
        <v>2.294727</v>
      </c>
      <c r="J159" s="19" t="s">
        <v>336</v>
      </c>
      <c r="K159" s="19" t="s">
        <v>87</v>
      </c>
      <c r="L159" s="21">
        <v>22.94727</v>
      </c>
      <c r="M159" s="19" t="s">
        <v>85</v>
      </c>
      <c r="N159" s="17">
        <f>_xlfn.IFNA(IF(STLClientPriceCompute[[#This Row],[Base Price (USD)]]="","", STLClientPriceCompute[[#This Row],[Base Price (USD)]]*VLOOKUP(_xlfn.CONCAT(STLClientPriceCompute[[#This Row],[Exchange Rate Group]],STLClientSpecificSettings[Currency]),ClientPriceExRate[[#All],[Ex-Currency]:[Exchange Rate]],2,FALSE)),"")</f>
        <v>3.20495341182</v>
      </c>
      <c r="O15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159" s="22" cm="1">
        <f t="array" ref="P159">IF(STLClientSpecificSettings[Core Pack Excluded from Std volume discount]="EX",1, IF(STLClientSpecificSettings[Volume Price Adjustment]="HV", STLClientPriceCompute[[#This Row],[Category search for HV Base Discount]], STLClientSpecificSettings[Volume %]/100))</f>
        <v>1.5</v>
      </c>
      <c r="Q159" s="12" cm="1">
        <f t="array" ref="Q159">IF(ISBLANK(STLClientPriceCompute[[#This Row],[Category]]), 1, IF(ISNUMBER(SEARCH(CONCATENATE(STLClientPriceCompute[[#This Row],[Category]],"-",STLClientPriceCompute[[#This Row],[Code]]),STLClientSpecificSettings[VolumeBasedPriceItems])),STLClientSpecificSettings[Volume %]/100,1))</f>
        <v>1</v>
      </c>
      <c r="R159" s="12" cm="1">
        <f t="array" ref="R159">IF(STLClientSpecificSettings[Core Pack Excluded from Std volume discount]="UP",IF(OR(E159="USR",E159="RBU"),STLClientSpecificSettings[Core Uplift %]/100+1,1),1)</f>
        <v>1</v>
      </c>
      <c r="S15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159" s="26" t="str">
        <f>IF(STLClientPriceCompute[[#This Row],[Available]]="Y", "P",IF(STLClientPriceCompute[[#This Row],[Available]]="N","O",""))</f>
        <v/>
      </c>
      <c r="U159" s="85" t="str">
        <f>TRIM(STLClientPriceCompute[[#This Row],[Description]])</f>
        <v>Quotation Manager</v>
      </c>
      <c r="V159" s="82" t="str">
        <f>IF(STLClientPriceCompute[[#This Row],[Item Level]]=0,STLClientPriceCompute[[#This Row],[Desc without indent]],"")</f>
        <v/>
      </c>
      <c r="W159" s="82" t="str">
        <f>IF(STLClientPriceCompute[[#This Row],[Item Level]]=1,STLClientPriceCompute[[#This Row],[Desc without indent]],"")</f>
        <v/>
      </c>
      <c r="X159" s="82" t="str">
        <f>IF(STLClientPriceCompute[[#This Row],[Item Level]]=2,STLClientPriceCompute[[#This Row],[Desc without indent]],"")</f>
        <v/>
      </c>
      <c r="Y159" s="82" t="str">
        <f>IF(STLClientPriceCompute[[#This Row],[Item Level]]&gt;=3,_xlfn.CONCAT(REPT(" ",STLClientPriceCompute[[#This Row],[Item Level]]-3), STLClientPriceCompute[[#This Row],[Desc without indent]]),"")</f>
        <v>Quotation Manager</v>
      </c>
      <c r="Z15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Quotation (Free if CargoWise Certification Program requirements are met - refer to MyAccount)</v>
      </c>
    </row>
    <row r="160" spans="2:26" x14ac:dyDescent="0.4">
      <c r="B160" s="15">
        <f>FIND(LEFT(TRIM(STLClientPriceCompute[[#This Row],[Description]]),1),STLClientPriceCompute[[#This Row],[Description]])-1</f>
        <v>1</v>
      </c>
      <c r="C160" s="19">
        <v>201</v>
      </c>
      <c r="D160" s="19"/>
      <c r="E160" s="19"/>
      <c r="F160" s="19" t="s">
        <v>337</v>
      </c>
      <c r="G160" s="19"/>
      <c r="H160" s="19" t="s">
        <v>87</v>
      </c>
      <c r="I160" s="20">
        <v>0</v>
      </c>
      <c r="J160" s="19"/>
      <c r="K160" s="19" t="s">
        <v>87</v>
      </c>
      <c r="L160" s="21">
        <v>0</v>
      </c>
      <c r="M160" s="19" t="s">
        <v>85</v>
      </c>
      <c r="N160" s="17">
        <f>_xlfn.IFNA(IF(STLClientPriceCompute[[#This Row],[Base Price (USD)]]="","", STLClientPriceCompute[[#This Row],[Base Price (USD)]]*VLOOKUP(_xlfn.CONCAT(STLClientPriceCompute[[#This Row],[Exchange Rate Group]],STLClientSpecificSettings[Currency]),ClientPriceExRate[[#All],[Ex-Currency]:[Exchange Rate]],2,FALSE)),"")</f>
        <v>0</v>
      </c>
      <c r="O16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0" s="22" cm="1">
        <f t="array" ref="P160">IF(STLClientSpecificSettings[Core Pack Excluded from Std volume discount]="EX",1, IF(STLClientSpecificSettings[Volume Price Adjustment]="HV", STLClientPriceCompute[[#This Row],[Category search for HV Base Discount]], STLClientSpecificSettings[Volume %]/100))</f>
        <v>1.5</v>
      </c>
      <c r="Q160" s="12" cm="1">
        <f t="array" ref="Q160">IF(ISBLANK(STLClientPriceCompute[[#This Row],[Category]]), 1, IF(ISNUMBER(SEARCH(CONCATENATE(STLClientPriceCompute[[#This Row],[Category]],"-",STLClientPriceCompute[[#This Row],[Code]]),STLClientSpecificSettings[VolumeBasedPriceItems])),STLClientSpecificSettings[Volume %]/100,1))</f>
        <v>1</v>
      </c>
      <c r="R160" s="12" cm="1">
        <f t="array" ref="R160">IF(STLClientSpecificSettings[Core Pack Excluded from Std volume discount]="UP",IF(OR(E160="USR",E160="RBU"),STLClientSpecificSettings[Core Uplift %]/100+1,1),1)</f>
        <v>1</v>
      </c>
      <c r="S16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0" s="26" t="str">
        <f>IF(STLClientPriceCompute[[#This Row],[Available]]="Y", "P",IF(STLClientPriceCompute[[#This Row],[Available]]="N","O",""))</f>
        <v/>
      </c>
      <c r="U160" s="85" t="str">
        <f>TRIM(STLClientPriceCompute[[#This Row],[Description]])</f>
        <v>Human Resources Manager</v>
      </c>
      <c r="V160" s="82" t="str">
        <f>IF(STLClientPriceCompute[[#This Row],[Item Level]]=0,STLClientPriceCompute[[#This Row],[Desc without indent]],"")</f>
        <v/>
      </c>
      <c r="W160" s="82" t="str">
        <f>IF(STLClientPriceCompute[[#This Row],[Item Level]]=1,STLClientPriceCompute[[#This Row],[Desc without indent]],"")</f>
        <v>Human Resources Manager</v>
      </c>
      <c r="X160" s="82" t="str">
        <f>IF(STLClientPriceCompute[[#This Row],[Item Level]]=2,STLClientPriceCompute[[#This Row],[Desc without indent]],"")</f>
        <v/>
      </c>
      <c r="Y160" s="82" t="str">
        <f>IF(STLClientPriceCompute[[#This Row],[Item Level]]&gt;=3,_xlfn.CONCAT(REPT(" ",STLClientPriceCompute[[#This Row],[Item Level]]-3), STLClientPriceCompute[[#This Row],[Desc without indent]]),"")</f>
        <v/>
      </c>
      <c r="Z16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61" spans="2:26" x14ac:dyDescent="0.4">
      <c r="B161" s="15">
        <f>FIND(LEFT(TRIM(STLClientPriceCompute[[#This Row],[Description]]),1),STLClientPriceCompute[[#This Row],[Description]])-1</f>
        <v>2</v>
      </c>
      <c r="C161" s="19">
        <v>202</v>
      </c>
      <c r="D161" s="19"/>
      <c r="E161" s="19"/>
      <c r="F161" s="19" t="s">
        <v>338</v>
      </c>
      <c r="G161" s="19"/>
      <c r="H161" s="19" t="s">
        <v>87</v>
      </c>
      <c r="I161" s="20">
        <v>0</v>
      </c>
      <c r="J161" s="19" t="s">
        <v>339</v>
      </c>
      <c r="K161" s="19" t="s">
        <v>87</v>
      </c>
      <c r="L161" s="21">
        <v>0</v>
      </c>
      <c r="M161" s="19" t="s">
        <v>85</v>
      </c>
      <c r="N161" s="17">
        <f>_xlfn.IFNA(IF(STLClientPriceCompute[[#This Row],[Base Price (USD)]]="","", STLClientPriceCompute[[#This Row],[Base Price (USD)]]*VLOOKUP(_xlfn.CONCAT(STLClientPriceCompute[[#This Row],[Exchange Rate Group]],STLClientSpecificSettings[Currency]),ClientPriceExRate[[#All],[Ex-Currency]:[Exchange Rate]],2,FALSE)),"")</f>
        <v>0</v>
      </c>
      <c r="O16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1" s="22" cm="1">
        <f t="array" ref="P161">IF(STLClientSpecificSettings[Core Pack Excluded from Std volume discount]="EX",1, IF(STLClientSpecificSettings[Volume Price Adjustment]="HV", STLClientPriceCompute[[#This Row],[Category search for HV Base Discount]], STLClientSpecificSettings[Volume %]/100))</f>
        <v>1.5</v>
      </c>
      <c r="Q161" s="12" cm="1">
        <f t="array" ref="Q161">IF(ISBLANK(STLClientPriceCompute[[#This Row],[Category]]), 1, IF(ISNUMBER(SEARCH(CONCATENATE(STLClientPriceCompute[[#This Row],[Category]],"-",STLClientPriceCompute[[#This Row],[Code]]),STLClientSpecificSettings[VolumeBasedPriceItems])),STLClientSpecificSettings[Volume %]/100,1))</f>
        <v>1</v>
      </c>
      <c r="R161" s="12" cm="1">
        <f t="array" ref="R161">IF(STLClientSpecificSettings[Core Pack Excluded from Std volume discount]="UP",IF(OR(E161="USR",E161="RBU"),STLClientSpecificSettings[Core Uplift %]/100+1,1),1)</f>
        <v>1</v>
      </c>
      <c r="S16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1" s="26" t="str">
        <f>IF(STLClientPriceCompute[[#This Row],[Available]]="Y", "P",IF(STLClientPriceCompute[[#This Row],[Available]]="N","O",""))</f>
        <v/>
      </c>
      <c r="U161" s="85" t="str">
        <f>TRIM(STLClientPriceCompute[[#This Row],[Description]])</f>
        <v>Staff Management</v>
      </c>
      <c r="V161" s="82" t="str">
        <f>IF(STLClientPriceCompute[[#This Row],[Item Level]]=0,STLClientPriceCompute[[#This Row],[Desc without indent]],"")</f>
        <v/>
      </c>
      <c r="W161" s="82" t="str">
        <f>IF(STLClientPriceCompute[[#This Row],[Item Level]]=1,STLClientPriceCompute[[#This Row],[Desc without indent]],"")</f>
        <v/>
      </c>
      <c r="X161" s="82" t="str">
        <f>IF(STLClientPriceCompute[[#This Row],[Item Level]]=2,STLClientPriceCompute[[#This Row],[Desc without indent]],"")</f>
        <v>Staff Management</v>
      </c>
      <c r="Y161" s="82" t="str">
        <f>IF(STLClientPriceCompute[[#This Row],[Item Level]]&gt;=3,_xlfn.CONCAT(REPT(" ",STLClientPriceCompute[[#This Row],[Item Level]]-3), STLClientPriceCompute[[#This Row],[Desc without indent]]),"")</f>
        <v/>
      </c>
      <c r="Z16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Seat Lic of STL</v>
      </c>
    </row>
    <row r="162" spans="2:26" x14ac:dyDescent="0.4">
      <c r="B162" s="15">
        <f>FIND(LEFT(TRIM(STLClientPriceCompute[[#This Row],[Description]]),1),STLClientPriceCompute[[#This Row],[Description]])-1</f>
        <v>3</v>
      </c>
      <c r="C162" s="19">
        <v>203</v>
      </c>
      <c r="D162" s="19"/>
      <c r="E162" s="19"/>
      <c r="F162" s="19" t="s">
        <v>340</v>
      </c>
      <c r="G162" s="19"/>
      <c r="H162" s="19" t="s">
        <v>87</v>
      </c>
      <c r="I162" s="20">
        <v>0</v>
      </c>
      <c r="J162" s="19" t="s">
        <v>339</v>
      </c>
      <c r="K162" s="19" t="s">
        <v>87</v>
      </c>
      <c r="L162" s="21">
        <v>0</v>
      </c>
      <c r="M162" s="19" t="s">
        <v>85</v>
      </c>
      <c r="N162" s="17">
        <f>_xlfn.IFNA(IF(STLClientPriceCompute[[#This Row],[Base Price (USD)]]="","", STLClientPriceCompute[[#This Row],[Base Price (USD)]]*VLOOKUP(_xlfn.CONCAT(STLClientPriceCompute[[#This Row],[Exchange Rate Group]],STLClientSpecificSettings[Currency]),ClientPriceExRate[[#All],[Ex-Currency]:[Exchange Rate]],2,FALSE)),"")</f>
        <v>0</v>
      </c>
      <c r="O16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2" s="22" cm="1">
        <f t="array" ref="P162">IF(STLClientSpecificSettings[Core Pack Excluded from Std volume discount]="EX",1, IF(STLClientSpecificSettings[Volume Price Adjustment]="HV", STLClientPriceCompute[[#This Row],[Category search for HV Base Discount]], STLClientSpecificSettings[Volume %]/100))</f>
        <v>1.5</v>
      </c>
      <c r="Q162" s="12" cm="1">
        <f t="array" ref="Q162">IF(ISBLANK(STLClientPriceCompute[[#This Row],[Category]]), 1, IF(ISNUMBER(SEARCH(CONCATENATE(STLClientPriceCompute[[#This Row],[Category]],"-",STLClientPriceCompute[[#This Row],[Code]]),STLClientSpecificSettings[VolumeBasedPriceItems])),STLClientSpecificSettings[Volume %]/100,1))</f>
        <v>1</v>
      </c>
      <c r="R162" s="12" cm="1">
        <f t="array" ref="R162">IF(STLClientSpecificSettings[Core Pack Excluded from Std volume discount]="UP",IF(OR(E162="USR",E162="RBU"),STLClientSpecificSettings[Core Uplift %]/100+1,1),1)</f>
        <v>1</v>
      </c>
      <c r="S16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2" s="26" t="str">
        <f>IF(STLClientPriceCompute[[#This Row],[Available]]="Y", "P",IF(STLClientPriceCompute[[#This Row],[Available]]="N","O",""))</f>
        <v/>
      </c>
      <c r="U162" s="85" t="str">
        <f>TRIM(STLClientPriceCompute[[#This Row],[Description]])</f>
        <v>Leave Manager</v>
      </c>
      <c r="V162" s="82" t="str">
        <f>IF(STLClientPriceCompute[[#This Row],[Item Level]]=0,STLClientPriceCompute[[#This Row],[Desc without indent]],"")</f>
        <v/>
      </c>
      <c r="W162" s="82" t="str">
        <f>IF(STLClientPriceCompute[[#This Row],[Item Level]]=1,STLClientPriceCompute[[#This Row],[Desc without indent]],"")</f>
        <v/>
      </c>
      <c r="X162" s="82" t="str">
        <f>IF(STLClientPriceCompute[[#This Row],[Item Level]]=2,STLClientPriceCompute[[#This Row],[Desc without indent]],"")</f>
        <v/>
      </c>
      <c r="Y162" s="82" t="str">
        <f>IF(STLClientPriceCompute[[#This Row],[Item Level]]&gt;=3,_xlfn.CONCAT(REPT(" ",STLClientPriceCompute[[#This Row],[Item Level]]-3), STLClientPriceCompute[[#This Row],[Desc without indent]]),"")</f>
        <v>Leave Manager</v>
      </c>
      <c r="Z16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Seat Lic of STL</v>
      </c>
    </row>
    <row r="163" spans="2:26" x14ac:dyDescent="0.4">
      <c r="B163" s="15">
        <f>FIND(LEFT(TRIM(STLClientPriceCompute[[#This Row],[Description]]),1),STLClientPriceCompute[[#This Row],[Description]])-1</f>
        <v>3</v>
      </c>
      <c r="C163" s="19">
        <v>204</v>
      </c>
      <c r="D163" s="19"/>
      <c r="E163" s="19"/>
      <c r="F163" s="19" t="s">
        <v>341</v>
      </c>
      <c r="G163" s="19"/>
      <c r="H163" s="19" t="s">
        <v>87</v>
      </c>
      <c r="I163" s="20">
        <v>0</v>
      </c>
      <c r="J163" s="19" t="s">
        <v>339</v>
      </c>
      <c r="K163" s="19" t="s">
        <v>87</v>
      </c>
      <c r="L163" s="21">
        <v>0</v>
      </c>
      <c r="M163" s="19" t="s">
        <v>85</v>
      </c>
      <c r="N163" s="17">
        <f>_xlfn.IFNA(IF(STLClientPriceCompute[[#This Row],[Base Price (USD)]]="","", STLClientPriceCompute[[#This Row],[Base Price (USD)]]*VLOOKUP(_xlfn.CONCAT(STLClientPriceCompute[[#This Row],[Exchange Rate Group]],STLClientSpecificSettings[Currency]),ClientPriceExRate[[#All],[Ex-Currency]:[Exchange Rate]],2,FALSE)),"")</f>
        <v>0</v>
      </c>
      <c r="O16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3" s="22" cm="1">
        <f t="array" ref="P163">IF(STLClientSpecificSettings[Core Pack Excluded from Std volume discount]="EX",1, IF(STLClientSpecificSettings[Volume Price Adjustment]="HV", STLClientPriceCompute[[#This Row],[Category search for HV Base Discount]], STLClientSpecificSettings[Volume %]/100))</f>
        <v>1.5</v>
      </c>
      <c r="Q163" s="12" cm="1">
        <f t="array" ref="Q163">IF(ISBLANK(STLClientPriceCompute[[#This Row],[Category]]), 1, IF(ISNUMBER(SEARCH(CONCATENATE(STLClientPriceCompute[[#This Row],[Category]],"-",STLClientPriceCompute[[#This Row],[Code]]),STLClientSpecificSettings[VolumeBasedPriceItems])),STLClientSpecificSettings[Volume %]/100,1))</f>
        <v>1</v>
      </c>
      <c r="R163" s="12" cm="1">
        <f t="array" ref="R163">IF(STLClientSpecificSettings[Core Pack Excluded from Std volume discount]="UP",IF(OR(E163="USR",E163="RBU"),STLClientSpecificSettings[Core Uplift %]/100+1,1),1)</f>
        <v>1</v>
      </c>
      <c r="S16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3" s="26" t="str">
        <f>IF(STLClientPriceCompute[[#This Row],[Available]]="Y", "P",IF(STLClientPriceCompute[[#This Row],[Available]]="N","O",""))</f>
        <v/>
      </c>
      <c r="U163" s="85" t="str">
        <f>TRIM(STLClientPriceCompute[[#This Row],[Description]])</f>
        <v>licence and Certification Manager</v>
      </c>
      <c r="V163" s="82" t="str">
        <f>IF(STLClientPriceCompute[[#This Row],[Item Level]]=0,STLClientPriceCompute[[#This Row],[Desc without indent]],"")</f>
        <v/>
      </c>
      <c r="W163" s="82" t="str">
        <f>IF(STLClientPriceCompute[[#This Row],[Item Level]]=1,STLClientPriceCompute[[#This Row],[Desc without indent]],"")</f>
        <v/>
      </c>
      <c r="X163" s="82" t="str">
        <f>IF(STLClientPriceCompute[[#This Row],[Item Level]]=2,STLClientPriceCompute[[#This Row],[Desc without indent]],"")</f>
        <v/>
      </c>
      <c r="Y163" s="82" t="str">
        <f>IF(STLClientPriceCompute[[#This Row],[Item Level]]&gt;=3,_xlfn.CONCAT(REPT(" ",STLClientPriceCompute[[#This Row],[Item Level]]-3), STLClientPriceCompute[[#This Row],[Desc without indent]]),"")</f>
        <v>licence and Certification Manager</v>
      </c>
      <c r="Z16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Seat Lic of STL</v>
      </c>
    </row>
    <row r="164" spans="2:26" x14ac:dyDescent="0.4">
      <c r="B164" s="15">
        <f>FIND(LEFT(TRIM(STLClientPriceCompute[[#This Row],[Description]]),1),STLClientPriceCompute[[#This Row],[Description]])-1</f>
        <v>3</v>
      </c>
      <c r="C164" s="19">
        <v>205</v>
      </c>
      <c r="D164" s="19"/>
      <c r="E164" s="19"/>
      <c r="F164" s="19" t="s">
        <v>342</v>
      </c>
      <c r="G164" s="19"/>
      <c r="H164" s="19" t="s">
        <v>87</v>
      </c>
      <c r="I164" s="20">
        <v>0</v>
      </c>
      <c r="J164" s="19" t="s">
        <v>339</v>
      </c>
      <c r="K164" s="19" t="s">
        <v>87</v>
      </c>
      <c r="L164" s="21">
        <v>0</v>
      </c>
      <c r="M164" s="19" t="s">
        <v>85</v>
      </c>
      <c r="N164" s="17">
        <f>_xlfn.IFNA(IF(STLClientPriceCompute[[#This Row],[Base Price (USD)]]="","", STLClientPriceCompute[[#This Row],[Base Price (USD)]]*VLOOKUP(_xlfn.CONCAT(STLClientPriceCompute[[#This Row],[Exchange Rate Group]],STLClientSpecificSettings[Currency]),ClientPriceExRate[[#All],[Ex-Currency]:[Exchange Rate]],2,FALSE)),"")</f>
        <v>0</v>
      </c>
      <c r="O16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4" s="22" cm="1">
        <f t="array" ref="P164">IF(STLClientSpecificSettings[Core Pack Excluded from Std volume discount]="EX",1, IF(STLClientSpecificSettings[Volume Price Adjustment]="HV", STLClientPriceCompute[[#This Row],[Category search for HV Base Discount]], STLClientSpecificSettings[Volume %]/100))</f>
        <v>1.5</v>
      </c>
      <c r="Q164" s="12" cm="1">
        <f t="array" ref="Q164">IF(ISBLANK(STLClientPriceCompute[[#This Row],[Category]]), 1, IF(ISNUMBER(SEARCH(CONCATENATE(STLClientPriceCompute[[#This Row],[Category]],"-",STLClientPriceCompute[[#This Row],[Code]]),STLClientSpecificSettings[VolumeBasedPriceItems])),STLClientSpecificSettings[Volume %]/100,1))</f>
        <v>1</v>
      </c>
      <c r="R164" s="12" cm="1">
        <f t="array" ref="R164">IF(STLClientSpecificSettings[Core Pack Excluded from Std volume discount]="UP",IF(OR(E164="USR",E164="RBU"),STLClientSpecificSettings[Core Uplift %]/100+1,1),1)</f>
        <v>1</v>
      </c>
      <c r="S16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4" s="26" t="str">
        <f>IF(STLClientPriceCompute[[#This Row],[Available]]="Y", "P",IF(STLClientPriceCompute[[#This Row],[Available]]="N","O",""))</f>
        <v/>
      </c>
      <c r="U164" s="85" t="str">
        <f>TRIM(STLClientPriceCompute[[#This Row],[Description]])</f>
        <v>Staff Activity Tracking</v>
      </c>
      <c r="V164" s="82" t="str">
        <f>IF(STLClientPriceCompute[[#This Row],[Item Level]]=0,STLClientPriceCompute[[#This Row],[Desc without indent]],"")</f>
        <v/>
      </c>
      <c r="W164" s="82" t="str">
        <f>IF(STLClientPriceCompute[[#This Row],[Item Level]]=1,STLClientPriceCompute[[#This Row],[Desc without indent]],"")</f>
        <v/>
      </c>
      <c r="X164" s="82" t="str">
        <f>IF(STLClientPriceCompute[[#This Row],[Item Level]]=2,STLClientPriceCompute[[#This Row],[Desc without indent]],"")</f>
        <v/>
      </c>
      <c r="Y164" s="82" t="str">
        <f>IF(STLClientPriceCompute[[#This Row],[Item Level]]&gt;=3,_xlfn.CONCAT(REPT(" ",STLClientPriceCompute[[#This Row],[Item Level]]-3), STLClientPriceCompute[[#This Row],[Desc without indent]]),"")</f>
        <v>Staff Activity Tracking</v>
      </c>
      <c r="Z16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Included in Seat Lic of STL</v>
      </c>
    </row>
    <row r="165" spans="2:26" x14ac:dyDescent="0.4">
      <c r="B165" s="15">
        <f>FIND(LEFT(TRIM(STLClientPriceCompute[[#This Row],[Description]]),1),STLClientPriceCompute[[#This Row],[Description]])-1</f>
        <v>2</v>
      </c>
      <c r="C165" s="19">
        <v>206</v>
      </c>
      <c r="D165" s="19"/>
      <c r="E165" s="19"/>
      <c r="F165" s="19" t="s">
        <v>343</v>
      </c>
      <c r="G165" s="19"/>
      <c r="H165" s="19" t="s">
        <v>87</v>
      </c>
      <c r="I165" s="20">
        <v>0</v>
      </c>
      <c r="J165" s="19"/>
      <c r="K165" s="19" t="s">
        <v>87</v>
      </c>
      <c r="L165" s="21">
        <v>0</v>
      </c>
      <c r="M165" s="19" t="s">
        <v>85</v>
      </c>
      <c r="N165" s="17">
        <f>_xlfn.IFNA(IF(STLClientPriceCompute[[#This Row],[Base Price (USD)]]="","", STLClientPriceCompute[[#This Row],[Base Price (USD)]]*VLOOKUP(_xlfn.CONCAT(STLClientPriceCompute[[#This Row],[Exchange Rate Group]],STLClientSpecificSettings[Currency]),ClientPriceExRate[[#All],[Ex-Currency]:[Exchange Rate]],2,FALSE)),"")</f>
        <v>0</v>
      </c>
      <c r="O16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5" s="22" cm="1">
        <f t="array" ref="P165">IF(STLClientSpecificSettings[Core Pack Excluded from Std volume discount]="EX",1, IF(STLClientSpecificSettings[Volume Price Adjustment]="HV", STLClientPriceCompute[[#This Row],[Category search for HV Base Discount]], STLClientSpecificSettings[Volume %]/100))</f>
        <v>1.5</v>
      </c>
      <c r="Q165" s="12" cm="1">
        <f t="array" ref="Q165">IF(ISBLANK(STLClientPriceCompute[[#This Row],[Category]]), 1, IF(ISNUMBER(SEARCH(CONCATENATE(STLClientPriceCompute[[#This Row],[Category]],"-",STLClientPriceCompute[[#This Row],[Code]]),STLClientSpecificSettings[VolumeBasedPriceItems])),STLClientSpecificSettings[Volume %]/100,1))</f>
        <v>1</v>
      </c>
      <c r="R165" s="12" cm="1">
        <f t="array" ref="R165">IF(STLClientSpecificSettings[Core Pack Excluded from Std volume discount]="UP",IF(OR(E165="USR",E165="RBU"),STLClientSpecificSettings[Core Uplift %]/100+1,1),1)</f>
        <v>1</v>
      </c>
      <c r="S16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5" s="26" t="str">
        <f>IF(STLClientPriceCompute[[#This Row],[Available]]="Y", "P",IF(STLClientPriceCompute[[#This Row],[Available]]="N","O",""))</f>
        <v/>
      </c>
      <c r="U165" s="85" t="str">
        <f>TRIM(STLClientPriceCompute[[#This Row],[Description]])</f>
        <v>Recruitment</v>
      </c>
      <c r="V165" s="82" t="str">
        <f>IF(STLClientPriceCompute[[#This Row],[Item Level]]=0,STLClientPriceCompute[[#This Row],[Desc without indent]],"")</f>
        <v/>
      </c>
      <c r="W165" s="82" t="str">
        <f>IF(STLClientPriceCompute[[#This Row],[Item Level]]=1,STLClientPriceCompute[[#This Row],[Desc without indent]],"")</f>
        <v/>
      </c>
      <c r="X165" s="82" t="str">
        <f>IF(STLClientPriceCompute[[#This Row],[Item Level]]=2,STLClientPriceCompute[[#This Row],[Desc without indent]],"")</f>
        <v>Recruitment</v>
      </c>
      <c r="Y165" s="82" t="str">
        <f>IF(STLClientPriceCompute[[#This Row],[Item Level]]&gt;=3,_xlfn.CONCAT(REPT(" ",STLClientPriceCompute[[#This Row],[Item Level]]-3), STLClientPriceCompute[[#This Row],[Desc without indent]]),"")</f>
        <v/>
      </c>
      <c r="Z16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66" spans="2:26" x14ac:dyDescent="0.4">
      <c r="B166" s="15">
        <f>FIND(LEFT(TRIM(STLClientPriceCompute[[#This Row],[Description]]),1),STLClientPriceCompute[[#This Row],[Description]])-1</f>
        <v>3</v>
      </c>
      <c r="C166" s="19">
        <v>207</v>
      </c>
      <c r="D166" s="19"/>
      <c r="E166" s="19"/>
      <c r="F166" s="19" t="s">
        <v>344</v>
      </c>
      <c r="G166" s="19"/>
      <c r="H166" s="19" t="s">
        <v>87</v>
      </c>
      <c r="I166" s="20">
        <v>6.8841799999999997</v>
      </c>
      <c r="J166" s="19" t="s">
        <v>345</v>
      </c>
      <c r="K166" s="19" t="s">
        <v>87</v>
      </c>
      <c r="L166" s="21">
        <v>68.841800000000006</v>
      </c>
      <c r="M166" s="19" t="s">
        <v>85</v>
      </c>
      <c r="N166" s="17">
        <f>_xlfn.IFNA(IF(STLClientPriceCompute[[#This Row],[Base Price (USD)]]="","", STLClientPriceCompute[[#This Row],[Base Price (USD)]]*VLOOKUP(_xlfn.CONCAT(STLClientPriceCompute[[#This Row],[Exchange Rate Group]],STLClientSpecificSettings[Currency]),ClientPriceExRate[[#All],[Ex-Currency]:[Exchange Rate]],2,FALSE)),"")</f>
        <v>9.6148588388</v>
      </c>
      <c r="O16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14.4222882582</v>
      </c>
      <c r="P166" s="22" cm="1">
        <f t="array" ref="P166">IF(STLClientSpecificSettings[Core Pack Excluded from Std volume discount]="EX",1, IF(STLClientSpecificSettings[Volume Price Adjustment]="HV", STLClientPriceCompute[[#This Row],[Category search for HV Base Discount]], STLClientSpecificSettings[Volume %]/100))</f>
        <v>1.5</v>
      </c>
      <c r="Q166" s="12" cm="1">
        <f t="array" ref="Q166">IF(ISBLANK(STLClientPriceCompute[[#This Row],[Category]]), 1, IF(ISNUMBER(SEARCH(CONCATENATE(STLClientPriceCompute[[#This Row],[Category]],"-",STLClientPriceCompute[[#This Row],[Code]]),STLClientSpecificSettings[VolumeBasedPriceItems])),STLClientSpecificSettings[Volume %]/100,1))</f>
        <v>1</v>
      </c>
      <c r="R166" s="12" cm="1">
        <f t="array" ref="R166">IF(STLClientSpecificSettings[Core Pack Excluded from Std volume discount]="UP",IF(OR(E166="USR",E166="RBU"),STLClientSpecificSettings[Core Uplift %]/100+1,1),1)</f>
        <v>1</v>
      </c>
      <c r="S16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103.26270000000001</v>
      </c>
      <c r="T166" s="26" t="str">
        <f>IF(STLClientPriceCompute[[#This Row],[Available]]="Y", "P",IF(STLClientPriceCompute[[#This Row],[Available]]="N","O",""))</f>
        <v/>
      </c>
      <c r="U166" s="85" t="str">
        <f>TRIM(STLClientPriceCompute[[#This Row],[Description]])</f>
        <v>Recruitment Manager</v>
      </c>
      <c r="V166" s="82" t="str">
        <f>IF(STLClientPriceCompute[[#This Row],[Item Level]]=0,STLClientPriceCompute[[#This Row],[Desc without indent]],"")</f>
        <v/>
      </c>
      <c r="W166" s="82" t="str">
        <f>IF(STLClientPriceCompute[[#This Row],[Item Level]]=1,STLClientPriceCompute[[#This Row],[Desc without indent]],"")</f>
        <v/>
      </c>
      <c r="X166" s="82" t="str">
        <f>IF(STLClientPriceCompute[[#This Row],[Item Level]]=2,STLClientPriceCompute[[#This Row],[Desc without indent]],"")</f>
        <v/>
      </c>
      <c r="Y166" s="82" t="str">
        <f>IF(STLClientPriceCompute[[#This Row],[Item Level]]&gt;=3,_xlfn.CONCAT(REPT(" ",STLClientPriceCompute[[#This Row],[Item Level]]-3), STLClientPriceCompute[[#This Row],[Desc without indent]]),"")</f>
        <v>Recruitment Manager</v>
      </c>
      <c r="Z16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Job Vacancy</v>
      </c>
    </row>
    <row r="167" spans="2:26" x14ac:dyDescent="0.4">
      <c r="B167" s="15">
        <f>FIND(LEFT(TRIM(STLClientPriceCompute[[#This Row],[Description]]),1),STLClientPriceCompute[[#This Row],[Description]])-1</f>
        <v>5</v>
      </c>
      <c r="C167" s="19">
        <v>208</v>
      </c>
      <c r="D167" s="19"/>
      <c r="E167" s="19"/>
      <c r="F167" s="19" t="s">
        <v>346</v>
      </c>
      <c r="G167" s="19"/>
      <c r="H167" s="19" t="s">
        <v>87</v>
      </c>
      <c r="I167" s="20">
        <v>2.294727</v>
      </c>
      <c r="J167" s="19" t="s">
        <v>347</v>
      </c>
      <c r="K167" s="19" t="s">
        <v>87</v>
      </c>
      <c r="L167" s="21">
        <v>22.94727</v>
      </c>
      <c r="M167" s="19" t="s">
        <v>85</v>
      </c>
      <c r="N167" s="17">
        <f>_xlfn.IFNA(IF(STLClientPriceCompute[[#This Row],[Base Price (USD)]]="","", STLClientPriceCompute[[#This Row],[Base Price (USD)]]*VLOOKUP(_xlfn.CONCAT(STLClientPriceCompute[[#This Row],[Exchange Rate Group]],STLClientSpecificSettings[Currency]),ClientPriceExRate[[#All],[Ex-Currency]:[Exchange Rate]],2,FALSE)),"")</f>
        <v>3.20495341182</v>
      </c>
      <c r="O16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4.8074301177300001</v>
      </c>
      <c r="P167" s="22" cm="1">
        <f t="array" ref="P167">IF(STLClientSpecificSettings[Core Pack Excluded from Std volume discount]="EX",1, IF(STLClientSpecificSettings[Volume Price Adjustment]="HV", STLClientPriceCompute[[#This Row],[Category search for HV Base Discount]], STLClientSpecificSettings[Volume %]/100))</f>
        <v>1.5</v>
      </c>
      <c r="Q167" s="12" cm="1">
        <f t="array" ref="Q167">IF(ISBLANK(STLClientPriceCompute[[#This Row],[Category]]), 1, IF(ISNUMBER(SEARCH(CONCATENATE(STLClientPriceCompute[[#This Row],[Category]],"-",STLClientPriceCompute[[#This Row],[Code]]),STLClientSpecificSettings[VolumeBasedPriceItems])),STLClientSpecificSettings[Volume %]/100,1))</f>
        <v>1</v>
      </c>
      <c r="R167" s="12" cm="1">
        <f t="array" ref="R167">IF(STLClientSpecificSettings[Core Pack Excluded from Std volume discount]="UP",IF(OR(E167="USR",E167="RBU"),STLClientSpecificSettings[Core Uplift %]/100+1,1),1)</f>
        <v>1</v>
      </c>
      <c r="S16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34.420904999999998</v>
      </c>
      <c r="T167" s="26" t="str">
        <f>IF(STLClientPriceCompute[[#This Row],[Available]]="Y", "P",IF(STLClientPriceCompute[[#This Row],[Available]]="N","O",""))</f>
        <v/>
      </c>
      <c r="U167" s="85" t="str">
        <f>TRIM(STLClientPriceCompute[[#This Row],[Description]])</f>
        <v>- Job Applicant Processing</v>
      </c>
      <c r="V167" s="82" t="str">
        <f>IF(STLClientPriceCompute[[#This Row],[Item Level]]=0,STLClientPriceCompute[[#This Row],[Desc without indent]],"")</f>
        <v/>
      </c>
      <c r="W167" s="82" t="str">
        <f>IF(STLClientPriceCompute[[#This Row],[Item Level]]=1,STLClientPriceCompute[[#This Row],[Desc without indent]],"")</f>
        <v/>
      </c>
      <c r="X167" s="82" t="str">
        <f>IF(STLClientPriceCompute[[#This Row],[Item Level]]=2,STLClientPriceCompute[[#This Row],[Desc without indent]],"")</f>
        <v/>
      </c>
      <c r="Y167" s="82" t="str">
        <f>IF(STLClientPriceCompute[[#This Row],[Item Level]]&gt;=3,_xlfn.CONCAT(REPT(" ",STLClientPriceCompute[[#This Row],[Item Level]]-3), STLClientPriceCompute[[#This Row],[Desc without indent]]),"")</f>
        <v xml:space="preserve">  - Job Applicant Processing</v>
      </c>
      <c r="Z16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Applicant</v>
      </c>
    </row>
    <row r="168" spans="2:26" x14ac:dyDescent="0.4">
      <c r="B168" s="15">
        <f>FIND(LEFT(TRIM(STLClientPriceCompute[[#This Row],[Description]]),1),STLClientPriceCompute[[#This Row],[Description]])-1</f>
        <v>3</v>
      </c>
      <c r="C168" s="19">
        <v>209</v>
      </c>
      <c r="D168" s="19"/>
      <c r="E168" s="19"/>
      <c r="F168" s="19" t="s">
        <v>348</v>
      </c>
      <c r="G168" s="19"/>
      <c r="H168" s="19" t="s">
        <v>87</v>
      </c>
      <c r="I168" s="20">
        <v>0</v>
      </c>
      <c r="J168" s="19"/>
      <c r="K168" s="19" t="s">
        <v>87</v>
      </c>
      <c r="L168" s="21">
        <v>0</v>
      </c>
      <c r="M168" s="19" t="s">
        <v>85</v>
      </c>
      <c r="N168" s="17">
        <f>_xlfn.IFNA(IF(STLClientPriceCompute[[#This Row],[Base Price (USD)]]="","", STLClientPriceCompute[[#This Row],[Base Price (USD)]]*VLOOKUP(_xlfn.CONCAT(STLClientPriceCompute[[#This Row],[Exchange Rate Group]],STLClientSpecificSettings[Currency]),ClientPriceExRate[[#All],[Ex-Currency]:[Exchange Rate]],2,FALSE)),"")</f>
        <v>0</v>
      </c>
      <c r="O16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8" s="22" cm="1">
        <f t="array" ref="P168">IF(STLClientSpecificSettings[Core Pack Excluded from Std volume discount]="EX",1, IF(STLClientSpecificSettings[Volume Price Adjustment]="HV", STLClientPriceCompute[[#This Row],[Category search for HV Base Discount]], STLClientSpecificSettings[Volume %]/100))</f>
        <v>1.5</v>
      </c>
      <c r="Q168" s="12" cm="1">
        <f t="array" ref="Q168">IF(ISBLANK(STLClientPriceCompute[[#This Row],[Category]]), 1, IF(ISNUMBER(SEARCH(CONCATENATE(STLClientPriceCompute[[#This Row],[Category]],"-",STLClientPriceCompute[[#This Row],[Code]]),STLClientSpecificSettings[VolumeBasedPriceItems])),STLClientSpecificSettings[Volume %]/100,1))</f>
        <v>1</v>
      </c>
      <c r="R168" s="12" cm="1">
        <f t="array" ref="R168">IF(STLClientSpecificSettings[Core Pack Excluded from Std volume discount]="UP",IF(OR(E168="USR",E168="RBU"),STLClientSpecificSettings[Core Uplift %]/100+1,1),1)</f>
        <v>1</v>
      </c>
      <c r="S16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8" s="26" t="str">
        <f>IF(STLClientPriceCompute[[#This Row],[Available]]="Y", "P",IF(STLClientPriceCompute[[#This Row],[Available]]="N","O",""))</f>
        <v/>
      </c>
      <c r="U168" s="85" t="str">
        <f>TRIM(STLClientPriceCompute[[#This Row],[Description]])</f>
        <v>Recruitment Portal</v>
      </c>
      <c r="V168" s="82" t="str">
        <f>IF(STLClientPriceCompute[[#This Row],[Item Level]]=0,STLClientPriceCompute[[#This Row],[Desc without indent]],"")</f>
        <v/>
      </c>
      <c r="W168" s="82" t="str">
        <f>IF(STLClientPriceCompute[[#This Row],[Item Level]]=1,STLClientPriceCompute[[#This Row],[Desc without indent]],"")</f>
        <v/>
      </c>
      <c r="X168" s="82" t="str">
        <f>IF(STLClientPriceCompute[[#This Row],[Item Level]]=2,STLClientPriceCompute[[#This Row],[Desc without indent]],"")</f>
        <v/>
      </c>
      <c r="Y168" s="82" t="str">
        <f>IF(STLClientPriceCompute[[#This Row],[Item Level]]&gt;=3,_xlfn.CONCAT(REPT(" ",STLClientPriceCompute[[#This Row],[Item Level]]-3), STLClientPriceCompute[[#This Row],[Desc without indent]]),"")</f>
        <v>Recruitment Portal</v>
      </c>
      <c r="Z16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69" spans="2:26" x14ac:dyDescent="0.4">
      <c r="B169" s="15">
        <f>FIND(LEFT(TRIM(STLClientPriceCompute[[#This Row],[Description]]),1),STLClientPriceCompute[[#This Row],[Description]])-1</f>
        <v>0</v>
      </c>
      <c r="C169" s="19">
        <v>210</v>
      </c>
      <c r="D169" s="19"/>
      <c r="E169" s="19"/>
      <c r="F169" s="19" t="s">
        <v>349</v>
      </c>
      <c r="G169" s="19"/>
      <c r="H169" s="19" t="s">
        <v>87</v>
      </c>
      <c r="I169" s="20">
        <v>0</v>
      </c>
      <c r="J169" s="19"/>
      <c r="K169" s="19" t="s">
        <v>87</v>
      </c>
      <c r="L169" s="21">
        <v>0</v>
      </c>
      <c r="M169" s="19" t="s">
        <v>85</v>
      </c>
      <c r="N169" s="17">
        <f>_xlfn.IFNA(IF(STLClientPriceCompute[[#This Row],[Base Price (USD)]]="","", STLClientPriceCompute[[#This Row],[Base Price (USD)]]*VLOOKUP(_xlfn.CONCAT(STLClientPriceCompute[[#This Row],[Exchange Rate Group]],STLClientSpecificSettings[Currency]),ClientPriceExRate[[#All],[Ex-Currency]:[Exchange Rate]],2,FALSE)),"")</f>
        <v>0</v>
      </c>
      <c r="O16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69" s="22" cm="1">
        <f t="array" ref="P169">IF(STLClientSpecificSettings[Core Pack Excluded from Std volume discount]="EX",1, IF(STLClientSpecificSettings[Volume Price Adjustment]="HV", STLClientPriceCompute[[#This Row],[Category search for HV Base Discount]], STLClientSpecificSettings[Volume %]/100))</f>
        <v>1.5</v>
      </c>
      <c r="Q169" s="12" cm="1">
        <f t="array" ref="Q169">IF(ISBLANK(STLClientPriceCompute[[#This Row],[Category]]), 1, IF(ISNUMBER(SEARCH(CONCATENATE(STLClientPriceCompute[[#This Row],[Category]],"-",STLClientPriceCompute[[#This Row],[Code]]),STLClientSpecificSettings[VolumeBasedPriceItems])),STLClientSpecificSettings[Volume %]/100,1))</f>
        <v>1</v>
      </c>
      <c r="R169" s="12" cm="1">
        <f t="array" ref="R169">IF(STLClientSpecificSettings[Core Pack Excluded from Std volume discount]="UP",IF(OR(E169="USR",E169="RBU"),STLClientSpecificSettings[Core Uplift %]/100+1,1),1)</f>
        <v>1</v>
      </c>
      <c r="S16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69" s="26" t="str">
        <f>IF(STLClientPriceCompute[[#This Row],[Available]]="Y", "P",IF(STLClientPriceCompute[[#This Row],[Available]]="N","O",""))</f>
        <v/>
      </c>
      <c r="U169" s="85" t="str">
        <f>TRIM(STLClientPriceCompute[[#This Row],[Description]])</f>
        <v>Process and Workflow</v>
      </c>
      <c r="V169" s="82" t="str">
        <f>IF(STLClientPriceCompute[[#This Row],[Item Level]]=0,STLClientPriceCompute[[#This Row],[Desc without indent]],"")</f>
        <v>Process and Workflow</v>
      </c>
      <c r="W169" s="82" t="str">
        <f>IF(STLClientPriceCompute[[#This Row],[Item Level]]=1,STLClientPriceCompute[[#This Row],[Desc without indent]],"")</f>
        <v/>
      </c>
      <c r="X169" s="82" t="str">
        <f>IF(STLClientPriceCompute[[#This Row],[Item Level]]=2,STLClientPriceCompute[[#This Row],[Desc without indent]],"")</f>
        <v/>
      </c>
      <c r="Y169" s="82" t="str">
        <f>IF(STLClientPriceCompute[[#This Row],[Item Level]]&gt;=3,_xlfn.CONCAT(REPT(" ",STLClientPriceCompute[[#This Row],[Item Level]]-3), STLClientPriceCompute[[#This Row],[Desc without indent]]),"")</f>
        <v/>
      </c>
      <c r="Z16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0" spans="2:26" x14ac:dyDescent="0.4">
      <c r="B170" s="15">
        <f>FIND(LEFT(TRIM(STLClientPriceCompute[[#This Row],[Description]]),1),STLClientPriceCompute[[#This Row],[Description]])-1</f>
        <v>1</v>
      </c>
      <c r="C170" s="19">
        <v>211</v>
      </c>
      <c r="D170" s="19"/>
      <c r="E170" s="19"/>
      <c r="F170" s="19" t="s">
        <v>350</v>
      </c>
      <c r="G170" s="19"/>
      <c r="H170" s="19" t="s">
        <v>87</v>
      </c>
      <c r="I170" s="20">
        <v>0</v>
      </c>
      <c r="J170" s="19"/>
      <c r="K170" s="19" t="s">
        <v>87</v>
      </c>
      <c r="L170" s="21">
        <v>0</v>
      </c>
      <c r="M170" s="19" t="s">
        <v>85</v>
      </c>
      <c r="N170" s="17">
        <f>_xlfn.IFNA(IF(STLClientPriceCompute[[#This Row],[Base Price (USD)]]="","", STLClientPriceCompute[[#This Row],[Base Price (USD)]]*VLOOKUP(_xlfn.CONCAT(STLClientPriceCompute[[#This Row],[Exchange Rate Group]],STLClientSpecificSettings[Currency]),ClientPriceExRate[[#All],[Ex-Currency]:[Exchange Rate]],2,FALSE)),"")</f>
        <v>0</v>
      </c>
      <c r="O17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0" s="22" cm="1">
        <f t="array" ref="P170">IF(STLClientSpecificSettings[Core Pack Excluded from Std volume discount]="EX",1, IF(STLClientSpecificSettings[Volume Price Adjustment]="HV", STLClientPriceCompute[[#This Row],[Category search for HV Base Discount]], STLClientSpecificSettings[Volume %]/100))</f>
        <v>1.5</v>
      </c>
      <c r="Q170" s="12" cm="1">
        <f t="array" ref="Q170">IF(ISBLANK(STLClientPriceCompute[[#This Row],[Category]]), 1, IF(ISNUMBER(SEARCH(CONCATENATE(STLClientPriceCompute[[#This Row],[Category]],"-",STLClientPriceCompute[[#This Row],[Code]]),STLClientSpecificSettings[VolumeBasedPriceItems])),STLClientSpecificSettings[Volume %]/100,1))</f>
        <v>1</v>
      </c>
      <c r="R170" s="12" cm="1">
        <f t="array" ref="R170">IF(STLClientSpecificSettings[Core Pack Excluded from Std volume discount]="UP",IF(OR(E170="USR",E170="RBU"),STLClientSpecificSettings[Core Uplift %]/100+1,1),1)</f>
        <v>1</v>
      </c>
      <c r="S17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0" s="26" t="str">
        <f>IF(STLClientPriceCompute[[#This Row],[Available]]="Y", "P",IF(STLClientPriceCompute[[#This Row],[Available]]="N","O",""))</f>
        <v/>
      </c>
      <c r="U170" s="85" t="str">
        <f>TRIM(STLClientPriceCompute[[#This Row],[Description]])</f>
        <v>Process and Workflow</v>
      </c>
      <c r="V170" s="82" t="str">
        <f>IF(STLClientPriceCompute[[#This Row],[Item Level]]=0,STLClientPriceCompute[[#This Row],[Desc without indent]],"")</f>
        <v/>
      </c>
      <c r="W170" s="82" t="str">
        <f>IF(STLClientPriceCompute[[#This Row],[Item Level]]=1,STLClientPriceCompute[[#This Row],[Desc without indent]],"")</f>
        <v>Process and Workflow</v>
      </c>
      <c r="X170" s="82" t="str">
        <f>IF(STLClientPriceCompute[[#This Row],[Item Level]]=2,STLClientPriceCompute[[#This Row],[Desc without indent]],"")</f>
        <v/>
      </c>
      <c r="Y170" s="82" t="str">
        <f>IF(STLClientPriceCompute[[#This Row],[Item Level]]&gt;=3,_xlfn.CONCAT(REPT(" ",STLClientPriceCompute[[#This Row],[Item Level]]-3), STLClientPriceCompute[[#This Row],[Desc without indent]]),"")</f>
        <v/>
      </c>
      <c r="Z17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1" spans="2:26" x14ac:dyDescent="0.4">
      <c r="B171" s="15">
        <f>FIND(LEFT(TRIM(STLClientPriceCompute[[#This Row],[Description]]),1),STLClientPriceCompute[[#This Row],[Description]])-1</f>
        <v>2</v>
      </c>
      <c r="C171" s="19">
        <v>212</v>
      </c>
      <c r="D171" s="19"/>
      <c r="E171" s="19"/>
      <c r="F171" s="19" t="s">
        <v>351</v>
      </c>
      <c r="G171" s="19"/>
      <c r="H171" s="19" t="s">
        <v>87</v>
      </c>
      <c r="I171" s="20">
        <v>0</v>
      </c>
      <c r="J171" s="19"/>
      <c r="K171" s="19" t="s">
        <v>87</v>
      </c>
      <c r="L171" s="21">
        <v>0</v>
      </c>
      <c r="M171" s="19" t="s">
        <v>85</v>
      </c>
      <c r="N171" s="17">
        <f>_xlfn.IFNA(IF(STLClientPriceCompute[[#This Row],[Base Price (USD)]]="","", STLClientPriceCompute[[#This Row],[Base Price (USD)]]*VLOOKUP(_xlfn.CONCAT(STLClientPriceCompute[[#This Row],[Exchange Rate Group]],STLClientSpecificSettings[Currency]),ClientPriceExRate[[#All],[Ex-Currency]:[Exchange Rate]],2,FALSE)),"")</f>
        <v>0</v>
      </c>
      <c r="O17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1" s="22" cm="1">
        <f t="array" ref="P171">IF(STLClientSpecificSettings[Core Pack Excluded from Std volume discount]="EX",1, IF(STLClientSpecificSettings[Volume Price Adjustment]="HV", STLClientPriceCompute[[#This Row],[Category search for HV Base Discount]], STLClientSpecificSettings[Volume %]/100))</f>
        <v>1.5</v>
      </c>
      <c r="Q171" s="12" cm="1">
        <f t="array" ref="Q171">IF(ISBLANK(STLClientPriceCompute[[#This Row],[Category]]), 1, IF(ISNUMBER(SEARCH(CONCATENATE(STLClientPriceCompute[[#This Row],[Category]],"-",STLClientPriceCompute[[#This Row],[Code]]),STLClientSpecificSettings[VolumeBasedPriceItems])),STLClientSpecificSettings[Volume %]/100,1))</f>
        <v>1</v>
      </c>
      <c r="R171" s="12" cm="1">
        <f t="array" ref="R171">IF(STLClientSpecificSettings[Core Pack Excluded from Std volume discount]="UP",IF(OR(E171="USR",E171="RBU"),STLClientSpecificSettings[Core Uplift %]/100+1,1),1)</f>
        <v>1</v>
      </c>
      <c r="S17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1" s="26" t="str">
        <f>IF(STLClientPriceCompute[[#This Row],[Available]]="Y", "P",IF(STLClientPriceCompute[[#This Row],[Available]]="N","O",""))</f>
        <v/>
      </c>
      <c r="U171" s="85" t="str">
        <f>TRIM(STLClientPriceCompute[[#This Row],[Description]])</f>
        <v>Process Management</v>
      </c>
      <c r="V171" s="82" t="str">
        <f>IF(STLClientPriceCompute[[#This Row],[Item Level]]=0,STLClientPriceCompute[[#This Row],[Desc without indent]],"")</f>
        <v/>
      </c>
      <c r="W171" s="82" t="str">
        <f>IF(STLClientPriceCompute[[#This Row],[Item Level]]=1,STLClientPriceCompute[[#This Row],[Desc without indent]],"")</f>
        <v/>
      </c>
      <c r="X171" s="82" t="str">
        <f>IF(STLClientPriceCompute[[#This Row],[Item Level]]=2,STLClientPriceCompute[[#This Row],[Desc without indent]],"")</f>
        <v>Process Management</v>
      </c>
      <c r="Y171" s="82" t="str">
        <f>IF(STLClientPriceCompute[[#This Row],[Item Level]]&gt;=3,_xlfn.CONCAT(REPT(" ",STLClientPriceCompute[[#This Row],[Item Level]]-3), STLClientPriceCompute[[#This Row],[Desc without indent]]),"")</f>
        <v/>
      </c>
      <c r="Z17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2" spans="2:26" x14ac:dyDescent="0.4">
      <c r="B172" s="15">
        <f>FIND(LEFT(TRIM(STLClientPriceCompute[[#This Row],[Description]]),1),STLClientPriceCompute[[#This Row],[Description]])-1</f>
        <v>3</v>
      </c>
      <c r="C172" s="19">
        <v>213</v>
      </c>
      <c r="D172" s="19" t="s">
        <v>87</v>
      </c>
      <c r="E172" s="19" t="s">
        <v>352</v>
      </c>
      <c r="F172" s="19" t="s">
        <v>353</v>
      </c>
      <c r="G172" s="19"/>
      <c r="H172" s="19" t="s">
        <v>87</v>
      </c>
      <c r="I172" s="20">
        <v>1.7210449999999999</v>
      </c>
      <c r="J172" s="19" t="s">
        <v>354</v>
      </c>
      <c r="K172" s="19" t="s">
        <v>87</v>
      </c>
      <c r="L172" s="21">
        <v>17.210450000000002</v>
      </c>
      <c r="M172" s="19" t="s">
        <v>85</v>
      </c>
      <c r="N172" s="17">
        <f>_xlfn.IFNA(IF(STLClientPriceCompute[[#This Row],[Base Price (USD)]]="","", STLClientPriceCompute[[#This Row],[Base Price (USD)]]*VLOOKUP(_xlfn.CONCAT(STLClientPriceCompute[[#This Row],[Exchange Rate Group]],STLClientSpecificSettings[Currency]),ClientPriceExRate[[#All],[Ex-Currency]:[Exchange Rate]],2,FALSE)),"")</f>
        <v>2.4037147097</v>
      </c>
      <c r="O17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172" s="22" cm="1">
        <f t="array" ref="P172">IF(STLClientSpecificSettings[Core Pack Excluded from Std volume discount]="EX",1, IF(STLClientSpecificSettings[Volume Price Adjustment]="HV", STLClientPriceCompute[[#This Row],[Category search for HV Base Discount]], STLClientSpecificSettings[Volume %]/100))</f>
        <v>1.5</v>
      </c>
      <c r="Q172" s="12" cm="1">
        <f t="array" ref="Q172">IF(ISBLANK(STLClientPriceCompute[[#This Row],[Category]]), 1, IF(ISNUMBER(SEARCH(CONCATENATE(STLClientPriceCompute[[#This Row],[Category]],"-",STLClientPriceCompute[[#This Row],[Code]]),STLClientSpecificSettings[VolumeBasedPriceItems])),STLClientSpecificSettings[Volume %]/100,1))</f>
        <v>1</v>
      </c>
      <c r="R172" s="12" cm="1">
        <f t="array" ref="R172">IF(STLClientSpecificSettings[Core Pack Excluded from Std volume discount]="UP",IF(OR(E172="USR",E172="RBU"),STLClientSpecificSettings[Core Uplift %]/100+1,1),1)</f>
        <v>1</v>
      </c>
      <c r="S17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172" s="26" t="str">
        <f>IF(STLClientPriceCompute[[#This Row],[Available]]="Y", "P",IF(STLClientPriceCompute[[#This Row],[Available]]="N","O",""))</f>
        <v/>
      </c>
      <c r="U172" s="85" t="str">
        <f>TRIM(STLClientPriceCompute[[#This Row],[Description]])</f>
        <v>Project System</v>
      </c>
      <c r="V172" s="82" t="str">
        <f>IF(STLClientPriceCompute[[#This Row],[Item Level]]=0,STLClientPriceCompute[[#This Row],[Desc without indent]],"")</f>
        <v/>
      </c>
      <c r="W172" s="82" t="str">
        <f>IF(STLClientPriceCompute[[#This Row],[Item Level]]=1,STLClientPriceCompute[[#This Row],[Desc without indent]],"")</f>
        <v/>
      </c>
      <c r="X172" s="82" t="str">
        <f>IF(STLClientPriceCompute[[#This Row],[Item Level]]=2,STLClientPriceCompute[[#This Row],[Desc without indent]],"")</f>
        <v/>
      </c>
      <c r="Y172" s="82" t="str">
        <f>IF(STLClientPriceCompute[[#This Row],[Item Level]]&gt;=3,_xlfn.CONCAT(REPT(" ",STLClientPriceCompute[[#This Row],[Item Level]]-3), STLClientPriceCompute[[#This Row],[Desc without indent]]),"")</f>
        <v>Project System</v>
      </c>
      <c r="Z17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Project Item</v>
      </c>
    </row>
    <row r="173" spans="2:26" x14ac:dyDescent="0.4">
      <c r="B173" s="15">
        <f>FIND(LEFT(TRIM(STLClientPriceCompute[[#This Row],[Description]]),1),STLClientPriceCompute[[#This Row],[Description]])-1</f>
        <v>3</v>
      </c>
      <c r="C173" s="19">
        <v>214</v>
      </c>
      <c r="D173" s="19" t="s">
        <v>87</v>
      </c>
      <c r="E173" s="19" t="s">
        <v>355</v>
      </c>
      <c r="F173" s="19" t="s">
        <v>356</v>
      </c>
      <c r="G173" s="19"/>
      <c r="H173" s="19" t="s">
        <v>87</v>
      </c>
      <c r="I173" s="20">
        <v>1.7210449999999999</v>
      </c>
      <c r="J173" s="19" t="s">
        <v>357</v>
      </c>
      <c r="K173" s="19" t="s">
        <v>87</v>
      </c>
      <c r="L173" s="21">
        <v>17.210450000000002</v>
      </c>
      <c r="M173" s="19" t="s">
        <v>85</v>
      </c>
      <c r="N173" s="17">
        <f>_xlfn.IFNA(IF(STLClientPriceCompute[[#This Row],[Base Price (USD)]]="","", STLClientPriceCompute[[#This Row],[Base Price (USD)]]*VLOOKUP(_xlfn.CONCAT(STLClientPriceCompute[[#This Row],[Exchange Rate Group]],STLClientSpecificSettings[Currency]),ClientPriceExRate[[#All],[Ex-Currency]:[Exchange Rate]],2,FALSE)),"")</f>
        <v>2.4037147097</v>
      </c>
      <c r="O17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173" s="22" cm="1">
        <f t="array" ref="P173">IF(STLClientSpecificSettings[Core Pack Excluded from Std volume discount]="EX",1, IF(STLClientSpecificSettings[Volume Price Adjustment]="HV", STLClientPriceCompute[[#This Row],[Category search for HV Base Discount]], STLClientSpecificSettings[Volume %]/100))</f>
        <v>1.5</v>
      </c>
      <c r="Q173" s="12" cm="1">
        <f t="array" ref="Q173">IF(ISBLANK(STLClientPriceCompute[[#This Row],[Category]]), 1, IF(ISNUMBER(SEARCH(CONCATENATE(STLClientPriceCompute[[#This Row],[Category]],"-",STLClientPriceCompute[[#This Row],[Code]]),STLClientSpecificSettings[VolumeBasedPriceItems])),STLClientSpecificSettings[Volume %]/100,1))</f>
        <v>1</v>
      </c>
      <c r="R173" s="12" cm="1">
        <f t="array" ref="R173">IF(STLClientSpecificSettings[Core Pack Excluded from Std volume discount]="UP",IF(OR(E173="USR",E173="RBU"),STLClientSpecificSettings[Core Uplift %]/100+1,1),1)</f>
        <v>1</v>
      </c>
      <c r="S17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173" s="26" t="str">
        <f>IF(STLClientPriceCompute[[#This Row],[Available]]="Y", "P",IF(STLClientPriceCompute[[#This Row],[Available]]="N","O",""))</f>
        <v/>
      </c>
      <c r="U173" s="85" t="str">
        <f>TRIM(STLClientPriceCompute[[#This Row],[Description]])</f>
        <v>WorkItem System</v>
      </c>
      <c r="V173" s="82" t="str">
        <f>IF(STLClientPriceCompute[[#This Row],[Item Level]]=0,STLClientPriceCompute[[#This Row],[Desc without indent]],"")</f>
        <v/>
      </c>
      <c r="W173" s="82" t="str">
        <f>IF(STLClientPriceCompute[[#This Row],[Item Level]]=1,STLClientPriceCompute[[#This Row],[Desc without indent]],"")</f>
        <v/>
      </c>
      <c r="X173" s="82" t="str">
        <f>IF(STLClientPriceCompute[[#This Row],[Item Level]]=2,STLClientPriceCompute[[#This Row],[Desc without indent]],"")</f>
        <v/>
      </c>
      <c r="Y173" s="82" t="str">
        <f>IF(STLClientPriceCompute[[#This Row],[Item Level]]&gt;=3,_xlfn.CONCAT(REPT(" ",STLClientPriceCompute[[#This Row],[Item Level]]-3), STLClientPriceCompute[[#This Row],[Desc without indent]]),"")</f>
        <v>WorkItem System</v>
      </c>
      <c r="Z17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Work Item</v>
      </c>
    </row>
    <row r="174" spans="2:26" x14ac:dyDescent="0.4">
      <c r="B174" s="15">
        <f>FIND(LEFT(TRIM(STLClientPriceCompute[[#This Row],[Description]]),1),STLClientPriceCompute[[#This Row],[Description]])-1</f>
        <v>3</v>
      </c>
      <c r="C174" s="19">
        <v>215</v>
      </c>
      <c r="D174" s="19" t="s">
        <v>87</v>
      </c>
      <c r="E174" s="19" t="s">
        <v>358</v>
      </c>
      <c r="F174" s="19" t="s">
        <v>359</v>
      </c>
      <c r="G174" s="19"/>
      <c r="H174" s="19" t="s">
        <v>87</v>
      </c>
      <c r="I174" s="20">
        <v>1.7210449999999999</v>
      </c>
      <c r="J174" s="19" t="s">
        <v>360</v>
      </c>
      <c r="K174" s="19" t="s">
        <v>87</v>
      </c>
      <c r="L174" s="21">
        <v>17.210450000000002</v>
      </c>
      <c r="M174" s="19" t="s">
        <v>85</v>
      </c>
      <c r="N174" s="17">
        <f>_xlfn.IFNA(IF(STLClientPriceCompute[[#This Row],[Base Price (USD)]]="","", STLClientPriceCompute[[#This Row],[Base Price (USD)]]*VLOOKUP(_xlfn.CONCAT(STLClientPriceCompute[[#This Row],[Exchange Rate Group]],STLClientSpecificSettings[Currency]),ClientPriceExRate[[#All],[Ex-Currency]:[Exchange Rate]],2,FALSE)),"")</f>
        <v>2.4037147097</v>
      </c>
      <c r="O174"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3.60557206455</v>
      </c>
      <c r="P174" s="22" cm="1">
        <f t="array" ref="P174">IF(STLClientSpecificSettings[Core Pack Excluded from Std volume discount]="EX",1, IF(STLClientSpecificSettings[Volume Price Adjustment]="HV", STLClientPriceCompute[[#This Row],[Category search for HV Base Discount]], STLClientSpecificSettings[Volume %]/100))</f>
        <v>1.5</v>
      </c>
      <c r="Q174" s="12" cm="1">
        <f t="array" ref="Q174">IF(ISBLANK(STLClientPriceCompute[[#This Row],[Category]]), 1, IF(ISNUMBER(SEARCH(CONCATENATE(STLClientPriceCompute[[#This Row],[Category]],"-",STLClientPriceCompute[[#This Row],[Code]]),STLClientSpecificSettings[VolumeBasedPriceItems])),STLClientSpecificSettings[Volume %]/100,1))</f>
        <v>1</v>
      </c>
      <c r="R174" s="12" cm="1">
        <f t="array" ref="R174">IF(STLClientSpecificSettings[Core Pack Excluded from Std volume discount]="UP",IF(OR(E174="USR",E174="RBU"),STLClientSpecificSettings[Core Uplift %]/100+1,1),1)</f>
        <v>1</v>
      </c>
      <c r="S174"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25.815675000000002</v>
      </c>
      <c r="T174" s="26" t="str">
        <f>IF(STLClientPriceCompute[[#This Row],[Available]]="Y", "P",IF(STLClientPriceCompute[[#This Row],[Available]]="N","O",""))</f>
        <v/>
      </c>
      <c r="U174" s="85" t="str">
        <f>TRIM(STLClientPriceCompute[[#This Row],[Description]])</f>
        <v>Incident System</v>
      </c>
      <c r="V174" s="82" t="str">
        <f>IF(STLClientPriceCompute[[#This Row],[Item Level]]=0,STLClientPriceCompute[[#This Row],[Desc without indent]],"")</f>
        <v/>
      </c>
      <c r="W174" s="82" t="str">
        <f>IF(STLClientPriceCompute[[#This Row],[Item Level]]=1,STLClientPriceCompute[[#This Row],[Desc without indent]],"")</f>
        <v/>
      </c>
      <c r="X174" s="82" t="str">
        <f>IF(STLClientPriceCompute[[#This Row],[Item Level]]=2,STLClientPriceCompute[[#This Row],[Desc without indent]],"")</f>
        <v/>
      </c>
      <c r="Y174" s="82" t="str">
        <f>IF(STLClientPriceCompute[[#This Row],[Item Level]]&gt;=3,_xlfn.CONCAT(REPT(" ",STLClientPriceCompute[[#This Row],[Item Level]]-3), STLClientPriceCompute[[#This Row],[Desc without indent]]),"")</f>
        <v>Incident System</v>
      </c>
      <c r="Z174"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Incident</v>
      </c>
    </row>
    <row r="175" spans="2:26" x14ac:dyDescent="0.4">
      <c r="B175" s="15">
        <f>FIND(LEFT(TRIM(STLClientPriceCompute[[#This Row],[Description]]),1),STLClientPriceCompute[[#This Row],[Description]])-1</f>
        <v>0</v>
      </c>
      <c r="C175" s="19">
        <v>251</v>
      </c>
      <c r="D175" s="19"/>
      <c r="E175" s="19"/>
      <c r="F175" s="19" t="s">
        <v>361</v>
      </c>
      <c r="G175" s="19"/>
      <c r="H175" s="19" t="s">
        <v>87</v>
      </c>
      <c r="I175" s="20">
        <v>0</v>
      </c>
      <c r="J175" s="19"/>
      <c r="K175" s="19" t="s">
        <v>87</v>
      </c>
      <c r="L175" s="21">
        <v>0</v>
      </c>
      <c r="M175" s="19" t="s">
        <v>85</v>
      </c>
      <c r="N175" s="17">
        <f>_xlfn.IFNA(IF(STLClientPriceCompute[[#This Row],[Base Price (USD)]]="","", STLClientPriceCompute[[#This Row],[Base Price (USD)]]*VLOOKUP(_xlfn.CONCAT(STLClientPriceCompute[[#This Row],[Exchange Rate Group]],STLClientSpecificSettings[Currency]),ClientPriceExRate[[#All],[Ex-Currency]:[Exchange Rate]],2,FALSE)),"")</f>
        <v>0</v>
      </c>
      <c r="O175"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5" s="22" cm="1">
        <f t="array" ref="P175">IF(STLClientSpecificSettings[Core Pack Excluded from Std volume discount]="EX",1, IF(STLClientSpecificSettings[Volume Price Adjustment]="HV", STLClientPriceCompute[[#This Row],[Category search for HV Base Discount]], STLClientSpecificSettings[Volume %]/100))</f>
        <v>1.5</v>
      </c>
      <c r="Q175" s="12" cm="1">
        <f t="array" ref="Q175">IF(ISBLANK(STLClientPriceCompute[[#This Row],[Category]]), 1, IF(ISNUMBER(SEARCH(CONCATENATE(STLClientPriceCompute[[#This Row],[Category]],"-",STLClientPriceCompute[[#This Row],[Code]]),STLClientSpecificSettings[VolumeBasedPriceItems])),STLClientSpecificSettings[Volume %]/100,1))</f>
        <v>1</v>
      </c>
      <c r="R175" s="12" cm="1">
        <f t="array" ref="R175">IF(STLClientSpecificSettings[Core Pack Excluded from Std volume discount]="UP",IF(OR(E175="USR",E175="RBU"),STLClientSpecificSettings[Core Uplift %]/100+1,1),1)</f>
        <v>1</v>
      </c>
      <c r="S175"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5" s="26" t="str">
        <f>IF(STLClientPriceCompute[[#This Row],[Available]]="Y", "P",IF(STLClientPriceCompute[[#This Row],[Available]]="N","O",""))</f>
        <v/>
      </c>
      <c r="U175" s="85" t="str">
        <f>TRIM(STLClientPriceCompute[[#This Row],[Description]])</f>
        <v>Fax Gateway</v>
      </c>
      <c r="V175" s="82" t="str">
        <f>IF(STLClientPriceCompute[[#This Row],[Item Level]]=0,STLClientPriceCompute[[#This Row],[Desc without indent]],"")</f>
        <v>Fax Gateway</v>
      </c>
      <c r="W175" s="82" t="str">
        <f>IF(STLClientPriceCompute[[#This Row],[Item Level]]=1,STLClientPriceCompute[[#This Row],[Desc without indent]],"")</f>
        <v/>
      </c>
      <c r="X175" s="82" t="str">
        <f>IF(STLClientPriceCompute[[#This Row],[Item Level]]=2,STLClientPriceCompute[[#This Row],[Desc without indent]],"")</f>
        <v/>
      </c>
      <c r="Y175" s="82" t="str">
        <f>IF(STLClientPriceCompute[[#This Row],[Item Level]]&gt;=3,_xlfn.CONCAT(REPT(" ",STLClientPriceCompute[[#This Row],[Item Level]]-3), STLClientPriceCompute[[#This Row],[Desc without indent]]),"")</f>
        <v/>
      </c>
      <c r="Z175"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6" spans="2:26" x14ac:dyDescent="0.4">
      <c r="B176" s="15">
        <f>FIND(LEFT(TRIM(STLClientPriceCompute[[#This Row],[Description]]),1),STLClientPriceCompute[[#This Row],[Description]])-1</f>
        <v>1</v>
      </c>
      <c r="C176" s="19">
        <v>252</v>
      </c>
      <c r="D176" s="19"/>
      <c r="E176" s="19"/>
      <c r="F176" s="19" t="s">
        <v>362</v>
      </c>
      <c r="G176" s="19"/>
      <c r="H176" s="19" t="s">
        <v>87</v>
      </c>
      <c r="I176" s="20">
        <v>0</v>
      </c>
      <c r="J176" s="19"/>
      <c r="K176" s="19" t="s">
        <v>87</v>
      </c>
      <c r="L176" s="21">
        <v>0</v>
      </c>
      <c r="M176" s="19" t="s">
        <v>85</v>
      </c>
      <c r="N176" s="17">
        <f>_xlfn.IFNA(IF(STLClientPriceCompute[[#This Row],[Base Price (USD)]]="","", STLClientPriceCompute[[#This Row],[Base Price (USD)]]*VLOOKUP(_xlfn.CONCAT(STLClientPriceCompute[[#This Row],[Exchange Rate Group]],STLClientSpecificSettings[Currency]),ClientPriceExRate[[#All],[Ex-Currency]:[Exchange Rate]],2,FALSE)),"")</f>
        <v>0</v>
      </c>
      <c r="O176"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6" s="22" cm="1">
        <f t="array" ref="P176">IF(STLClientSpecificSettings[Core Pack Excluded from Std volume discount]="EX",1, IF(STLClientSpecificSettings[Volume Price Adjustment]="HV", STLClientPriceCompute[[#This Row],[Category search for HV Base Discount]], STLClientSpecificSettings[Volume %]/100))</f>
        <v>1.5</v>
      </c>
      <c r="Q176" s="12" cm="1">
        <f t="array" ref="Q176">IF(ISBLANK(STLClientPriceCompute[[#This Row],[Category]]), 1, IF(ISNUMBER(SEARCH(CONCATENATE(STLClientPriceCompute[[#This Row],[Category]],"-",STLClientPriceCompute[[#This Row],[Code]]),STLClientSpecificSettings[VolumeBasedPriceItems])),STLClientSpecificSettings[Volume %]/100,1))</f>
        <v>1</v>
      </c>
      <c r="R176" s="12" cm="1">
        <f t="array" ref="R176">IF(STLClientSpecificSettings[Core Pack Excluded from Std volume discount]="UP",IF(OR(E176="USR",E176="RBU"),STLClientSpecificSettings[Core Uplift %]/100+1,1),1)</f>
        <v>1</v>
      </c>
      <c r="S176"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6" s="26" t="str">
        <f>IF(STLClientPriceCompute[[#This Row],[Available]]="Y", "P",IF(STLClientPriceCompute[[#This Row],[Available]]="N","O",""))</f>
        <v/>
      </c>
      <c r="U176" s="85" t="str">
        <f>TRIM(STLClientPriceCompute[[#This Row],[Description]])</f>
        <v>Faxing</v>
      </c>
      <c r="V176" s="82" t="str">
        <f>IF(STLClientPriceCompute[[#This Row],[Item Level]]=0,STLClientPriceCompute[[#This Row],[Desc without indent]],"")</f>
        <v/>
      </c>
      <c r="W176" s="82" t="str">
        <f>IF(STLClientPriceCompute[[#This Row],[Item Level]]=1,STLClientPriceCompute[[#This Row],[Desc without indent]],"")</f>
        <v>Faxing</v>
      </c>
      <c r="X176" s="82" t="str">
        <f>IF(STLClientPriceCompute[[#This Row],[Item Level]]=2,STLClientPriceCompute[[#This Row],[Desc without indent]],"")</f>
        <v/>
      </c>
      <c r="Y176" s="82" t="str">
        <f>IF(STLClientPriceCompute[[#This Row],[Item Level]]&gt;=3,_xlfn.CONCAT(REPT(" ",STLClientPriceCompute[[#This Row],[Item Level]]-3), STLClientPriceCompute[[#This Row],[Desc without indent]]),"")</f>
        <v/>
      </c>
      <c r="Z176"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7" spans="2:26" x14ac:dyDescent="0.4">
      <c r="B177" s="15">
        <f>FIND(LEFT(TRIM(STLClientPriceCompute[[#This Row],[Description]]),1),STLClientPriceCompute[[#This Row],[Description]])-1</f>
        <v>3</v>
      </c>
      <c r="C177" s="19">
        <v>253</v>
      </c>
      <c r="D177" s="19" t="s">
        <v>363</v>
      </c>
      <c r="E177" s="19" t="s">
        <v>363</v>
      </c>
      <c r="F177" s="19" t="s">
        <v>364</v>
      </c>
      <c r="G177" s="19"/>
      <c r="H177" s="19" t="s">
        <v>87</v>
      </c>
      <c r="I177" s="20">
        <v>0.3</v>
      </c>
      <c r="J177" s="19" t="s">
        <v>365</v>
      </c>
      <c r="K177" s="19" t="s">
        <v>87</v>
      </c>
      <c r="L177" s="21">
        <v>0</v>
      </c>
      <c r="M177" s="19" t="s">
        <v>85</v>
      </c>
      <c r="N177" s="17">
        <f>_xlfn.IFNA(IF(STLClientPriceCompute[[#This Row],[Base Price (USD)]]="","", STLClientPriceCompute[[#This Row],[Base Price (USD)]]*VLOOKUP(_xlfn.CONCAT(STLClientPriceCompute[[#This Row],[Exchange Rate Group]],STLClientSpecificSettings[Currency]),ClientPriceExRate[[#All],[Ex-Currency]:[Exchange Rate]],2,FALSE)),"")</f>
        <v>0.41899799999999998</v>
      </c>
      <c r="O177"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0.62849699999999997</v>
      </c>
      <c r="P177" s="22" cm="1">
        <f t="array" ref="P177">IF(STLClientSpecificSettings[Core Pack Excluded from Std volume discount]="EX",1, IF(STLClientSpecificSettings[Volume Price Adjustment]="HV", STLClientPriceCompute[[#This Row],[Category search for HV Base Discount]], STLClientSpecificSettings[Volume %]/100))</f>
        <v>1.5</v>
      </c>
      <c r="Q177" s="12" cm="1">
        <f t="array" ref="Q177">IF(ISBLANK(STLClientPriceCompute[[#This Row],[Category]]), 1, IF(ISNUMBER(SEARCH(CONCATENATE(STLClientPriceCompute[[#This Row],[Category]],"-",STLClientPriceCompute[[#This Row],[Code]]),STLClientSpecificSettings[VolumeBasedPriceItems])),STLClientSpecificSettings[Volume %]/100,1))</f>
        <v>1</v>
      </c>
      <c r="R177" s="12" cm="1">
        <f t="array" ref="R177">IF(STLClientSpecificSettings[Core Pack Excluded from Std volume discount]="UP",IF(OR(E177="USR",E177="RBU"),STLClientSpecificSettings[Core Uplift %]/100+1,1),1)</f>
        <v>1</v>
      </c>
      <c r="S177"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7" s="26" t="str">
        <f>IF(STLClientPriceCompute[[#This Row],[Available]]="Y", "P",IF(STLClientPriceCompute[[#This Row],[Available]]="N","O",""))</f>
        <v/>
      </c>
      <c r="U177" s="85" t="str">
        <f>TRIM(STLClientPriceCompute[[#This Row],[Description]])</f>
        <v>Fax Service (Support for Fax Engine is now dropped)</v>
      </c>
      <c r="V177" s="82" t="str">
        <f>IF(STLClientPriceCompute[[#This Row],[Item Level]]=0,STLClientPriceCompute[[#This Row],[Desc without indent]],"")</f>
        <v/>
      </c>
      <c r="W177" s="82" t="str">
        <f>IF(STLClientPriceCompute[[#This Row],[Item Level]]=1,STLClientPriceCompute[[#This Row],[Desc without indent]],"")</f>
        <v/>
      </c>
      <c r="X177" s="82" t="str">
        <f>IF(STLClientPriceCompute[[#This Row],[Item Level]]=2,STLClientPriceCompute[[#This Row],[Desc without indent]],"")</f>
        <v/>
      </c>
      <c r="Y177" s="82" t="str">
        <f>IF(STLClientPriceCompute[[#This Row],[Item Level]]&gt;=3,_xlfn.CONCAT(REPT(" ",STLClientPriceCompute[[#This Row],[Item Level]]-3), STLClientPriceCompute[[#This Row],[Desc without indent]]),"")</f>
        <v>Fax Service (Support for Fax Engine is now dropped)</v>
      </c>
      <c r="Z177"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Fax Page</v>
      </c>
    </row>
    <row r="178" spans="2:26" x14ac:dyDescent="0.4">
      <c r="B178" s="15">
        <f>FIND(LEFT(TRIM(STLClientPriceCompute[[#This Row],[Description]]),1),STLClientPriceCompute[[#This Row],[Description]])-1</f>
        <v>0</v>
      </c>
      <c r="C178" s="19">
        <v>254</v>
      </c>
      <c r="D178" s="19"/>
      <c r="E178" s="19"/>
      <c r="F178" s="19" t="s">
        <v>366</v>
      </c>
      <c r="G178" s="19"/>
      <c r="H178" s="19" t="s">
        <v>87</v>
      </c>
      <c r="I178" s="20">
        <v>0</v>
      </c>
      <c r="J178" s="19"/>
      <c r="K178" s="19" t="s">
        <v>87</v>
      </c>
      <c r="L178" s="21">
        <v>0</v>
      </c>
      <c r="M178" s="19" t="s">
        <v>85</v>
      </c>
      <c r="N178" s="17">
        <f>_xlfn.IFNA(IF(STLClientPriceCompute[[#This Row],[Base Price (USD)]]="","", STLClientPriceCompute[[#This Row],[Base Price (USD)]]*VLOOKUP(_xlfn.CONCAT(STLClientPriceCompute[[#This Row],[Exchange Rate Group]],STLClientSpecificSettings[Currency]),ClientPriceExRate[[#All],[Ex-Currency]:[Exchange Rate]],2,FALSE)),"")</f>
        <v>0</v>
      </c>
      <c r="O178"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78" s="22" cm="1">
        <f t="array" ref="P178">IF(STLClientSpecificSettings[Core Pack Excluded from Std volume discount]="EX",1, IF(STLClientSpecificSettings[Volume Price Adjustment]="HV", STLClientPriceCompute[[#This Row],[Category search for HV Base Discount]], STLClientSpecificSettings[Volume %]/100))</f>
        <v>1.5</v>
      </c>
      <c r="Q178" s="12" cm="1">
        <f t="array" ref="Q178">IF(ISBLANK(STLClientPriceCompute[[#This Row],[Category]]), 1, IF(ISNUMBER(SEARCH(CONCATENATE(STLClientPriceCompute[[#This Row],[Category]],"-",STLClientPriceCompute[[#This Row],[Code]]),STLClientSpecificSettings[VolumeBasedPriceItems])),STLClientSpecificSettings[Volume %]/100,1))</f>
        <v>1</v>
      </c>
      <c r="R178" s="12" cm="1">
        <f t="array" ref="R178">IF(STLClientSpecificSettings[Core Pack Excluded from Std volume discount]="UP",IF(OR(E178="USR",E178="RBU"),STLClientSpecificSettings[Core Uplift %]/100+1,1),1)</f>
        <v>1</v>
      </c>
      <c r="S178"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8" s="26" t="str">
        <f>IF(STLClientPriceCompute[[#This Row],[Available]]="Y", "P",IF(STLClientPriceCompute[[#This Row],[Available]]="N","O",""))</f>
        <v/>
      </c>
      <c r="U178" s="85" t="str">
        <f>TRIM(STLClientPriceCompute[[#This Row],[Description]])</f>
        <v>System Licence</v>
      </c>
      <c r="V178" s="82" t="str">
        <f>IF(STLClientPriceCompute[[#This Row],[Item Level]]=0,STLClientPriceCompute[[#This Row],[Desc without indent]],"")</f>
        <v>System Licence</v>
      </c>
      <c r="W178" s="82" t="str">
        <f>IF(STLClientPriceCompute[[#This Row],[Item Level]]=1,STLClientPriceCompute[[#This Row],[Desc without indent]],"")</f>
        <v/>
      </c>
      <c r="X178" s="82" t="str">
        <f>IF(STLClientPriceCompute[[#This Row],[Item Level]]=2,STLClientPriceCompute[[#This Row],[Desc without indent]],"")</f>
        <v/>
      </c>
      <c r="Y178" s="82" t="str">
        <f>IF(STLClientPriceCompute[[#This Row],[Item Level]]&gt;=3,_xlfn.CONCAT(REPT(" ",STLClientPriceCompute[[#This Row],[Item Level]]-3), STLClientPriceCompute[[#This Row],[Desc without indent]]),"")</f>
        <v/>
      </c>
      <c r="Z178"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79" spans="2:26" x14ac:dyDescent="0.4">
      <c r="B179" s="15">
        <f>FIND(LEFT(TRIM(STLClientPriceCompute[[#This Row],[Description]]),1),STLClientPriceCompute[[#This Row],[Description]])-1</f>
        <v>3</v>
      </c>
      <c r="C179" s="19">
        <v>255</v>
      </c>
      <c r="D179" s="19" t="s">
        <v>82</v>
      </c>
      <c r="E179" s="19" t="s">
        <v>367</v>
      </c>
      <c r="F179" s="19" t="s">
        <v>368</v>
      </c>
      <c r="G179" s="19"/>
      <c r="H179" s="19" t="s">
        <v>87</v>
      </c>
      <c r="I179" s="20">
        <v>175.04849999999999</v>
      </c>
      <c r="J179" s="19" t="s">
        <v>369</v>
      </c>
      <c r="K179" s="19" t="s">
        <v>87</v>
      </c>
      <c r="L179" s="21">
        <v>0</v>
      </c>
      <c r="M179" s="19" t="s">
        <v>274</v>
      </c>
      <c r="N179" s="17">
        <f>_xlfn.IFNA(IF(STLClientPriceCompute[[#This Row],[Base Price (USD)]]="","", STLClientPriceCompute[[#This Row],[Base Price (USD)]]*VLOOKUP(_xlfn.CONCAT(STLClientPriceCompute[[#This Row],[Exchange Rate Group]],STLClientSpecificSettings[Currency]),ClientPriceExRate[[#All],[Ex-Currency]:[Exchange Rate]],2,FALSE)),"")</f>
        <v>244.48323800999998</v>
      </c>
      <c r="O179"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244.48323800999998</v>
      </c>
      <c r="P179" s="22" cm="1">
        <f t="array" ref="P179">IF(STLClientSpecificSettings[Core Pack Excluded from Std volume discount]="EX",1, IF(STLClientSpecificSettings[Volume Price Adjustment]="HV", STLClientPriceCompute[[#This Row],[Category search for HV Base Discount]], STLClientSpecificSettings[Volume %]/100))</f>
        <v>1.5</v>
      </c>
      <c r="Q179" s="12" cm="1">
        <f t="array" ref="Q179">IF(ISBLANK(STLClientPriceCompute[[#This Row],[Category]]), 1, IF(ISNUMBER(SEARCH(CONCATENATE(STLClientPriceCompute[[#This Row],[Category]],"-",STLClientPriceCompute[[#This Row],[Code]]),STLClientSpecificSettings[VolumeBasedPriceItems])),STLClientSpecificSettings[Volume %]/100,1))</f>
        <v>1</v>
      </c>
      <c r="R179" s="12" cm="1">
        <f t="array" ref="R179">IF(STLClientSpecificSettings[Core Pack Excluded from Std volume discount]="UP",IF(OR(E179="USR",E179="RBU"),STLClientSpecificSettings[Core Uplift %]/100+1,1),1)</f>
        <v>1</v>
      </c>
      <c r="S179"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79" s="26" t="str">
        <f>IF(STLClientPriceCompute[[#This Row],[Available]]="Y", "P",IF(STLClientPriceCompute[[#This Row],[Available]]="N","O",""))</f>
        <v/>
      </c>
      <c r="U179" s="85" t="str">
        <f>TRIM(STLClientPriceCompute[[#This Row],[Description]])</f>
        <v>System Minimum Fee</v>
      </c>
      <c r="V179" s="82" t="str">
        <f>IF(STLClientPriceCompute[[#This Row],[Item Level]]=0,STLClientPriceCompute[[#This Row],[Desc without indent]],"")</f>
        <v/>
      </c>
      <c r="W179" s="82" t="str">
        <f>IF(STLClientPriceCompute[[#This Row],[Item Level]]=1,STLClientPriceCompute[[#This Row],[Desc without indent]],"")</f>
        <v/>
      </c>
      <c r="X179" s="82" t="str">
        <f>IF(STLClientPriceCompute[[#This Row],[Item Level]]=2,STLClientPriceCompute[[#This Row],[Desc without indent]],"")</f>
        <v/>
      </c>
      <c r="Y179" s="82" t="str">
        <f>IF(STLClientPriceCompute[[#This Row],[Item Level]]&gt;=3,_xlfn.CONCAT(REPT(" ",STLClientPriceCompute[[#This Row],[Item Level]]-3), STLClientPriceCompute[[#This Row],[Desc without indent]]),"")</f>
        <v>System Minimum Fee</v>
      </c>
      <c r="Z179"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Database</v>
      </c>
    </row>
    <row r="180" spans="2:26" x14ac:dyDescent="0.4">
      <c r="B180" s="15">
        <f>FIND(LEFT(TRIM(STLClientPriceCompute[[#This Row],[Description]]),1),STLClientPriceCompute[[#This Row],[Description]])-1</f>
        <v>3</v>
      </c>
      <c r="C180" s="19">
        <v>256</v>
      </c>
      <c r="D180" s="19" t="s">
        <v>246</v>
      </c>
      <c r="E180" s="19" t="s">
        <v>370</v>
      </c>
      <c r="F180" s="19" t="s">
        <v>371</v>
      </c>
      <c r="G180" s="19"/>
      <c r="H180" s="19" t="s">
        <v>818</v>
      </c>
      <c r="I180" s="20">
        <v>175.04849999999999</v>
      </c>
      <c r="J180" s="19" t="s">
        <v>369</v>
      </c>
      <c r="K180" s="19" t="s">
        <v>87</v>
      </c>
      <c r="L180" s="21">
        <v>0</v>
      </c>
      <c r="M180" s="19" t="s">
        <v>274</v>
      </c>
      <c r="N180" s="17">
        <f>_xlfn.IFNA(IF(STLClientPriceCompute[[#This Row],[Base Price (USD)]]="","", STLClientPriceCompute[[#This Row],[Base Price (USD)]]*VLOOKUP(_xlfn.CONCAT(STLClientPriceCompute[[#This Row],[Exchange Rate Group]],STLClientSpecificSettings[Currency]),ClientPriceExRate[[#All],[Ex-Currency]:[Exchange Rate]],2,FALSE)),"")</f>
        <v>244.48323800999998</v>
      </c>
      <c r="O180"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244.48323800999998</v>
      </c>
      <c r="P180" s="22" cm="1">
        <f t="array" ref="P180">IF(STLClientSpecificSettings[Core Pack Excluded from Std volume discount]="EX",1, IF(STLClientSpecificSettings[Volume Price Adjustment]="HV", STLClientPriceCompute[[#This Row],[Category search for HV Base Discount]], STLClientSpecificSettings[Volume %]/100))</f>
        <v>1.5</v>
      </c>
      <c r="Q180" s="12" cm="1">
        <f t="array" ref="Q180">IF(ISBLANK(STLClientPriceCompute[[#This Row],[Category]]), 1, IF(ISNUMBER(SEARCH(CONCATENATE(STLClientPriceCompute[[#This Row],[Category]],"-",STLClientPriceCompute[[#This Row],[Code]]),STLClientSpecificSettings[VolumeBasedPriceItems])),STLClientSpecificSettings[Volume %]/100,1))</f>
        <v>1</v>
      </c>
      <c r="R180" s="12" cm="1">
        <f t="array" ref="R180">IF(STLClientSpecificSettings[Core Pack Excluded from Std volume discount]="UP",IF(OR(E180="USR",E180="RBU"),STLClientSpecificSettings[Core Uplift %]/100+1,1),1)</f>
        <v>1</v>
      </c>
      <c r="S180"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80" s="90" t="str">
        <f>IF(STLClientPriceCompute[[#This Row],[Available]]="Y", "P",IF(STLClientPriceCompute[[#This Row],[Available]]="N","O",""))</f>
        <v/>
      </c>
      <c r="U180" s="85" t="str">
        <f>TRIM(STLClientPriceCompute[[#This Row],[Description]])</f>
        <v>Non-Production System</v>
      </c>
      <c r="V180" s="91" t="str">
        <f>IF(STLClientPriceCompute[[#This Row],[Item Level]]=0,STLClientPriceCompute[[#This Row],[Desc without indent]],"")</f>
        <v/>
      </c>
      <c r="W180" s="91" t="str">
        <f>IF(STLClientPriceCompute[[#This Row],[Item Level]]=1,STLClientPriceCompute[[#This Row],[Desc without indent]],"")</f>
        <v/>
      </c>
      <c r="X180" s="91" t="str">
        <f>IF(STLClientPriceCompute[[#This Row],[Item Level]]=2,STLClientPriceCompute[[#This Row],[Desc without indent]],"")</f>
        <v/>
      </c>
      <c r="Y180" s="91" t="str">
        <f>IF(STLClientPriceCompute[[#This Row],[Item Level]]&gt;=3,_xlfn.CONCAT(REPT(" ",STLClientPriceCompute[[#This Row],[Item Level]]-3), STLClientPriceCompute[[#This Row],[Desc without indent]]),"")</f>
        <v>Non-Production System</v>
      </c>
      <c r="Z180"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Database</v>
      </c>
    </row>
    <row r="181" spans="2:26" x14ac:dyDescent="0.4">
      <c r="B181" s="15">
        <f>FIND(LEFT(TRIM(STLClientPriceCompute[[#This Row],[Description]]),1),STLClientPriceCompute[[#This Row],[Description]])-1</f>
        <v>3</v>
      </c>
      <c r="C181" s="19">
        <v>257</v>
      </c>
      <c r="D181" s="19"/>
      <c r="E181" s="19"/>
      <c r="F181" s="19" t="s">
        <v>372</v>
      </c>
      <c r="G181" s="19"/>
      <c r="H181" s="19" t="s">
        <v>818</v>
      </c>
      <c r="I181" s="20">
        <v>0</v>
      </c>
      <c r="J181" s="19"/>
      <c r="K181" s="19" t="s">
        <v>689</v>
      </c>
      <c r="L181" s="21">
        <v>0</v>
      </c>
      <c r="M181" s="19" t="s">
        <v>274</v>
      </c>
      <c r="N181" s="17">
        <f>_xlfn.IFNA(IF(STLClientPriceCompute[[#This Row],[Base Price (USD)]]="","", STLClientPriceCompute[[#This Row],[Base Price (USD)]]*VLOOKUP(_xlfn.CONCAT(STLClientPriceCompute[[#This Row],[Exchange Rate Group]],STLClientSpecificSettings[Currency]),ClientPriceExRate[[#All],[Ex-Currency]:[Exchange Rate]],2,FALSE)),"")</f>
        <v>0</v>
      </c>
      <c r="O181"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0</v>
      </c>
      <c r="P181" s="22" cm="1">
        <f t="array" ref="P181">IF(STLClientSpecificSettings[Core Pack Excluded from Std volume discount]="EX",1, IF(STLClientSpecificSettings[Volume Price Adjustment]="HV", STLClientPriceCompute[[#This Row],[Category search for HV Base Discount]], STLClientSpecificSettings[Volume %]/100))</f>
        <v>1.5</v>
      </c>
      <c r="Q181" s="12" cm="1">
        <f t="array" ref="Q181">IF(ISBLANK(STLClientPriceCompute[[#This Row],[Category]]), 1, IF(ISNUMBER(SEARCH(CONCATENATE(STLClientPriceCompute[[#This Row],[Category]],"-",STLClientPriceCompute[[#This Row],[Code]]),STLClientSpecificSettings[VolumeBasedPriceItems])),STLClientSpecificSettings[Volume %]/100,1))</f>
        <v>1</v>
      </c>
      <c r="R181" s="12" cm="1">
        <f t="array" ref="R181">IF(STLClientSpecificSettings[Core Pack Excluded from Std volume discount]="UP",IF(OR(E181="USR",E181="RBU"),STLClientSpecificSettings[Core Uplift %]/100+1,1),1)</f>
        <v>1</v>
      </c>
      <c r="S181"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81" s="90" t="str">
        <f>IF(STLClientPriceCompute[[#This Row],[Available]]="Y", "P",IF(STLClientPriceCompute[[#This Row],[Available]]="N","O",""))</f>
        <v/>
      </c>
      <c r="U181" s="85" t="str">
        <f>TRIM(STLClientPriceCompute[[#This Row],[Description]])</f>
        <v>Customer Requested Changes to Enterprise or Company Registration or Server Codes</v>
      </c>
      <c r="V181" s="91" t="str">
        <f>IF(STLClientPriceCompute[[#This Row],[Item Level]]=0,STLClientPriceCompute[[#This Row],[Desc without indent]],"")</f>
        <v/>
      </c>
      <c r="W181" s="91" t="str">
        <f>IF(STLClientPriceCompute[[#This Row],[Item Level]]=1,STLClientPriceCompute[[#This Row],[Desc without indent]],"")</f>
        <v/>
      </c>
      <c r="X181" s="91" t="str">
        <f>IF(STLClientPriceCompute[[#This Row],[Item Level]]=2,STLClientPriceCompute[[#This Row],[Desc without indent]],"")</f>
        <v/>
      </c>
      <c r="Y181" s="91" t="str">
        <f>IF(STLClientPriceCompute[[#This Row],[Item Level]]&gt;=3,_xlfn.CONCAT(REPT(" ",STLClientPriceCompute[[#This Row],[Item Level]]-3), STLClientPriceCompute[[#This Row],[Desc without indent]]),"")</f>
        <v>Customer Requested Changes to Enterprise or Company Registration or Server Codes</v>
      </c>
      <c r="Z181"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82" spans="2:26" x14ac:dyDescent="0.4">
      <c r="B182" s="15">
        <f>FIND(LEFT(TRIM(STLClientPriceCompute[[#This Row],[Description]]),1),STLClientPriceCompute[[#This Row],[Description]])-1</f>
        <v>4</v>
      </c>
      <c r="C182" s="19">
        <v>258</v>
      </c>
      <c r="D182" s="19"/>
      <c r="E182" s="19"/>
      <c r="F182" s="19" t="s">
        <v>373</v>
      </c>
      <c r="G182" s="19"/>
      <c r="H182" s="19" t="s">
        <v>819</v>
      </c>
      <c r="I182" s="20">
        <v>1147.3633500000001</v>
      </c>
      <c r="J182" s="19"/>
      <c r="K182" s="19" t="s">
        <v>689</v>
      </c>
      <c r="L182" s="21">
        <v>0</v>
      </c>
      <c r="M182" s="19" t="s">
        <v>274</v>
      </c>
      <c r="N182" s="17">
        <f>_xlfn.IFNA(IF(STLClientPriceCompute[[#This Row],[Base Price (USD)]]="","", STLClientPriceCompute[[#This Row],[Base Price (USD)]]*VLOOKUP(_xlfn.CONCAT(STLClientPriceCompute[[#This Row],[Exchange Rate Group]],STLClientSpecificSettings[Currency]),ClientPriceExRate[[#All],[Ex-Currency]:[Exchange Rate]],2,FALSE)),"")</f>
        <v>1523.5562557446001</v>
      </c>
      <c r="O182"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1523.5562557446001</v>
      </c>
      <c r="P182" s="22" cm="1">
        <f t="array" ref="P182">IF(STLClientSpecificSettings[Core Pack Excluded from Std volume discount]="EX",1, IF(STLClientSpecificSettings[Volume Price Adjustment]="HV", STLClientPriceCompute[[#This Row],[Category search for HV Base Discount]], STLClientSpecificSettings[Volume %]/100))</f>
        <v>1.5</v>
      </c>
      <c r="Q182" s="12" cm="1">
        <f t="array" ref="Q182">IF(ISBLANK(STLClientPriceCompute[[#This Row],[Category]]), 1, IF(ISNUMBER(SEARCH(CONCATENATE(STLClientPriceCompute[[#This Row],[Category]],"-",STLClientPriceCompute[[#This Row],[Code]]),STLClientSpecificSettings[VolumeBasedPriceItems])),STLClientSpecificSettings[Volume %]/100,1))</f>
        <v>1</v>
      </c>
      <c r="R182" s="12" cm="1">
        <f t="array" ref="R182">IF(STLClientSpecificSettings[Core Pack Excluded from Std volume discount]="UP",IF(OR(E182="USR",E182="RBU"),STLClientSpecificSettings[Core Uplift %]/100+1,1),1)</f>
        <v>1</v>
      </c>
      <c r="S182"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82" s="90" t="str">
        <f>IF(STLClientPriceCompute[[#This Row],[Available]]="Y", "P",IF(STLClientPriceCompute[[#This Row],[Available]]="N","O",""))</f>
        <v/>
      </c>
      <c r="U182" s="85" t="str">
        <f>TRIM(STLClientPriceCompute[[#This Row],[Description]])</f>
        <v>To convert Enterprise or Company Registration or Server code to a customer preferred code on a live system</v>
      </c>
      <c r="V182" s="91" t="str">
        <f>IF(STLClientPriceCompute[[#This Row],[Item Level]]=0,STLClientPriceCompute[[#This Row],[Desc without indent]],"")</f>
        <v/>
      </c>
      <c r="W182" s="91" t="str">
        <f>IF(STLClientPriceCompute[[#This Row],[Item Level]]=1,STLClientPriceCompute[[#This Row],[Desc without indent]],"")</f>
        <v/>
      </c>
      <c r="X182" s="91" t="str">
        <f>IF(STLClientPriceCompute[[#This Row],[Item Level]]=2,STLClientPriceCompute[[#This Row],[Desc without indent]],"")</f>
        <v/>
      </c>
      <c r="Y182" s="91" t="str">
        <f>IF(STLClientPriceCompute[[#This Row],[Item Level]]&gt;=3,_xlfn.CONCAT(REPT(" ",STLClientPriceCompute[[#This Row],[Item Level]]-3), STLClientPriceCompute[[#This Row],[Desc without indent]]),"")</f>
        <v xml:space="preserve"> To convert Enterprise or Company Registration or Server code to a customer preferred code on a live system</v>
      </c>
      <c r="Z182"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row r="183" spans="2:26" x14ac:dyDescent="0.4">
      <c r="B183" s="15">
        <f>FIND(LEFT(TRIM(STLClientPriceCompute[[#This Row],[Description]]),1),STLClientPriceCompute[[#This Row],[Description]])-1</f>
        <v>3</v>
      </c>
      <c r="C183" s="19">
        <v>259</v>
      </c>
      <c r="D183" s="19"/>
      <c r="E183" s="19"/>
      <c r="F183" s="19" t="s">
        <v>374</v>
      </c>
      <c r="G183" s="19"/>
      <c r="H183" s="19" t="s">
        <v>820</v>
      </c>
      <c r="I183" s="20">
        <v>540.75</v>
      </c>
      <c r="J183" s="19" t="s">
        <v>375</v>
      </c>
      <c r="K183" s="19" t="s">
        <v>689</v>
      </c>
      <c r="L183" s="21">
        <v>0</v>
      </c>
      <c r="M183" s="19" t="s">
        <v>274</v>
      </c>
      <c r="N183" s="17">
        <f>_xlfn.IFNA(IF(STLClientPriceCompute[[#This Row],[Base Price (USD)]]="","", STLClientPriceCompute[[#This Row],[Base Price (USD)]]*VLOOKUP(_xlfn.CONCAT(STLClientPriceCompute[[#This Row],[Exchange Rate Group]],STLClientSpecificSettings[Currency]),ClientPriceExRate[[#All],[Ex-Currency]:[Exchange Rate]],2,FALSE)),"")</f>
        <v>718.048947</v>
      </c>
      <c r="O183" s="15">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718.048947</v>
      </c>
      <c r="P183" s="22" cm="1">
        <f t="array" ref="P183">IF(STLClientSpecificSettings[Core Pack Excluded from Std volume discount]="EX",1, IF(STLClientSpecificSettings[Volume Price Adjustment]="HV", STLClientPriceCompute[[#This Row],[Category search for HV Base Discount]], STLClientSpecificSettings[Volume %]/100))</f>
        <v>1.5</v>
      </c>
      <c r="Q183" s="12" cm="1">
        <f t="array" ref="Q183">IF(ISBLANK(STLClientPriceCompute[[#This Row],[Category]]), 1, IF(ISNUMBER(SEARCH(CONCATENATE(STLClientPriceCompute[[#This Row],[Category]],"-",STLClientPriceCompute[[#This Row],[Code]]),STLClientSpecificSettings[VolumeBasedPriceItems])),STLClientSpecificSettings[Volume %]/100,1))</f>
        <v>1</v>
      </c>
      <c r="R183" s="12" cm="1">
        <f t="array" ref="R183">IF(STLClientSpecificSettings[Core Pack Excluded from Std volume discount]="UP",IF(OR(E183="USR",E183="RBU"),STLClientSpecificSettings[Core Uplift %]/100+1,1),1)</f>
        <v>1</v>
      </c>
      <c r="S183" s="15">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0</v>
      </c>
      <c r="T183" s="90" t="str">
        <f>IF(STLClientPriceCompute[[#This Row],[Available]]="Y", "P",IF(STLClientPriceCompute[[#This Row],[Available]]="N","O",""))</f>
        <v/>
      </c>
      <c r="U183" s="85" t="str">
        <f>TRIM(STLClientPriceCompute[[#This Row],[Description]])</f>
        <v>Accounting Period Configuration</v>
      </c>
      <c r="V183" s="91" t="str">
        <f>IF(STLClientPriceCompute[[#This Row],[Item Level]]=0,STLClientPriceCompute[[#This Row],[Desc without indent]],"")</f>
        <v/>
      </c>
      <c r="W183" s="91" t="str">
        <f>IF(STLClientPriceCompute[[#This Row],[Item Level]]=1,STLClientPriceCompute[[#This Row],[Desc without indent]],"")</f>
        <v/>
      </c>
      <c r="X183" s="91" t="str">
        <f>IF(STLClientPriceCompute[[#This Row],[Item Level]]=2,STLClientPriceCompute[[#This Row],[Desc without indent]],"")</f>
        <v/>
      </c>
      <c r="Y183" s="91" t="str">
        <f>IF(STLClientPriceCompute[[#This Row],[Item Level]]&gt;=3,_xlfn.CONCAT(REPT(" ",STLClientPriceCompute[[#This Row],[Item Level]]-3), STLClientPriceCompute[[#This Row],[Desc without indent]]),"")</f>
        <v>Accounting Period Configuration</v>
      </c>
      <c r="Z183" s="91"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Per Change Request</v>
      </c>
    </row>
    <row r="184" spans="2:26" x14ac:dyDescent="0.4">
      <c r="B184" s="88">
        <f>FIND(LEFT(TRIM(STLClientPriceCompute[[#This Row],[Description]]),1),STLClientPriceCompute[[#This Row],[Description]])-1</f>
        <v>0</v>
      </c>
      <c r="C184" s="92">
        <v>260</v>
      </c>
      <c r="D184" s="92"/>
      <c r="E184" s="92"/>
      <c r="F184" s="92"/>
      <c r="G184" s="92"/>
      <c r="H184" s="19" t="s">
        <v>87</v>
      </c>
      <c r="I184" s="93"/>
      <c r="J184" s="92"/>
      <c r="K184" s="92"/>
      <c r="L184" s="94"/>
      <c r="M184" s="92"/>
      <c r="N184" s="95" t="str">
        <f>_xlfn.IFNA(IF(STLClientPriceCompute[[#This Row],[Base Price (USD)]]="","", STLClientPriceCompute[[#This Row],[Base Price (USD)]]*VLOOKUP(_xlfn.CONCAT(STLClientPriceCompute[[#This Row],[Exchange Rate Group]],STLClientSpecificSettings[Currency]),ClientPriceExRate[[#All],[Ex-Currency]:[Exchange Rate]],2,FALSE)),"")</f>
        <v/>
      </c>
      <c r="O184" s="88" t="str">
        <f>IF(STLClientPriceCompute[[#This Row],[Base Price in Local Currency]]="","",IF(STLClientPriceCompute[[#This Row],[Eligible For Volume Discount]]="Y", STLClientPriceCompute[[#This Row],[Base Price in Local Currency]] * STLClientPriceCompute[[#This Row],[Volume adjustment Factor]] * STLClientPriceCompute[[#This Row],[Uplift Factor]], STLClientPriceCompute[[#This Row],[Base Price in Local Currency]]))</f>
        <v/>
      </c>
      <c r="P184" s="27" cm="1">
        <f t="array" ref="P184">IF(STLClientSpecificSettings[Core Pack Excluded from Std volume discount]="EX",1, IF(STLClientSpecificSettings[Volume Price Adjustment]="HV", STLClientPriceCompute[[#This Row],[Category search for HV Base Discount]], STLClientSpecificSettings[Volume %]/100))</f>
        <v>1.5</v>
      </c>
      <c r="Q184" s="1" cm="1">
        <f t="array" ref="Q184">IF(ISBLANK(STLClientPriceCompute[[#This Row],[Category]]), 1, IF(ISNUMBER(SEARCH(CONCATENATE(STLClientPriceCompute[[#This Row],[Category]],"-",STLClientPriceCompute[[#This Row],[Code]]),STLClientSpecificSettings[VolumeBasedPriceItems])),STLClientSpecificSettings[Volume %]/100,1))</f>
        <v>1</v>
      </c>
      <c r="R184" s="1" cm="1">
        <f t="array" ref="R184">IF(STLClientSpecificSettings[Core Pack Excluded from Std volume discount]="UP",IF(OR(E184="USR",E184="RBU"),STLClientSpecificSettings[Core Uplift %]/100+1,1),1)</f>
        <v>1</v>
      </c>
      <c r="S184" s="88" t="str">
        <f>IF(STLClientPriceCompute[[#This Row],[License Units]]="","", IF(STLClientPriceCompute[[#This Row],[Eligible For Volume Discount]]="Y", STLClientPriceCompute[[#This Row],[License Units]]*STLClientPriceCompute[[#This Row],[Volume adjustment Factor]]*STLClientPriceCompute[[#This Row],[Uplift Factor]],STLClientPriceCompute[[#This Row],[License Units]]))</f>
        <v/>
      </c>
      <c r="T184" s="96" t="str">
        <f>IF(STLClientPriceCompute[[#This Row],[Available]]="Y", "P",IF(STLClientPriceCompute[[#This Row],[Available]]="N","O",""))</f>
        <v/>
      </c>
      <c r="U184" s="85" t="str">
        <f>TRIM(STLClientPriceCompute[[#This Row],[Description]])</f>
        <v/>
      </c>
      <c r="V184" s="97" t="str">
        <f>IF(STLClientPriceCompute[[#This Row],[Item Level]]=0,STLClientPriceCompute[[#This Row],[Desc without indent]],"")</f>
        <v/>
      </c>
      <c r="W184" s="97" t="str">
        <f>IF(STLClientPriceCompute[[#This Row],[Item Level]]=1,STLClientPriceCompute[[#This Row],[Desc without indent]],"")</f>
        <v/>
      </c>
      <c r="X184" s="97" t="str">
        <f>IF(STLClientPriceCompute[[#This Row],[Item Level]]=2,STLClientPriceCompute[[#This Row],[Desc without indent]],"")</f>
        <v/>
      </c>
      <c r="Y184" s="97" t="str">
        <f>IF(STLClientPriceCompute[[#This Row],[Item Level]]&gt;=3,_xlfn.CONCAT(REPT(" ",STLClientPriceCompute[[#This Row],[Item Level]]-3), STLClientPriceCompute[[#This Row],[Desc without indent]]),"")</f>
        <v/>
      </c>
      <c r="Z184" s="97" t="str">
        <f>IF(STLClientPriceCompute[[#This Row],[Feature]]="Container Automation","Refer to Container Automation (*External Services- see WTG 3rd Party Services &amp; Transactions (External Services))",IF(STLClientPriceCompute[[#This Row],[Feature]]="Air Waybill Automation","Refer Air Waybill Automation (*External Services- see WTG 3rd Party Services &amp; Transactions (External Services))",IF(LEN(STLClientPriceCompute[[#This Row],[Charge Basis]])=0,"",STLClientPriceCompute[[#This Row],[Charge Basis]])))</f>
        <v/>
      </c>
    </row>
  </sheetData>
  <pageMargins left="0.7" right="0.7" top="0.75" bottom="0.75" header="0.3" footer="0.3"/>
  <pageSetup orientation="portrait" horizontalDpi="300" verticalDpi="30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37F14-A691-4205-8EE4-ACB053C04AB0}">
  <sheetPr codeName="Sheet8">
    <tabColor rgb="FF92D050"/>
  </sheetPr>
  <dimension ref="B1:R903"/>
  <sheetViews>
    <sheetView showGridLines="0" zoomScale="80" zoomScaleNormal="80" workbookViewId="0">
      <selection activeCell="B12" sqref="B12:K12"/>
    </sheetView>
  </sheetViews>
  <sheetFormatPr defaultColWidth="9" defaultRowHeight="12.45" x14ac:dyDescent="0.4"/>
  <cols>
    <col min="1" max="1" width="9" style="23"/>
    <col min="2" max="2" width="2" style="23" customWidth="1"/>
    <col min="3" max="3" width="2.23046875" style="23" customWidth="1"/>
    <col min="4" max="4" width="3.15234375" style="23" customWidth="1"/>
    <col min="5" max="5" width="3.15234375" style="28" customWidth="1"/>
    <col min="6" max="6" width="3.15234375" style="23" customWidth="1"/>
    <col min="7" max="7" width="51.69140625" style="23" customWidth="1"/>
    <col min="8" max="8" width="4" style="23" customWidth="1"/>
    <col min="9" max="9" width="37.921875" style="23" customWidth="1"/>
    <col min="10" max="10" width="13.23046875" style="23" bestFit="1" customWidth="1"/>
    <col min="11" max="11" width="16.921875" style="23" bestFit="1" customWidth="1"/>
    <col min="12" max="12" width="20.84375" style="23" bestFit="1" customWidth="1"/>
    <col min="13" max="13" width="11.69140625" style="23" bestFit="1" customWidth="1"/>
    <col min="14" max="14" width="83" style="23" bestFit="1" customWidth="1"/>
    <col min="15" max="15" width="18.15234375" style="23" bestFit="1" customWidth="1"/>
    <col min="16" max="16" width="14.23046875" style="23" bestFit="1" customWidth="1"/>
    <col min="17" max="17" width="21.3828125" style="23" bestFit="1" customWidth="1"/>
    <col min="18" max="18" width="26.69140625" style="23" bestFit="1" customWidth="1"/>
    <col min="19" max="19" width="40" style="23" bestFit="1" customWidth="1"/>
    <col min="20" max="20" width="83.23046875" style="23" bestFit="1" customWidth="1"/>
    <col min="21" max="21" width="17.23046875" style="23" bestFit="1" customWidth="1"/>
    <col min="22" max="22" width="14.84375" style="23" bestFit="1" customWidth="1"/>
    <col min="23" max="23" width="12" style="23" bestFit="1" customWidth="1"/>
    <col min="24" max="24" width="30.61328125" style="23" bestFit="1" customWidth="1"/>
    <col min="25" max="25" width="11.69140625" style="23" bestFit="1" customWidth="1"/>
    <col min="26" max="26" width="23.15234375" style="23" bestFit="1" customWidth="1"/>
    <col min="27" max="27" width="79.61328125" style="23" bestFit="1" customWidth="1"/>
    <col min="28" max="28" width="79.84375" style="23" bestFit="1" customWidth="1"/>
    <col min="29" max="29" width="16.23046875" style="23" bestFit="1" customWidth="1"/>
    <col min="30" max="30" width="11" style="23" bestFit="1" customWidth="1"/>
    <col min="31" max="31" width="50.15234375" style="23" bestFit="1" customWidth="1"/>
    <col min="32" max="32" width="17.69140625" style="23" bestFit="1" customWidth="1"/>
    <col min="33" max="33" width="13" style="23" bestFit="1" customWidth="1"/>
    <col min="34" max="34" width="24" style="23" bestFit="1" customWidth="1"/>
    <col min="35" max="35" width="27" style="23" bestFit="1" customWidth="1"/>
    <col min="36" max="36" width="9.84375" style="23" bestFit="1" customWidth="1"/>
    <col min="37" max="37" width="10.69140625" style="23" bestFit="1" customWidth="1"/>
    <col min="38" max="38" width="7.84375" style="23" bestFit="1" customWidth="1"/>
    <col min="39" max="39" width="51" style="23" bestFit="1" customWidth="1"/>
    <col min="40" max="40" width="13.15234375" style="23" bestFit="1" customWidth="1"/>
    <col min="41" max="41" width="14" style="23" bestFit="1" customWidth="1"/>
    <col min="42" max="42" width="14.15234375" style="23" bestFit="1" customWidth="1"/>
    <col min="43" max="43" width="37" style="23" bestFit="1" customWidth="1"/>
    <col min="44" max="44" width="15" style="23" bestFit="1" customWidth="1"/>
    <col min="45" max="45" width="11" style="23" bestFit="1" customWidth="1"/>
    <col min="46" max="46" width="19.23046875" style="23" bestFit="1" customWidth="1"/>
    <col min="47" max="47" width="11" style="23" bestFit="1" customWidth="1"/>
    <col min="48" max="48" width="19" style="23" bestFit="1" customWidth="1"/>
    <col min="49" max="49" width="8.61328125" style="23" bestFit="1" customWidth="1"/>
    <col min="50" max="50" width="13" style="23" bestFit="1" customWidth="1"/>
    <col min="51" max="51" width="23.61328125" style="23" bestFit="1" customWidth="1"/>
    <col min="52" max="52" width="7.15234375" style="23" bestFit="1" customWidth="1"/>
    <col min="53" max="53" width="85.3828125" style="23" bestFit="1" customWidth="1"/>
    <col min="54" max="54" width="8.84375" style="23" bestFit="1" customWidth="1"/>
    <col min="55" max="55" width="51" style="23" bestFit="1" customWidth="1"/>
    <col min="56" max="56" width="21.69140625" style="23" bestFit="1" customWidth="1"/>
    <col min="57" max="57" width="22.84375" style="23" bestFit="1" customWidth="1"/>
    <col min="58" max="58" width="23.15234375" style="23" bestFit="1" customWidth="1"/>
    <col min="59" max="59" width="20.3828125" style="23" bestFit="1" customWidth="1"/>
    <col min="60" max="60" width="10.69140625" style="23" bestFit="1" customWidth="1"/>
    <col min="61" max="61" width="19" style="23" bestFit="1" customWidth="1"/>
    <col min="62" max="62" width="25" style="23" bestFit="1" customWidth="1"/>
    <col min="63" max="63" width="23" style="23" bestFit="1" customWidth="1"/>
    <col min="64" max="64" width="24.23046875" style="23" bestFit="1" customWidth="1"/>
    <col min="65" max="65" width="14.15234375" style="23" bestFit="1" customWidth="1"/>
    <col min="66" max="66" width="9" style="23" bestFit="1" customWidth="1"/>
    <col min="67" max="67" width="83.69140625" style="23" bestFit="1" customWidth="1"/>
    <col min="68" max="68" width="16.61328125" style="23" bestFit="1" customWidth="1"/>
    <col min="69" max="69" width="14" style="23" bestFit="1" customWidth="1"/>
    <col min="70" max="70" width="53.15234375" style="23" bestFit="1" customWidth="1"/>
    <col min="71" max="71" width="26.15234375" style="23" bestFit="1" customWidth="1"/>
    <col min="72" max="72" width="17.23046875" style="23" bestFit="1" customWidth="1"/>
    <col min="73" max="73" width="30" style="23" bestFit="1" customWidth="1"/>
    <col min="74" max="74" width="31" style="23" bestFit="1" customWidth="1"/>
    <col min="75" max="75" width="11.84375" style="23" bestFit="1" customWidth="1"/>
    <col min="76" max="76" width="14.23046875" style="23" bestFit="1" customWidth="1"/>
    <col min="77" max="77" width="11.61328125" style="23" bestFit="1" customWidth="1"/>
    <col min="78" max="79" width="22.15234375" style="23" bestFit="1" customWidth="1"/>
    <col min="80" max="80" width="15.61328125" style="23" bestFit="1" customWidth="1"/>
    <col min="81" max="81" width="36.3828125" style="23" bestFit="1" customWidth="1"/>
    <col min="82" max="82" width="12.84375" style="23" bestFit="1" customWidth="1"/>
    <col min="83" max="83" width="6.61328125" style="23" bestFit="1" customWidth="1"/>
    <col min="84" max="84" width="10.3828125" style="23" bestFit="1" customWidth="1"/>
    <col min="85" max="16384" width="9" style="23"/>
  </cols>
  <sheetData>
    <row r="1" spans="2:11" s="99" customFormat="1" ht="51.55" customHeight="1" thickBot="1" x14ac:dyDescent="1.1000000000000001">
      <c r="B1" s="313" t="s">
        <v>488</v>
      </c>
      <c r="C1" s="313"/>
      <c r="D1" s="313"/>
      <c r="E1" s="313"/>
      <c r="F1" s="313"/>
      <c r="G1" s="313"/>
      <c r="H1" s="313"/>
      <c r="I1" s="313"/>
      <c r="J1" s="313"/>
      <c r="K1" s="313"/>
    </row>
    <row r="2" spans="2:11" s="99" customFormat="1" ht="6" customHeight="1" thickTop="1" x14ac:dyDescent="0.4">
      <c r="B2" s="314"/>
      <c r="C2" s="314"/>
      <c r="D2" s="314"/>
      <c r="E2" s="314"/>
      <c r="F2" s="314"/>
      <c r="G2" s="314"/>
      <c r="H2" s="314"/>
      <c r="I2" s="314"/>
      <c r="J2" s="314"/>
      <c r="K2" s="314"/>
    </row>
    <row r="3" spans="2:11" s="99" customFormat="1" ht="15.65" customHeight="1" x14ac:dyDescent="0.4">
      <c r="B3" s="318"/>
      <c r="C3" s="318"/>
      <c r="D3" s="318"/>
      <c r="E3" s="318"/>
      <c r="F3" s="318"/>
      <c r="G3" s="318"/>
      <c r="H3" s="318"/>
      <c r="I3" s="318"/>
      <c r="J3" s="318"/>
      <c r="K3" s="318"/>
    </row>
    <row r="4" spans="2:11" s="99" customFormat="1" ht="34.5" customHeight="1" x14ac:dyDescent="0.4">
      <c r="B4" s="317" t="s">
        <v>489</v>
      </c>
      <c r="C4" s="317" t="s">
        <v>489</v>
      </c>
      <c r="D4" s="317" t="s">
        <v>489</v>
      </c>
      <c r="E4" s="317" t="s">
        <v>489</v>
      </c>
      <c r="F4" s="317" t="s">
        <v>489</v>
      </c>
      <c r="G4" s="317" t="s">
        <v>489</v>
      </c>
      <c r="H4" s="317" t="s">
        <v>489</v>
      </c>
      <c r="I4" s="317" t="s">
        <v>489</v>
      </c>
      <c r="J4" s="317" t="s">
        <v>489</v>
      </c>
      <c r="K4" s="317" t="s">
        <v>489</v>
      </c>
    </row>
    <row r="5" spans="2:11" s="99" customFormat="1" ht="48" customHeight="1" x14ac:dyDescent="0.4">
      <c r="B5" s="317" t="s">
        <v>490</v>
      </c>
      <c r="C5" s="317" t="s">
        <v>490</v>
      </c>
      <c r="D5" s="317" t="s">
        <v>490</v>
      </c>
      <c r="E5" s="317" t="s">
        <v>490</v>
      </c>
      <c r="F5" s="317" t="s">
        <v>490</v>
      </c>
      <c r="G5" s="317" t="s">
        <v>490</v>
      </c>
      <c r="H5" s="317" t="s">
        <v>490</v>
      </c>
      <c r="I5" s="317" t="s">
        <v>490</v>
      </c>
      <c r="J5" s="317" t="s">
        <v>490</v>
      </c>
      <c r="K5" s="317" t="s">
        <v>490</v>
      </c>
    </row>
    <row r="6" spans="2:11" s="99" customFormat="1" ht="48" customHeight="1" x14ac:dyDescent="0.4">
      <c r="B6" s="317" t="s">
        <v>491</v>
      </c>
      <c r="C6" s="317" t="s">
        <v>491</v>
      </c>
      <c r="D6" s="317" t="s">
        <v>491</v>
      </c>
      <c r="E6" s="317" t="s">
        <v>491</v>
      </c>
      <c r="F6" s="317" t="s">
        <v>491</v>
      </c>
      <c r="G6" s="317" t="s">
        <v>491</v>
      </c>
      <c r="H6" s="317" t="s">
        <v>491</v>
      </c>
      <c r="I6" s="317" t="s">
        <v>491</v>
      </c>
      <c r="J6" s="317" t="s">
        <v>491</v>
      </c>
      <c r="K6" s="317" t="s">
        <v>491</v>
      </c>
    </row>
    <row r="7" spans="2:11" s="99" customFormat="1" ht="76.5" customHeight="1" x14ac:dyDescent="0.4">
      <c r="B7" s="317" t="s">
        <v>492</v>
      </c>
      <c r="C7" s="317" t="s">
        <v>492</v>
      </c>
      <c r="D7" s="317" t="s">
        <v>492</v>
      </c>
      <c r="E7" s="317" t="s">
        <v>492</v>
      </c>
      <c r="F7" s="317" t="s">
        <v>492</v>
      </c>
      <c r="G7" s="317" t="s">
        <v>492</v>
      </c>
      <c r="H7" s="317" t="s">
        <v>492</v>
      </c>
      <c r="I7" s="317" t="s">
        <v>492</v>
      </c>
      <c r="J7" s="317" t="s">
        <v>492</v>
      </c>
      <c r="K7" s="317" t="s">
        <v>492</v>
      </c>
    </row>
    <row r="8" spans="2:11" s="99" customFormat="1" ht="26.8" customHeight="1" x14ac:dyDescent="0.4">
      <c r="B8" s="319" t="s">
        <v>493</v>
      </c>
      <c r="C8" s="319" t="s">
        <v>493</v>
      </c>
      <c r="D8" s="319" t="s">
        <v>493</v>
      </c>
      <c r="E8" s="319" t="s">
        <v>493</v>
      </c>
      <c r="F8" s="319" t="s">
        <v>493</v>
      </c>
      <c r="G8" s="319" t="s">
        <v>493</v>
      </c>
      <c r="H8" s="319" t="s">
        <v>493</v>
      </c>
      <c r="I8" s="319" t="s">
        <v>493</v>
      </c>
      <c r="J8" s="319" t="s">
        <v>493</v>
      </c>
      <c r="K8" s="319" t="s">
        <v>493</v>
      </c>
    </row>
    <row r="9" spans="2:11" s="99" customFormat="1" ht="48" customHeight="1" x14ac:dyDescent="0.4">
      <c r="B9" s="317" t="s">
        <v>494</v>
      </c>
      <c r="C9" s="317" t="s">
        <v>494</v>
      </c>
      <c r="D9" s="317" t="s">
        <v>494</v>
      </c>
      <c r="E9" s="317" t="s">
        <v>494</v>
      </c>
      <c r="F9" s="317" t="s">
        <v>494</v>
      </c>
      <c r="G9" s="317" t="s">
        <v>494</v>
      </c>
      <c r="H9" s="317" t="s">
        <v>494</v>
      </c>
      <c r="I9" s="317" t="s">
        <v>494</v>
      </c>
      <c r="J9" s="317" t="s">
        <v>494</v>
      </c>
      <c r="K9" s="317" t="s">
        <v>494</v>
      </c>
    </row>
    <row r="10" spans="2:11" s="99" customFormat="1" ht="76.5" customHeight="1" x14ac:dyDescent="0.4">
      <c r="B10" s="317" t="s">
        <v>495</v>
      </c>
      <c r="C10" s="317" t="s">
        <v>495</v>
      </c>
      <c r="D10" s="317" t="s">
        <v>495</v>
      </c>
      <c r="E10" s="317" t="s">
        <v>495</v>
      </c>
      <c r="F10" s="317" t="s">
        <v>495</v>
      </c>
      <c r="G10" s="317" t="s">
        <v>495</v>
      </c>
      <c r="H10" s="317" t="s">
        <v>495</v>
      </c>
      <c r="I10" s="317" t="s">
        <v>495</v>
      </c>
      <c r="J10" s="317" t="s">
        <v>495</v>
      </c>
      <c r="K10" s="317" t="s">
        <v>495</v>
      </c>
    </row>
    <row r="11" spans="2:11" s="99" customFormat="1" ht="48" customHeight="1" x14ac:dyDescent="0.4">
      <c r="B11" s="317" t="s">
        <v>872</v>
      </c>
      <c r="C11" s="317" t="s">
        <v>496</v>
      </c>
      <c r="D11" s="317" t="s">
        <v>496</v>
      </c>
      <c r="E11" s="317" t="s">
        <v>496</v>
      </c>
      <c r="F11" s="317" t="s">
        <v>496</v>
      </c>
      <c r="G11" s="317" t="s">
        <v>496</v>
      </c>
      <c r="H11" s="317" t="s">
        <v>496</v>
      </c>
      <c r="I11" s="317" t="s">
        <v>496</v>
      </c>
      <c r="J11" s="317" t="s">
        <v>496</v>
      </c>
      <c r="K11" s="317" t="s">
        <v>496</v>
      </c>
    </row>
    <row r="12" spans="2:11" s="99" customFormat="1" ht="70.5" customHeight="1" x14ac:dyDescent="0.4">
      <c r="B12" s="317" t="s">
        <v>497</v>
      </c>
      <c r="C12" s="317" t="s">
        <v>497</v>
      </c>
      <c r="D12" s="317" t="s">
        <v>497</v>
      </c>
      <c r="E12" s="317" t="s">
        <v>497</v>
      </c>
      <c r="F12" s="317" t="s">
        <v>497</v>
      </c>
      <c r="G12" s="317" t="s">
        <v>497</v>
      </c>
      <c r="H12" s="317" t="s">
        <v>497</v>
      </c>
      <c r="I12" s="317" t="s">
        <v>497</v>
      </c>
      <c r="J12" s="317" t="s">
        <v>497</v>
      </c>
      <c r="K12" s="317" t="s">
        <v>497</v>
      </c>
    </row>
    <row r="13" spans="2:11" s="99" customFormat="1" ht="86.25" customHeight="1" x14ac:dyDescent="0.4">
      <c r="B13" s="317" t="s">
        <v>498</v>
      </c>
      <c r="C13" s="317" t="s">
        <v>498</v>
      </c>
      <c r="D13" s="317" t="s">
        <v>498</v>
      </c>
      <c r="E13" s="317" t="s">
        <v>498</v>
      </c>
      <c r="F13" s="317" t="s">
        <v>498</v>
      </c>
      <c r="G13" s="317" t="s">
        <v>498</v>
      </c>
      <c r="H13" s="317" t="s">
        <v>498</v>
      </c>
      <c r="I13" s="317" t="s">
        <v>498</v>
      </c>
      <c r="J13" s="317" t="s">
        <v>498</v>
      </c>
      <c r="K13" s="317" t="s">
        <v>498</v>
      </c>
    </row>
    <row r="14" spans="2:11" s="99" customFormat="1" x14ac:dyDescent="0.4">
      <c r="B14" s="318"/>
      <c r="C14" s="318"/>
      <c r="D14" s="318"/>
      <c r="E14" s="318"/>
      <c r="F14" s="318"/>
      <c r="G14" s="318"/>
      <c r="H14" s="318"/>
      <c r="I14" s="318"/>
      <c r="J14" s="318"/>
      <c r="K14" s="318"/>
    </row>
    <row r="15" spans="2:11" ht="14.6" x14ac:dyDescent="0.4">
      <c r="B15" s="238" t="s">
        <v>806</v>
      </c>
      <c r="C15" s="287" t="s">
        <v>87</v>
      </c>
      <c r="F15" s="24"/>
      <c r="G15" s="24"/>
      <c r="I15" s="240"/>
      <c r="J15" s="240"/>
      <c r="K15" s="210"/>
    </row>
    <row r="16" spans="2:11" s="239" customFormat="1" x14ac:dyDescent="0.4">
      <c r="E16" s="28"/>
      <c r="F16" s="24"/>
      <c r="G16" s="24"/>
      <c r="I16" s="284" t="str" cm="1">
        <f t="array" ref="I16">STLClientSpecificSettings[Pricelist Version]</f>
        <v>V23.01</v>
      </c>
      <c r="J16" s="285" t="str" cm="1">
        <f t="array" ref="J16">STLClientSpecificSettings[Currency]</f>
        <v>AUD</v>
      </c>
      <c r="K16" s="286"/>
    </row>
    <row r="17" spans="2:18" ht="48" x14ac:dyDescent="0.4">
      <c r="B17" s="124" t="s">
        <v>14</v>
      </c>
      <c r="C17" s="124" t="s">
        <v>15</v>
      </c>
      <c r="D17" s="125" t="s">
        <v>501</v>
      </c>
      <c r="E17" s="125" t="s">
        <v>502</v>
      </c>
      <c r="F17" s="125" t="s">
        <v>503</v>
      </c>
      <c r="G17" s="124" t="s">
        <v>378</v>
      </c>
      <c r="H17" s="125" t="s">
        <v>10</v>
      </c>
      <c r="I17" s="124" t="s">
        <v>8</v>
      </c>
      <c r="J17" s="124" t="s">
        <v>381</v>
      </c>
      <c r="K17" s="124" t="s">
        <v>0</v>
      </c>
      <c r="L17"/>
      <c r="M17"/>
      <c r="N17"/>
      <c r="O17"/>
      <c r="P17"/>
      <c r="Q17"/>
      <c r="R17"/>
    </row>
    <row r="18" spans="2:18" ht="14.6" x14ac:dyDescent="0.4">
      <c r="B18" s="309">
        <v>1</v>
      </c>
      <c r="C18" s="309">
        <v>0</v>
      </c>
      <c r="D18" s="309" t="s">
        <v>86</v>
      </c>
      <c r="E18" s="309"/>
      <c r="F18" s="309"/>
      <c r="G18" s="309"/>
      <c r="H18" s="309" t="s">
        <v>376</v>
      </c>
      <c r="I18" s="287">
        <v>0</v>
      </c>
      <c r="J18" s="287">
        <v>0</v>
      </c>
      <c r="K18" s="287">
        <v>0</v>
      </c>
      <c r="L18"/>
      <c r="M18"/>
      <c r="N18"/>
      <c r="O18"/>
      <c r="P18"/>
      <c r="Q18"/>
      <c r="R18"/>
    </row>
    <row r="19" spans="2:18" ht="14.6" x14ac:dyDescent="0.4">
      <c r="B19" s="309">
        <v>2</v>
      </c>
      <c r="C19" s="309">
        <v>1</v>
      </c>
      <c r="D19" s="309"/>
      <c r="E19" s="309" t="s">
        <v>505</v>
      </c>
      <c r="F19" s="287"/>
      <c r="G19" s="287"/>
      <c r="H19" s="309" t="s">
        <v>85</v>
      </c>
      <c r="I19" s="309" t="s">
        <v>90</v>
      </c>
      <c r="J19" s="309">
        <v>76.308404590999999</v>
      </c>
      <c r="K19" s="309">
        <v>546.36350000000004</v>
      </c>
      <c r="L19"/>
      <c r="M19"/>
      <c r="N19"/>
      <c r="O19"/>
      <c r="P19"/>
      <c r="Q19"/>
      <c r="R19"/>
    </row>
    <row r="20" spans="2:18" ht="14.6" x14ac:dyDescent="0.4">
      <c r="B20" s="309">
        <v>3</v>
      </c>
      <c r="C20" s="287">
        <v>1</v>
      </c>
      <c r="D20" s="287"/>
      <c r="E20" s="309" t="s">
        <v>807</v>
      </c>
      <c r="F20" s="287"/>
      <c r="G20" s="287"/>
      <c r="H20" s="309" t="s">
        <v>376</v>
      </c>
      <c r="I20" s="309" t="s">
        <v>707</v>
      </c>
      <c r="J20" s="309">
        <v>761.77812787230005</v>
      </c>
      <c r="K20" s="309">
        <v>5736.81675</v>
      </c>
      <c r="L20"/>
      <c r="M20"/>
      <c r="N20"/>
      <c r="O20"/>
      <c r="P20"/>
      <c r="Q20"/>
      <c r="R20"/>
    </row>
    <row r="21" spans="2:18" ht="14.6" x14ac:dyDescent="0.4">
      <c r="B21" s="309">
        <v>45</v>
      </c>
      <c r="C21" s="309">
        <v>0</v>
      </c>
      <c r="D21" s="309" t="s">
        <v>91</v>
      </c>
      <c r="E21" s="309"/>
      <c r="F21" s="287"/>
      <c r="G21" s="287"/>
      <c r="H21" s="287" t="s">
        <v>376</v>
      </c>
      <c r="I21" s="287">
        <v>0</v>
      </c>
      <c r="J21" s="287">
        <v>0</v>
      </c>
      <c r="K21" s="287">
        <v>0</v>
      </c>
      <c r="L21"/>
      <c r="M21"/>
      <c r="N21"/>
      <c r="O21"/>
      <c r="P21"/>
      <c r="Q21"/>
      <c r="R21"/>
    </row>
    <row r="22" spans="2:18" ht="14.6" x14ac:dyDescent="0.4">
      <c r="B22" s="309">
        <v>46</v>
      </c>
      <c r="C22" s="309">
        <v>1</v>
      </c>
      <c r="D22" s="309"/>
      <c r="E22" s="309" t="s">
        <v>506</v>
      </c>
      <c r="F22" s="287"/>
      <c r="G22" s="287"/>
      <c r="H22" s="309" t="s">
        <v>85</v>
      </c>
      <c r="I22" s="287">
        <v>0</v>
      </c>
      <c r="J22" s="287">
        <v>0</v>
      </c>
      <c r="K22" s="287">
        <v>0</v>
      </c>
      <c r="L22"/>
      <c r="M22"/>
      <c r="N22"/>
      <c r="O22"/>
      <c r="P22"/>
      <c r="Q22"/>
      <c r="R22"/>
    </row>
    <row r="23" spans="2:18" ht="14.6" x14ac:dyDescent="0.4">
      <c r="B23" s="309">
        <v>47</v>
      </c>
      <c r="C23" s="309">
        <v>2</v>
      </c>
      <c r="D23" s="287"/>
      <c r="E23" s="309"/>
      <c r="F23" s="309" t="s">
        <v>520</v>
      </c>
      <c r="G23" s="287"/>
      <c r="H23" s="287" t="s">
        <v>85</v>
      </c>
      <c r="I23" s="287">
        <v>0</v>
      </c>
      <c r="J23" s="287">
        <v>0</v>
      </c>
      <c r="K23" s="287">
        <v>0</v>
      </c>
      <c r="L23"/>
      <c r="M23"/>
      <c r="N23"/>
      <c r="O23"/>
      <c r="P23"/>
      <c r="Q23"/>
      <c r="R23"/>
    </row>
    <row r="24" spans="2:18" ht="14.6" x14ac:dyDescent="0.4">
      <c r="B24" s="309">
        <v>48</v>
      </c>
      <c r="C24" s="309">
        <v>3</v>
      </c>
      <c r="D24" s="287"/>
      <c r="E24" s="287"/>
      <c r="F24" s="309"/>
      <c r="G24" s="309" t="s">
        <v>808</v>
      </c>
      <c r="H24" s="309" t="s">
        <v>274</v>
      </c>
      <c r="I24" s="309" t="s">
        <v>95</v>
      </c>
      <c r="J24" s="309">
        <v>3.7042914850000002</v>
      </c>
      <c r="K24" s="309">
        <v>26.522500000000001</v>
      </c>
      <c r="L24"/>
      <c r="M24"/>
      <c r="N24"/>
      <c r="O24"/>
      <c r="P24"/>
      <c r="Q24"/>
      <c r="R24"/>
    </row>
    <row r="25" spans="2:18" ht="14.6" x14ac:dyDescent="0.4">
      <c r="B25" s="309">
        <v>49</v>
      </c>
      <c r="C25" s="287">
        <v>3</v>
      </c>
      <c r="D25" s="287"/>
      <c r="E25" s="287"/>
      <c r="F25" s="287"/>
      <c r="G25" s="309" t="s">
        <v>547</v>
      </c>
      <c r="H25" s="287" t="s">
        <v>274</v>
      </c>
      <c r="I25" s="309" t="s">
        <v>98</v>
      </c>
      <c r="J25" s="309">
        <v>3.20495341182</v>
      </c>
      <c r="K25" s="309">
        <v>22.94727</v>
      </c>
      <c r="L25"/>
      <c r="M25"/>
      <c r="N25"/>
      <c r="O25"/>
      <c r="P25"/>
      <c r="Q25"/>
      <c r="R25"/>
    </row>
    <row r="26" spans="2:18" ht="14.6" x14ac:dyDescent="0.4">
      <c r="B26" s="309">
        <v>50</v>
      </c>
      <c r="C26" s="287">
        <v>3</v>
      </c>
      <c r="D26" s="287"/>
      <c r="E26" s="287"/>
      <c r="F26" s="287"/>
      <c r="G26" s="309" t="s">
        <v>548</v>
      </c>
      <c r="H26" s="309" t="s">
        <v>376</v>
      </c>
      <c r="I26" s="309" t="s">
        <v>708</v>
      </c>
      <c r="J26" s="309">
        <v>0.66393800000000003</v>
      </c>
      <c r="K26" s="309">
        <v>5</v>
      </c>
      <c r="L26"/>
      <c r="M26"/>
      <c r="N26"/>
      <c r="O26"/>
      <c r="P26"/>
      <c r="Q26"/>
      <c r="R26"/>
    </row>
    <row r="27" spans="2:18" ht="14.6" x14ac:dyDescent="0.4">
      <c r="B27" s="309">
        <v>51</v>
      </c>
      <c r="C27" s="309">
        <v>1</v>
      </c>
      <c r="D27" s="287"/>
      <c r="E27" s="309" t="s">
        <v>507</v>
      </c>
      <c r="F27" s="287"/>
      <c r="G27" s="309"/>
      <c r="H27" s="287" t="s">
        <v>376</v>
      </c>
      <c r="I27" s="287">
        <v>0</v>
      </c>
      <c r="J27" s="287">
        <v>0</v>
      </c>
      <c r="K27" s="287">
        <v>0</v>
      </c>
      <c r="L27"/>
      <c r="M27"/>
      <c r="N27"/>
      <c r="O27"/>
      <c r="P27"/>
      <c r="Q27"/>
      <c r="R27"/>
    </row>
    <row r="28" spans="2:18" ht="14.6" x14ac:dyDescent="0.4">
      <c r="B28" s="309">
        <v>52</v>
      </c>
      <c r="C28" s="309">
        <v>2</v>
      </c>
      <c r="D28" s="287"/>
      <c r="E28" s="309"/>
      <c r="F28" s="309" t="s">
        <v>521</v>
      </c>
      <c r="G28" s="287"/>
      <c r="H28" s="287" t="s">
        <v>376</v>
      </c>
      <c r="I28" s="287">
        <v>0</v>
      </c>
      <c r="J28" s="287">
        <v>0</v>
      </c>
      <c r="K28" s="287">
        <v>0</v>
      </c>
      <c r="L28"/>
      <c r="M28"/>
      <c r="N28"/>
      <c r="O28"/>
      <c r="P28"/>
      <c r="Q28"/>
      <c r="R28"/>
    </row>
    <row r="29" spans="2:18" ht="14.6" x14ac:dyDescent="0.4">
      <c r="B29" s="309">
        <v>53</v>
      </c>
      <c r="C29" s="309">
        <v>3</v>
      </c>
      <c r="D29" s="287"/>
      <c r="E29" s="287"/>
      <c r="F29" s="309"/>
      <c r="G29" s="309" t="s">
        <v>549</v>
      </c>
      <c r="H29" s="287" t="s">
        <v>376</v>
      </c>
      <c r="I29" s="309" t="s">
        <v>104</v>
      </c>
      <c r="J29" s="309">
        <v>4.8074294194</v>
      </c>
      <c r="K29" s="309">
        <v>34.420900000000003</v>
      </c>
      <c r="L29"/>
      <c r="M29"/>
      <c r="N29"/>
      <c r="O29"/>
      <c r="P29"/>
      <c r="Q29"/>
      <c r="R29"/>
    </row>
    <row r="30" spans="2:18" ht="14.6" x14ac:dyDescent="0.4">
      <c r="B30" s="309">
        <v>54</v>
      </c>
      <c r="C30" s="287">
        <v>3</v>
      </c>
      <c r="D30" s="287"/>
      <c r="E30" s="287"/>
      <c r="F30" s="287"/>
      <c r="G30" s="309" t="s">
        <v>550</v>
      </c>
      <c r="H30" s="287" t="s">
        <v>376</v>
      </c>
      <c r="I30" s="309" t="s">
        <v>107</v>
      </c>
      <c r="J30" s="309">
        <v>0.80123870212000003</v>
      </c>
      <c r="K30" s="309">
        <v>5.7368199999999998</v>
      </c>
      <c r="L30"/>
      <c r="M30"/>
      <c r="N30"/>
      <c r="O30"/>
      <c r="P30"/>
      <c r="Q30"/>
      <c r="R30"/>
    </row>
    <row r="31" spans="2:18" ht="14.6" x14ac:dyDescent="0.4">
      <c r="B31" s="309">
        <v>55</v>
      </c>
      <c r="C31" s="287">
        <v>3</v>
      </c>
      <c r="D31" s="287"/>
      <c r="E31" s="287"/>
      <c r="F31" s="287"/>
      <c r="G31" s="309" t="s">
        <v>551</v>
      </c>
      <c r="H31" s="287" t="s">
        <v>376</v>
      </c>
      <c r="I31" s="309" t="s">
        <v>95</v>
      </c>
      <c r="J31" s="309">
        <v>2.4037147097</v>
      </c>
      <c r="K31" s="309">
        <v>17.210450000000002</v>
      </c>
      <c r="L31"/>
      <c r="M31"/>
      <c r="N31"/>
      <c r="O31"/>
      <c r="P31"/>
      <c r="Q31"/>
      <c r="R31"/>
    </row>
    <row r="32" spans="2:18" ht="14.6" x14ac:dyDescent="0.4">
      <c r="B32" s="309">
        <v>56</v>
      </c>
      <c r="C32" s="309">
        <v>1</v>
      </c>
      <c r="D32" s="287"/>
      <c r="E32" s="309" t="s">
        <v>508</v>
      </c>
      <c r="F32" s="287"/>
      <c r="G32" s="309"/>
      <c r="H32" s="287" t="s">
        <v>376</v>
      </c>
      <c r="I32" s="287">
        <v>0</v>
      </c>
      <c r="J32" s="287">
        <v>0</v>
      </c>
      <c r="K32" s="287">
        <v>0</v>
      </c>
      <c r="L32"/>
      <c r="M32"/>
      <c r="N32"/>
      <c r="O32"/>
      <c r="P32"/>
      <c r="Q32"/>
      <c r="R32"/>
    </row>
    <row r="33" spans="2:18" ht="14.6" x14ac:dyDescent="0.4">
      <c r="B33" s="309">
        <v>57</v>
      </c>
      <c r="C33" s="309">
        <v>2</v>
      </c>
      <c r="D33" s="287"/>
      <c r="E33" s="309"/>
      <c r="F33" s="309" t="s">
        <v>522</v>
      </c>
      <c r="G33" s="287"/>
      <c r="H33" s="287" t="s">
        <v>376</v>
      </c>
      <c r="I33" s="287">
        <v>0</v>
      </c>
      <c r="J33" s="287">
        <v>0</v>
      </c>
      <c r="K33" s="287">
        <v>0</v>
      </c>
      <c r="L33"/>
      <c r="M33"/>
      <c r="N33"/>
      <c r="O33"/>
      <c r="P33"/>
      <c r="Q33"/>
      <c r="R33"/>
    </row>
    <row r="34" spans="2:18" ht="14.6" x14ac:dyDescent="0.4">
      <c r="B34" s="309">
        <v>58</v>
      </c>
      <c r="C34" s="309">
        <v>3</v>
      </c>
      <c r="D34" s="287"/>
      <c r="E34" s="287"/>
      <c r="F34" s="309"/>
      <c r="G34" s="309" t="s">
        <v>552</v>
      </c>
      <c r="H34" s="287" t="s">
        <v>376</v>
      </c>
      <c r="I34" s="309" t="s">
        <v>95</v>
      </c>
      <c r="J34" s="309">
        <v>4.8074294194</v>
      </c>
      <c r="K34" s="309">
        <v>34.420900000000003</v>
      </c>
      <c r="L34"/>
      <c r="M34"/>
      <c r="N34"/>
      <c r="O34"/>
      <c r="P34"/>
      <c r="Q34"/>
      <c r="R34"/>
    </row>
    <row r="35" spans="2:18" ht="14.6" x14ac:dyDescent="0.4">
      <c r="B35" s="309">
        <v>59</v>
      </c>
      <c r="C35" s="287">
        <v>3</v>
      </c>
      <c r="D35" s="287"/>
      <c r="E35" s="287"/>
      <c r="F35" s="287"/>
      <c r="G35" s="309" t="s">
        <v>553</v>
      </c>
      <c r="H35" s="287" t="s">
        <v>376</v>
      </c>
      <c r="I35" s="309" t="s">
        <v>115</v>
      </c>
      <c r="J35" s="309">
        <v>0</v>
      </c>
      <c r="K35" s="309">
        <v>0</v>
      </c>
      <c r="L35"/>
      <c r="M35"/>
      <c r="N35"/>
      <c r="O35"/>
      <c r="P35"/>
      <c r="Q35"/>
      <c r="R35"/>
    </row>
    <row r="36" spans="2:18" ht="14.6" x14ac:dyDescent="0.4">
      <c r="B36" s="309">
        <v>60</v>
      </c>
      <c r="C36" s="287">
        <v>3</v>
      </c>
      <c r="D36" s="287"/>
      <c r="E36" s="287"/>
      <c r="F36" s="287"/>
      <c r="G36" s="309" t="s">
        <v>554</v>
      </c>
      <c r="H36" s="287" t="s">
        <v>376</v>
      </c>
      <c r="I36" s="309" t="s">
        <v>118</v>
      </c>
      <c r="J36" s="287">
        <v>0</v>
      </c>
      <c r="K36" s="309">
        <v>0</v>
      </c>
      <c r="L36"/>
      <c r="M36"/>
      <c r="N36"/>
      <c r="O36"/>
      <c r="P36"/>
      <c r="Q36"/>
      <c r="R36"/>
    </row>
    <row r="37" spans="2:18" ht="14.6" x14ac:dyDescent="0.4">
      <c r="B37" s="309">
        <v>61</v>
      </c>
      <c r="C37" s="309">
        <v>2</v>
      </c>
      <c r="D37" s="287"/>
      <c r="E37" s="287"/>
      <c r="F37" s="309" t="s">
        <v>523</v>
      </c>
      <c r="G37" s="309"/>
      <c r="H37" s="287" t="s">
        <v>376</v>
      </c>
      <c r="I37" s="287">
        <v>0</v>
      </c>
      <c r="J37" s="287">
        <v>0</v>
      </c>
      <c r="K37" s="287">
        <v>0</v>
      </c>
      <c r="L37"/>
      <c r="M37"/>
      <c r="N37"/>
      <c r="O37"/>
      <c r="P37"/>
      <c r="Q37"/>
      <c r="R37"/>
    </row>
    <row r="38" spans="2:18" ht="14.6" x14ac:dyDescent="0.4">
      <c r="B38" s="309">
        <v>62</v>
      </c>
      <c r="C38" s="309">
        <v>3</v>
      </c>
      <c r="D38" s="287"/>
      <c r="E38" s="287"/>
      <c r="F38" s="309"/>
      <c r="G38" s="309" t="s">
        <v>555</v>
      </c>
      <c r="H38" s="287" t="s">
        <v>376</v>
      </c>
      <c r="I38" s="309" t="s">
        <v>121</v>
      </c>
      <c r="J38" s="309">
        <v>160.2476496411</v>
      </c>
      <c r="K38" s="309">
        <v>1147.3633500000001</v>
      </c>
      <c r="L38"/>
      <c r="M38"/>
      <c r="N38"/>
      <c r="O38"/>
      <c r="P38"/>
      <c r="Q38"/>
      <c r="R38"/>
    </row>
    <row r="39" spans="2:18" ht="14.6" x14ac:dyDescent="0.4">
      <c r="B39" s="309">
        <v>63</v>
      </c>
      <c r="C39" s="309">
        <v>2</v>
      </c>
      <c r="D39" s="287"/>
      <c r="E39" s="287"/>
      <c r="F39" s="309" t="s">
        <v>524</v>
      </c>
      <c r="G39" s="309"/>
      <c r="H39" s="287" t="s">
        <v>376</v>
      </c>
      <c r="I39" s="287">
        <v>0</v>
      </c>
      <c r="J39" s="287">
        <v>0</v>
      </c>
      <c r="K39" s="287">
        <v>0</v>
      </c>
      <c r="L39"/>
      <c r="M39"/>
      <c r="N39"/>
      <c r="O39"/>
      <c r="P39"/>
      <c r="Q39"/>
      <c r="R39"/>
    </row>
    <row r="40" spans="2:18" ht="14.6" x14ac:dyDescent="0.4">
      <c r="B40" s="309">
        <v>64</v>
      </c>
      <c r="C40" s="309">
        <v>3</v>
      </c>
      <c r="D40" s="287"/>
      <c r="E40" s="287"/>
      <c r="F40" s="309"/>
      <c r="G40" s="309" t="s">
        <v>556</v>
      </c>
      <c r="H40" s="287" t="s">
        <v>376</v>
      </c>
      <c r="I40" s="309" t="s">
        <v>118</v>
      </c>
      <c r="J40" s="287">
        <v>0</v>
      </c>
      <c r="K40" s="309">
        <v>0</v>
      </c>
      <c r="L40"/>
      <c r="M40"/>
      <c r="N40"/>
      <c r="O40"/>
      <c r="P40"/>
      <c r="Q40"/>
      <c r="R40"/>
    </row>
    <row r="41" spans="2:18" ht="14.6" x14ac:dyDescent="0.4">
      <c r="B41" s="309">
        <v>65</v>
      </c>
      <c r="C41" s="287">
        <v>3</v>
      </c>
      <c r="D41" s="287"/>
      <c r="E41" s="287"/>
      <c r="F41" s="287"/>
      <c r="G41" s="309" t="s">
        <v>557</v>
      </c>
      <c r="H41" s="287" t="s">
        <v>376</v>
      </c>
      <c r="I41" s="287" t="s">
        <v>118</v>
      </c>
      <c r="J41" s="287">
        <v>0</v>
      </c>
      <c r="K41" s="309">
        <v>0</v>
      </c>
      <c r="L41"/>
      <c r="M41"/>
      <c r="N41"/>
      <c r="O41"/>
      <c r="P41"/>
      <c r="Q41"/>
      <c r="R41"/>
    </row>
    <row r="42" spans="2:18" ht="14.6" x14ac:dyDescent="0.4">
      <c r="B42" s="309">
        <v>66</v>
      </c>
      <c r="C42" s="309">
        <v>1</v>
      </c>
      <c r="D42" s="287"/>
      <c r="E42" s="309" t="s">
        <v>509</v>
      </c>
      <c r="F42" s="287"/>
      <c r="G42" s="309"/>
      <c r="H42" s="287" t="s">
        <v>376</v>
      </c>
      <c r="I42" s="287">
        <v>0</v>
      </c>
      <c r="J42" s="287">
        <v>0</v>
      </c>
      <c r="K42" s="287">
        <v>0</v>
      </c>
      <c r="L42"/>
      <c r="M42"/>
      <c r="N42"/>
      <c r="O42"/>
      <c r="P42"/>
      <c r="Q42"/>
      <c r="R42"/>
    </row>
    <row r="43" spans="2:18" ht="14.6" x14ac:dyDescent="0.4">
      <c r="B43" s="309">
        <v>67</v>
      </c>
      <c r="C43" s="309">
        <v>2</v>
      </c>
      <c r="D43" s="287"/>
      <c r="E43" s="309"/>
      <c r="F43" s="309" t="s">
        <v>525</v>
      </c>
      <c r="G43" s="287"/>
      <c r="H43" s="287" t="s">
        <v>376</v>
      </c>
      <c r="I43" s="287">
        <v>0</v>
      </c>
      <c r="J43" s="287">
        <v>0</v>
      </c>
      <c r="K43" s="287">
        <v>0</v>
      </c>
      <c r="L43"/>
      <c r="M43"/>
      <c r="N43"/>
      <c r="O43"/>
      <c r="P43"/>
      <c r="Q43"/>
      <c r="R43"/>
    </row>
    <row r="44" spans="2:18" ht="14.6" x14ac:dyDescent="0.4">
      <c r="B44" s="309">
        <v>68</v>
      </c>
      <c r="C44" s="309">
        <v>3</v>
      </c>
      <c r="D44" s="287"/>
      <c r="E44" s="287"/>
      <c r="F44" s="309"/>
      <c r="G44" s="309" t="s">
        <v>558</v>
      </c>
      <c r="H44" s="287" t="s">
        <v>376</v>
      </c>
      <c r="I44" s="309" t="s">
        <v>107</v>
      </c>
      <c r="J44" s="309">
        <v>1.60247600758</v>
      </c>
      <c r="K44" s="309">
        <v>11.47363</v>
      </c>
      <c r="L44"/>
      <c r="M44"/>
      <c r="N44"/>
      <c r="O44"/>
      <c r="P44"/>
      <c r="Q44"/>
      <c r="R44"/>
    </row>
    <row r="45" spans="2:18" ht="14.6" x14ac:dyDescent="0.4">
      <c r="B45" s="309">
        <v>69</v>
      </c>
      <c r="C45" s="287">
        <v>3</v>
      </c>
      <c r="D45" s="287"/>
      <c r="E45" s="287"/>
      <c r="F45" s="287"/>
      <c r="G45" s="309" t="s">
        <v>559</v>
      </c>
      <c r="H45" s="287" t="s">
        <v>376</v>
      </c>
      <c r="I45" s="309" t="s">
        <v>130</v>
      </c>
      <c r="J45" s="309">
        <v>6.40990542698</v>
      </c>
      <c r="K45" s="309">
        <v>45.894530000000003</v>
      </c>
      <c r="L45"/>
      <c r="M45"/>
      <c r="N45"/>
      <c r="O45"/>
      <c r="P45"/>
      <c r="Q45"/>
      <c r="R45"/>
    </row>
    <row r="46" spans="2:18" ht="14.6" x14ac:dyDescent="0.4">
      <c r="B46" s="309">
        <v>70</v>
      </c>
      <c r="C46" s="287">
        <v>3</v>
      </c>
      <c r="D46" s="287"/>
      <c r="E46" s="287"/>
      <c r="F46" s="287"/>
      <c r="G46" s="309" t="s">
        <v>560</v>
      </c>
      <c r="H46" s="287" t="s">
        <v>376</v>
      </c>
      <c r="I46" s="309" t="s">
        <v>115</v>
      </c>
      <c r="J46" s="309">
        <v>3.20495341182</v>
      </c>
      <c r="K46" s="309">
        <v>22.94727</v>
      </c>
      <c r="L46"/>
      <c r="M46"/>
      <c r="N46"/>
      <c r="O46"/>
      <c r="P46"/>
      <c r="Q46"/>
      <c r="R46"/>
    </row>
    <row r="47" spans="2:18" ht="14.6" x14ac:dyDescent="0.4">
      <c r="B47" s="309">
        <v>71</v>
      </c>
      <c r="C47" s="309">
        <v>1</v>
      </c>
      <c r="D47" s="287"/>
      <c r="E47" s="309" t="s">
        <v>510</v>
      </c>
      <c r="F47" s="287"/>
      <c r="G47" s="309"/>
      <c r="H47" s="287" t="s">
        <v>376</v>
      </c>
      <c r="I47" s="287">
        <v>0</v>
      </c>
      <c r="J47" s="287">
        <v>0</v>
      </c>
      <c r="K47" s="287">
        <v>0</v>
      </c>
      <c r="L47"/>
      <c r="M47"/>
      <c r="N47"/>
      <c r="O47"/>
      <c r="P47"/>
      <c r="Q47"/>
      <c r="R47"/>
    </row>
    <row r="48" spans="2:18" ht="14.6" x14ac:dyDescent="0.4">
      <c r="B48" s="309">
        <v>72</v>
      </c>
      <c r="C48" s="309">
        <v>2</v>
      </c>
      <c r="D48" s="287"/>
      <c r="E48" s="309"/>
      <c r="F48" s="309" t="s">
        <v>526</v>
      </c>
      <c r="G48" s="287"/>
      <c r="H48" s="287" t="s">
        <v>376</v>
      </c>
      <c r="I48" s="287">
        <v>0</v>
      </c>
      <c r="J48" s="287">
        <v>0</v>
      </c>
      <c r="K48" s="287">
        <v>0</v>
      </c>
      <c r="L48"/>
      <c r="M48"/>
      <c r="N48"/>
      <c r="O48"/>
      <c r="P48"/>
      <c r="Q48"/>
      <c r="R48"/>
    </row>
    <row r="49" spans="2:18" ht="14.6" x14ac:dyDescent="0.4">
      <c r="B49" s="309">
        <v>73</v>
      </c>
      <c r="C49" s="309">
        <v>3</v>
      </c>
      <c r="D49" s="287"/>
      <c r="E49" s="287"/>
      <c r="F49" s="309"/>
      <c r="G49" s="309" t="s">
        <v>561</v>
      </c>
      <c r="H49" s="287" t="s">
        <v>376</v>
      </c>
      <c r="I49" s="309" t="s">
        <v>137</v>
      </c>
      <c r="J49" s="309">
        <v>4.8074294194</v>
      </c>
      <c r="K49" s="309">
        <v>34.420900000000003</v>
      </c>
      <c r="L49"/>
      <c r="M49"/>
      <c r="N49"/>
      <c r="O49"/>
      <c r="P49"/>
      <c r="Q49"/>
      <c r="R49"/>
    </row>
    <row r="50" spans="2:18" ht="14.6" x14ac:dyDescent="0.4">
      <c r="B50" s="309">
        <v>74</v>
      </c>
      <c r="C50" s="287">
        <v>3</v>
      </c>
      <c r="D50" s="287"/>
      <c r="E50" s="287"/>
      <c r="F50" s="287"/>
      <c r="G50" s="309" t="s">
        <v>562</v>
      </c>
      <c r="H50" s="287" t="s">
        <v>376</v>
      </c>
      <c r="I50" s="309" t="s">
        <v>140</v>
      </c>
      <c r="J50" s="309">
        <v>1.60247600758</v>
      </c>
      <c r="K50" s="309">
        <v>11.47363</v>
      </c>
      <c r="L50"/>
      <c r="M50"/>
      <c r="N50"/>
      <c r="O50"/>
      <c r="P50"/>
      <c r="Q50"/>
      <c r="R50"/>
    </row>
    <row r="51" spans="2:18" ht="14.6" x14ac:dyDescent="0.4">
      <c r="B51" s="309">
        <v>75</v>
      </c>
      <c r="C51" s="287">
        <v>3</v>
      </c>
      <c r="D51" s="287"/>
      <c r="E51" s="287"/>
      <c r="F51" s="287"/>
      <c r="G51" s="309" t="s">
        <v>563</v>
      </c>
      <c r="H51" s="287" t="s">
        <v>376</v>
      </c>
      <c r="I51" s="309" t="s">
        <v>143</v>
      </c>
      <c r="J51" s="309">
        <v>0.24037216930000002</v>
      </c>
      <c r="K51" s="309">
        <v>1.72105</v>
      </c>
      <c r="L51"/>
      <c r="M51"/>
      <c r="N51"/>
      <c r="O51"/>
      <c r="P51"/>
      <c r="Q51"/>
      <c r="R51"/>
    </row>
    <row r="52" spans="2:18" ht="14.6" x14ac:dyDescent="0.4">
      <c r="B52" s="309">
        <v>76</v>
      </c>
      <c r="C52" s="287">
        <v>3</v>
      </c>
      <c r="D52" s="287"/>
      <c r="E52" s="287"/>
      <c r="F52" s="287"/>
      <c r="G52" s="309" t="s">
        <v>564</v>
      </c>
      <c r="H52" s="287" t="s">
        <v>376</v>
      </c>
      <c r="I52" s="309" t="s">
        <v>140</v>
      </c>
      <c r="J52" s="309">
        <v>1.2018580531800001</v>
      </c>
      <c r="K52" s="309">
        <v>8.6052300000000006</v>
      </c>
      <c r="L52"/>
      <c r="M52"/>
      <c r="N52"/>
      <c r="O52"/>
      <c r="P52"/>
      <c r="Q52"/>
      <c r="R52"/>
    </row>
    <row r="53" spans="2:18" ht="14.6" x14ac:dyDescent="0.4">
      <c r="B53" s="309">
        <v>77</v>
      </c>
      <c r="C53" s="287">
        <v>3</v>
      </c>
      <c r="D53" s="287"/>
      <c r="E53" s="287"/>
      <c r="F53" s="287"/>
      <c r="G53" s="309" t="s">
        <v>563</v>
      </c>
      <c r="H53" s="287" t="s">
        <v>376</v>
      </c>
      <c r="I53" s="309" t="s">
        <v>143</v>
      </c>
      <c r="J53" s="309">
        <v>0.16024718176</v>
      </c>
      <c r="K53" s="309">
        <v>1.1473599999999999</v>
      </c>
      <c r="L53"/>
      <c r="M53"/>
      <c r="N53"/>
      <c r="O53"/>
      <c r="P53"/>
      <c r="Q53"/>
      <c r="R53"/>
    </row>
    <row r="54" spans="2:18" ht="14.6" x14ac:dyDescent="0.4">
      <c r="B54" s="309">
        <v>78</v>
      </c>
      <c r="C54" s="287">
        <v>3</v>
      </c>
      <c r="D54" s="287"/>
      <c r="E54" s="287"/>
      <c r="F54" s="287"/>
      <c r="G54" s="309" t="s">
        <v>565</v>
      </c>
      <c r="H54" s="287" t="s">
        <v>376</v>
      </c>
      <c r="I54" s="309" t="s">
        <v>140</v>
      </c>
      <c r="J54" s="309">
        <v>0.80123870212000003</v>
      </c>
      <c r="K54" s="309">
        <v>5.7368199999999998</v>
      </c>
      <c r="L54"/>
      <c r="M54"/>
      <c r="N54"/>
      <c r="O54"/>
      <c r="P54"/>
      <c r="Q54"/>
      <c r="R54"/>
    </row>
    <row r="55" spans="2:18" ht="14.6" x14ac:dyDescent="0.4">
      <c r="B55" s="309">
        <v>79</v>
      </c>
      <c r="C55" s="287">
        <v>3</v>
      </c>
      <c r="D55" s="287"/>
      <c r="E55" s="287"/>
      <c r="F55" s="287"/>
      <c r="G55" s="309" t="s">
        <v>563</v>
      </c>
      <c r="H55" s="287" t="s">
        <v>376</v>
      </c>
      <c r="I55" s="309" t="s">
        <v>143</v>
      </c>
      <c r="J55" s="309">
        <v>8.0123590879999998E-2</v>
      </c>
      <c r="K55" s="309">
        <v>0.57367999999999997</v>
      </c>
      <c r="L55"/>
      <c r="M55"/>
      <c r="N55"/>
      <c r="O55"/>
      <c r="P55"/>
      <c r="Q55"/>
      <c r="R55"/>
    </row>
    <row r="56" spans="2:18" ht="14.6" x14ac:dyDescent="0.4">
      <c r="B56" s="309">
        <v>80</v>
      </c>
      <c r="C56" s="287">
        <v>3</v>
      </c>
      <c r="D56" s="287"/>
      <c r="E56" s="287"/>
      <c r="F56" s="287"/>
      <c r="G56" s="309" t="s">
        <v>566</v>
      </c>
      <c r="H56" s="287" t="s">
        <v>376</v>
      </c>
      <c r="I56" s="309" t="s">
        <v>140</v>
      </c>
      <c r="J56" s="309">
        <v>0.32049576018000003</v>
      </c>
      <c r="K56" s="309">
        <v>2.2947299999999999</v>
      </c>
      <c r="L56"/>
      <c r="M56"/>
      <c r="N56"/>
      <c r="O56"/>
      <c r="P56"/>
      <c r="Q56"/>
      <c r="R56"/>
    </row>
    <row r="57" spans="2:18" ht="14.6" x14ac:dyDescent="0.4">
      <c r="B57" s="309">
        <v>81</v>
      </c>
      <c r="C57" s="287">
        <v>3</v>
      </c>
      <c r="D57" s="287"/>
      <c r="E57" s="287"/>
      <c r="F57" s="287"/>
      <c r="G57" s="309" t="s">
        <v>563</v>
      </c>
      <c r="H57" s="287" t="s">
        <v>376</v>
      </c>
      <c r="I57" s="309" t="s">
        <v>143</v>
      </c>
      <c r="J57" s="309">
        <v>3.2049157019999996E-2</v>
      </c>
      <c r="K57" s="309">
        <v>0.22947000000000001</v>
      </c>
      <c r="L57"/>
      <c r="M57"/>
      <c r="N57"/>
      <c r="O57"/>
      <c r="P57"/>
      <c r="Q57"/>
      <c r="R57"/>
    </row>
    <row r="58" spans="2:18" ht="14.6" x14ac:dyDescent="0.4">
      <c r="B58" s="309">
        <v>82</v>
      </c>
      <c r="C58" s="287">
        <v>3</v>
      </c>
      <c r="D58" s="287"/>
      <c r="E58" s="287"/>
      <c r="F58" s="287"/>
      <c r="G58" s="309" t="s">
        <v>567</v>
      </c>
      <c r="H58" s="287" t="s">
        <v>376</v>
      </c>
      <c r="I58" s="309" t="s">
        <v>149</v>
      </c>
      <c r="J58" s="309">
        <v>4.8074294194</v>
      </c>
      <c r="K58" s="309">
        <v>34.420900000000003</v>
      </c>
      <c r="L58"/>
      <c r="M58"/>
      <c r="N58"/>
      <c r="O58"/>
      <c r="P58"/>
      <c r="Q58"/>
      <c r="R58"/>
    </row>
    <row r="59" spans="2:18" ht="14.6" x14ac:dyDescent="0.4">
      <c r="B59" s="309">
        <v>83</v>
      </c>
      <c r="C59" s="309">
        <v>1</v>
      </c>
      <c r="D59" s="287"/>
      <c r="E59" s="309" t="s">
        <v>511</v>
      </c>
      <c r="F59" s="287"/>
      <c r="G59" s="309"/>
      <c r="H59" s="287" t="s">
        <v>376</v>
      </c>
      <c r="I59" s="287">
        <v>0</v>
      </c>
      <c r="J59" s="287">
        <v>0</v>
      </c>
      <c r="K59" s="287">
        <v>0</v>
      </c>
      <c r="L59"/>
      <c r="M59"/>
      <c r="N59"/>
      <c r="O59"/>
      <c r="P59"/>
      <c r="Q59"/>
      <c r="R59"/>
    </row>
    <row r="60" spans="2:18" ht="14.6" x14ac:dyDescent="0.4">
      <c r="B60" s="309">
        <v>84</v>
      </c>
      <c r="C60" s="309">
        <v>3</v>
      </c>
      <c r="D60" s="287"/>
      <c r="E60" s="309"/>
      <c r="F60" s="287"/>
      <c r="G60" s="309" t="s">
        <v>568</v>
      </c>
      <c r="H60" s="287" t="s">
        <v>376</v>
      </c>
      <c r="I60" s="309" t="s">
        <v>153</v>
      </c>
      <c r="J60" s="309">
        <v>9.6148588388</v>
      </c>
      <c r="K60" s="309">
        <v>68.841800000000006</v>
      </c>
      <c r="L60"/>
      <c r="M60"/>
      <c r="N60"/>
      <c r="O60"/>
      <c r="P60"/>
      <c r="Q60"/>
      <c r="R60"/>
    </row>
    <row r="61" spans="2:18" ht="14.6" x14ac:dyDescent="0.4">
      <c r="B61" s="309">
        <v>85</v>
      </c>
      <c r="C61" s="309">
        <v>1</v>
      </c>
      <c r="D61" s="287"/>
      <c r="E61" s="309" t="s">
        <v>512</v>
      </c>
      <c r="F61" s="287"/>
      <c r="G61" s="309"/>
      <c r="H61" s="287" t="s">
        <v>376</v>
      </c>
      <c r="I61" s="287">
        <v>0</v>
      </c>
      <c r="J61" s="287">
        <v>0</v>
      </c>
      <c r="K61" s="287">
        <v>0</v>
      </c>
      <c r="L61"/>
      <c r="M61"/>
      <c r="N61"/>
      <c r="O61"/>
      <c r="P61"/>
      <c r="Q61"/>
      <c r="R61"/>
    </row>
    <row r="62" spans="2:18" ht="14.6" x14ac:dyDescent="0.4">
      <c r="B62" s="309">
        <v>86</v>
      </c>
      <c r="C62" s="309">
        <v>3</v>
      </c>
      <c r="D62" s="287"/>
      <c r="E62" s="309"/>
      <c r="F62" s="287"/>
      <c r="G62" s="309" t="s">
        <v>569</v>
      </c>
      <c r="H62" s="287" t="s">
        <v>376</v>
      </c>
      <c r="I62" s="309" t="s">
        <v>710</v>
      </c>
      <c r="J62" s="309">
        <v>0.25894076399999999</v>
      </c>
      <c r="K62" s="309">
        <v>1.8540000000000001</v>
      </c>
      <c r="L62"/>
      <c r="M62"/>
      <c r="N62"/>
      <c r="O62"/>
      <c r="P62"/>
      <c r="Q62"/>
      <c r="R62"/>
    </row>
    <row r="63" spans="2:18" ht="14.6" x14ac:dyDescent="0.4">
      <c r="B63" s="309">
        <v>87</v>
      </c>
      <c r="C63" s="287">
        <v>3</v>
      </c>
      <c r="D63" s="287"/>
      <c r="E63" s="287"/>
      <c r="F63" s="287"/>
      <c r="G63" s="309" t="s">
        <v>570</v>
      </c>
      <c r="H63" s="287" t="s">
        <v>376</v>
      </c>
      <c r="I63" s="287" t="s">
        <v>710</v>
      </c>
      <c r="J63" s="309">
        <v>0.21578396999999999</v>
      </c>
      <c r="K63" s="309">
        <v>1.5449999999999999</v>
      </c>
      <c r="L63"/>
      <c r="M63"/>
      <c r="N63"/>
      <c r="O63"/>
      <c r="P63"/>
      <c r="Q63"/>
      <c r="R63"/>
    </row>
    <row r="64" spans="2:18" ht="14.6" x14ac:dyDescent="0.4">
      <c r="B64" s="309">
        <v>88</v>
      </c>
      <c r="C64" s="287">
        <v>3</v>
      </c>
      <c r="D64" s="287"/>
      <c r="E64" s="287"/>
      <c r="F64" s="287"/>
      <c r="G64" s="309" t="s">
        <v>571</v>
      </c>
      <c r="H64" s="287" t="s">
        <v>376</v>
      </c>
      <c r="I64" s="287" t="s">
        <v>710</v>
      </c>
      <c r="J64" s="309">
        <v>0.12947038199999999</v>
      </c>
      <c r="K64" s="309">
        <v>0.92700000000000005</v>
      </c>
      <c r="L64"/>
      <c r="M64"/>
      <c r="N64"/>
      <c r="O64"/>
      <c r="P64"/>
      <c r="Q64"/>
      <c r="R64"/>
    </row>
    <row r="65" spans="2:18" ht="14.6" x14ac:dyDescent="0.4">
      <c r="B65" s="309">
        <v>89</v>
      </c>
      <c r="C65" s="287">
        <v>3</v>
      </c>
      <c r="D65" s="287"/>
      <c r="E65" s="287"/>
      <c r="F65" s="287"/>
      <c r="G65" s="309" t="s">
        <v>572</v>
      </c>
      <c r="H65" s="287" t="s">
        <v>376</v>
      </c>
      <c r="I65" s="287" t="s">
        <v>710</v>
      </c>
      <c r="J65" s="309">
        <v>0.100699186</v>
      </c>
      <c r="K65" s="309">
        <v>0.72099999999999997</v>
      </c>
      <c r="L65"/>
      <c r="M65"/>
      <c r="N65"/>
      <c r="O65"/>
      <c r="P65"/>
      <c r="Q65"/>
      <c r="R65"/>
    </row>
    <row r="66" spans="2:18" ht="14.6" x14ac:dyDescent="0.4">
      <c r="B66" s="309">
        <v>90</v>
      </c>
      <c r="C66" s="309">
        <v>0</v>
      </c>
      <c r="D66" s="309" t="s">
        <v>160</v>
      </c>
      <c r="E66" s="287"/>
      <c r="F66" s="287"/>
      <c r="G66" s="309"/>
      <c r="H66" s="287" t="s">
        <v>376</v>
      </c>
      <c r="I66" s="287">
        <v>0</v>
      </c>
      <c r="J66" s="287">
        <v>0</v>
      </c>
      <c r="K66" s="287">
        <v>0</v>
      </c>
      <c r="L66"/>
      <c r="M66"/>
      <c r="N66"/>
      <c r="O66"/>
      <c r="P66"/>
      <c r="Q66"/>
      <c r="R66"/>
    </row>
    <row r="67" spans="2:18" ht="14.6" x14ac:dyDescent="0.4">
      <c r="B67" s="309">
        <v>91</v>
      </c>
      <c r="C67" s="309">
        <v>1</v>
      </c>
      <c r="D67" s="309"/>
      <c r="E67" s="309" t="s">
        <v>513</v>
      </c>
      <c r="F67" s="287"/>
      <c r="G67" s="287"/>
      <c r="H67" s="287" t="s">
        <v>376</v>
      </c>
      <c r="I67" s="287">
        <v>0</v>
      </c>
      <c r="J67" s="287">
        <v>0</v>
      </c>
      <c r="K67" s="287">
        <v>0</v>
      </c>
      <c r="L67"/>
      <c r="M67"/>
      <c r="N67"/>
      <c r="O67"/>
      <c r="P67"/>
      <c r="Q67"/>
      <c r="R67"/>
    </row>
    <row r="68" spans="2:18" ht="14.6" x14ac:dyDescent="0.4">
      <c r="B68" s="309">
        <v>92</v>
      </c>
      <c r="C68" s="309">
        <v>2</v>
      </c>
      <c r="D68" s="287"/>
      <c r="E68" s="309"/>
      <c r="F68" s="309" t="s">
        <v>527</v>
      </c>
      <c r="G68" s="287"/>
      <c r="H68" s="287" t="s">
        <v>376</v>
      </c>
      <c r="I68" s="287">
        <v>0</v>
      </c>
      <c r="J68" s="287">
        <v>0</v>
      </c>
      <c r="K68" s="287">
        <v>0</v>
      </c>
      <c r="L68"/>
      <c r="M68"/>
      <c r="N68"/>
      <c r="O68"/>
      <c r="P68"/>
      <c r="Q68"/>
      <c r="R68"/>
    </row>
    <row r="69" spans="2:18" ht="14.6" x14ac:dyDescent="0.4">
      <c r="B69" s="309">
        <v>93</v>
      </c>
      <c r="C69" s="309">
        <v>3</v>
      </c>
      <c r="D69" s="287"/>
      <c r="E69" s="287"/>
      <c r="F69" s="309"/>
      <c r="G69" s="309" t="s">
        <v>573</v>
      </c>
      <c r="H69" s="287" t="s">
        <v>376</v>
      </c>
      <c r="I69" s="309" t="s">
        <v>164</v>
      </c>
      <c r="J69" s="287">
        <v>0</v>
      </c>
      <c r="K69" s="309">
        <v>0</v>
      </c>
      <c r="L69"/>
      <c r="M69"/>
      <c r="N69"/>
      <c r="O69"/>
      <c r="P69"/>
      <c r="Q69"/>
      <c r="R69"/>
    </row>
    <row r="70" spans="2:18" ht="14.6" x14ac:dyDescent="0.4">
      <c r="B70" s="309">
        <v>94</v>
      </c>
      <c r="C70" s="309">
        <v>1</v>
      </c>
      <c r="D70" s="287"/>
      <c r="E70" s="309" t="s">
        <v>514</v>
      </c>
      <c r="F70" s="287"/>
      <c r="G70" s="309"/>
      <c r="H70" s="287" t="s">
        <v>376</v>
      </c>
      <c r="I70" s="287">
        <v>0</v>
      </c>
      <c r="J70" s="287">
        <v>0</v>
      </c>
      <c r="K70" s="287">
        <v>0</v>
      </c>
      <c r="L70"/>
      <c r="M70"/>
      <c r="N70"/>
      <c r="O70"/>
      <c r="P70"/>
      <c r="Q70"/>
      <c r="R70"/>
    </row>
    <row r="71" spans="2:18" ht="14.6" x14ac:dyDescent="0.4">
      <c r="B71" s="309">
        <v>95</v>
      </c>
      <c r="C71" s="309">
        <v>2</v>
      </c>
      <c r="D71" s="287"/>
      <c r="E71" s="309"/>
      <c r="F71" s="309" t="s">
        <v>528</v>
      </c>
      <c r="G71" s="287"/>
      <c r="H71" s="287" t="s">
        <v>376</v>
      </c>
      <c r="I71" s="287">
        <v>0</v>
      </c>
      <c r="J71" s="287">
        <v>0</v>
      </c>
      <c r="K71" s="287">
        <v>0</v>
      </c>
      <c r="L71"/>
      <c r="M71"/>
      <c r="N71"/>
      <c r="O71"/>
      <c r="P71"/>
      <c r="Q71"/>
      <c r="R71"/>
    </row>
    <row r="72" spans="2:18" ht="14.6" x14ac:dyDescent="0.4">
      <c r="B72" s="309">
        <v>96</v>
      </c>
      <c r="C72" s="309">
        <v>3</v>
      </c>
      <c r="D72" s="287"/>
      <c r="E72" s="287"/>
      <c r="F72" s="309"/>
      <c r="G72" s="309" t="s">
        <v>574</v>
      </c>
      <c r="H72" s="287" t="s">
        <v>376</v>
      </c>
      <c r="I72" s="309" t="s">
        <v>168</v>
      </c>
      <c r="J72" s="309">
        <v>4.8074294194</v>
      </c>
      <c r="K72" s="309">
        <v>34.420900000000003</v>
      </c>
      <c r="L72"/>
      <c r="M72"/>
      <c r="N72"/>
      <c r="O72"/>
      <c r="P72"/>
      <c r="Q72"/>
      <c r="R72"/>
    </row>
    <row r="73" spans="2:18" ht="14.6" x14ac:dyDescent="0.4">
      <c r="B73" s="309">
        <v>97</v>
      </c>
      <c r="C73" s="287">
        <v>3</v>
      </c>
      <c r="D73" s="287"/>
      <c r="E73" s="287"/>
      <c r="F73" s="287"/>
      <c r="G73" s="309" t="s">
        <v>575</v>
      </c>
      <c r="H73" s="287" t="s">
        <v>376</v>
      </c>
      <c r="I73" s="309" t="s">
        <v>171</v>
      </c>
      <c r="J73" s="309">
        <v>2.4037147097</v>
      </c>
      <c r="K73" s="309">
        <v>17.210450000000002</v>
      </c>
      <c r="L73"/>
      <c r="M73"/>
      <c r="N73"/>
      <c r="O73"/>
      <c r="P73"/>
      <c r="Q73"/>
      <c r="R73"/>
    </row>
    <row r="74" spans="2:18" ht="14.6" x14ac:dyDescent="0.4">
      <c r="B74" s="309">
        <v>98</v>
      </c>
      <c r="C74" s="287">
        <v>3</v>
      </c>
      <c r="D74" s="287"/>
      <c r="E74" s="287"/>
      <c r="F74" s="287"/>
      <c r="G74" s="309" t="s">
        <v>576</v>
      </c>
      <c r="H74" s="287" t="s">
        <v>376</v>
      </c>
      <c r="I74" s="287" t="s">
        <v>171</v>
      </c>
      <c r="J74" s="287">
        <v>2.4037147097</v>
      </c>
      <c r="K74" s="309">
        <v>17.210450000000002</v>
      </c>
      <c r="L74"/>
      <c r="M74"/>
      <c r="N74"/>
      <c r="O74"/>
      <c r="P74"/>
      <c r="Q74"/>
      <c r="R74"/>
    </row>
    <row r="75" spans="2:18" ht="14.6" x14ac:dyDescent="0.4">
      <c r="B75" s="309">
        <v>99</v>
      </c>
      <c r="C75" s="309">
        <v>1</v>
      </c>
      <c r="D75" s="287"/>
      <c r="E75" s="309" t="s">
        <v>515</v>
      </c>
      <c r="F75" s="287"/>
      <c r="G75" s="309"/>
      <c r="H75" s="287" t="s">
        <v>376</v>
      </c>
      <c r="I75" s="287">
        <v>0</v>
      </c>
      <c r="J75" s="287">
        <v>0</v>
      </c>
      <c r="K75" s="287">
        <v>0</v>
      </c>
      <c r="L75"/>
      <c r="M75"/>
      <c r="N75"/>
      <c r="O75"/>
      <c r="P75"/>
      <c r="Q75"/>
      <c r="R75"/>
    </row>
    <row r="76" spans="2:18" ht="14.6" x14ac:dyDescent="0.4">
      <c r="B76" s="309">
        <v>100</v>
      </c>
      <c r="C76" s="309">
        <v>2</v>
      </c>
      <c r="D76" s="287"/>
      <c r="E76" s="309"/>
      <c r="F76" s="309" t="s">
        <v>529</v>
      </c>
      <c r="G76" s="287"/>
      <c r="H76" s="287" t="s">
        <v>376</v>
      </c>
      <c r="I76" s="287">
        <v>0</v>
      </c>
      <c r="J76" s="287">
        <v>0</v>
      </c>
      <c r="K76" s="287">
        <v>0</v>
      </c>
      <c r="L76"/>
      <c r="M76"/>
      <c r="N76"/>
      <c r="O76"/>
      <c r="P76"/>
      <c r="Q76"/>
      <c r="R76"/>
    </row>
    <row r="77" spans="2:18" ht="14.6" x14ac:dyDescent="0.4">
      <c r="B77" s="309">
        <v>101</v>
      </c>
      <c r="C77" s="309">
        <v>3</v>
      </c>
      <c r="D77" s="287"/>
      <c r="E77" s="287"/>
      <c r="F77" s="309"/>
      <c r="G77" s="309" t="s">
        <v>809</v>
      </c>
      <c r="H77" s="287" t="s">
        <v>376</v>
      </c>
      <c r="I77" s="309" t="s">
        <v>177</v>
      </c>
      <c r="J77" s="309">
        <v>3.7042914850000002</v>
      </c>
      <c r="K77" s="309">
        <v>26.522500000000001</v>
      </c>
      <c r="L77"/>
      <c r="M77"/>
      <c r="N77"/>
      <c r="O77"/>
      <c r="P77"/>
      <c r="Q77"/>
      <c r="R77"/>
    </row>
    <row r="78" spans="2:18" ht="14.6" x14ac:dyDescent="0.4">
      <c r="B78" s="309">
        <v>102</v>
      </c>
      <c r="C78" s="287">
        <v>3</v>
      </c>
      <c r="D78" s="287"/>
      <c r="E78" s="287"/>
      <c r="F78" s="287"/>
      <c r="G78" s="309" t="s">
        <v>810</v>
      </c>
      <c r="H78" s="287" t="s">
        <v>376</v>
      </c>
      <c r="I78" s="287" t="s">
        <v>177</v>
      </c>
      <c r="J78" s="287">
        <v>3.7042914850000002</v>
      </c>
      <c r="K78" s="309">
        <v>26.522500000000001</v>
      </c>
      <c r="L78"/>
      <c r="M78"/>
      <c r="N78"/>
      <c r="O78"/>
      <c r="P78"/>
      <c r="Q78"/>
      <c r="R78"/>
    </row>
    <row r="79" spans="2:18" ht="14.6" x14ac:dyDescent="0.4">
      <c r="B79" s="309">
        <v>103</v>
      </c>
      <c r="C79" s="309">
        <v>2</v>
      </c>
      <c r="D79" s="287"/>
      <c r="E79" s="287"/>
      <c r="F79" s="309" t="s">
        <v>530</v>
      </c>
      <c r="G79" s="309"/>
      <c r="H79" s="287" t="s">
        <v>376</v>
      </c>
      <c r="I79" s="287">
        <v>0</v>
      </c>
      <c r="J79" s="287">
        <v>0</v>
      </c>
      <c r="K79" s="287">
        <v>0</v>
      </c>
      <c r="L79"/>
      <c r="M79"/>
      <c r="N79"/>
      <c r="O79"/>
      <c r="P79"/>
      <c r="Q79"/>
      <c r="R79"/>
    </row>
    <row r="80" spans="2:18" ht="14.6" x14ac:dyDescent="0.4">
      <c r="B80" s="309">
        <v>104</v>
      </c>
      <c r="C80" s="309">
        <v>3</v>
      </c>
      <c r="D80" s="287"/>
      <c r="E80" s="287"/>
      <c r="F80" s="309"/>
      <c r="G80" s="309" t="s">
        <v>811</v>
      </c>
      <c r="H80" s="287" t="s">
        <v>376</v>
      </c>
      <c r="I80" s="309" t="s">
        <v>177</v>
      </c>
      <c r="J80" s="309">
        <v>5.3252899974999997</v>
      </c>
      <c r="K80" s="309">
        <v>38.128749999999997</v>
      </c>
      <c r="L80"/>
      <c r="M80"/>
      <c r="N80"/>
      <c r="O80"/>
      <c r="P80"/>
      <c r="Q80"/>
      <c r="R80"/>
    </row>
    <row r="81" spans="2:18" ht="14.6" x14ac:dyDescent="0.4">
      <c r="B81" s="309">
        <v>105</v>
      </c>
      <c r="C81" s="287">
        <v>3</v>
      </c>
      <c r="D81" s="287"/>
      <c r="E81" s="287"/>
      <c r="F81" s="287"/>
      <c r="G81" s="309" t="s">
        <v>812</v>
      </c>
      <c r="H81" s="287" t="s">
        <v>376</v>
      </c>
      <c r="I81" s="287" t="s">
        <v>177</v>
      </c>
      <c r="J81" s="287">
        <v>5.3252899974999997</v>
      </c>
      <c r="K81" s="309">
        <v>38.128749999999997</v>
      </c>
      <c r="L81"/>
      <c r="M81"/>
      <c r="N81"/>
      <c r="O81"/>
      <c r="P81"/>
      <c r="Q81"/>
      <c r="R81"/>
    </row>
    <row r="82" spans="2:18" ht="14.6" x14ac:dyDescent="0.4">
      <c r="B82" s="309">
        <v>106</v>
      </c>
      <c r="C82" s="287">
        <v>3</v>
      </c>
      <c r="D82" s="287"/>
      <c r="E82" s="287"/>
      <c r="F82" s="287"/>
      <c r="G82" s="309" t="s">
        <v>577</v>
      </c>
      <c r="H82" s="287" t="s">
        <v>376</v>
      </c>
      <c r="I82" s="309" t="s">
        <v>182</v>
      </c>
      <c r="J82" s="309">
        <v>2.4037147097</v>
      </c>
      <c r="K82" s="309">
        <v>17.210450000000002</v>
      </c>
      <c r="L82"/>
      <c r="M82"/>
      <c r="N82"/>
      <c r="O82"/>
      <c r="P82"/>
      <c r="Q82"/>
      <c r="R82"/>
    </row>
    <row r="83" spans="2:18" ht="14.6" x14ac:dyDescent="0.4">
      <c r="B83" s="309">
        <v>107</v>
      </c>
      <c r="C83" s="287">
        <v>3</v>
      </c>
      <c r="D83" s="287"/>
      <c r="E83" s="287"/>
      <c r="F83" s="287"/>
      <c r="G83" s="309" t="s">
        <v>578</v>
      </c>
      <c r="H83" s="287" t="s">
        <v>376</v>
      </c>
      <c r="I83" s="309" t="s">
        <v>185</v>
      </c>
      <c r="J83" s="309">
        <v>200.30956240054002</v>
      </c>
      <c r="K83" s="309">
        <v>0</v>
      </c>
      <c r="L83"/>
      <c r="M83"/>
      <c r="N83"/>
      <c r="O83"/>
      <c r="P83"/>
      <c r="Q83"/>
      <c r="R83"/>
    </row>
    <row r="84" spans="2:18" ht="14.6" x14ac:dyDescent="0.4">
      <c r="B84" s="309">
        <v>108</v>
      </c>
      <c r="C84" s="287">
        <v>3</v>
      </c>
      <c r="D84" s="287"/>
      <c r="E84" s="287"/>
      <c r="F84" s="287"/>
      <c r="G84" s="309" t="s">
        <v>579</v>
      </c>
      <c r="H84" s="287" t="s">
        <v>376</v>
      </c>
      <c r="I84" s="309" t="s">
        <v>187</v>
      </c>
      <c r="J84" s="309">
        <v>3.20495341182</v>
      </c>
      <c r="K84" s="309">
        <v>22.94727</v>
      </c>
      <c r="L84"/>
      <c r="M84"/>
      <c r="N84"/>
      <c r="O84"/>
      <c r="P84"/>
      <c r="Q84"/>
      <c r="R84"/>
    </row>
    <row r="85" spans="2:18" ht="14.6" x14ac:dyDescent="0.4">
      <c r="B85" s="309">
        <v>109</v>
      </c>
      <c r="C85" s="287">
        <v>3</v>
      </c>
      <c r="D85" s="287"/>
      <c r="E85" s="287"/>
      <c r="F85" s="287"/>
      <c r="G85" s="309" t="s">
        <v>813</v>
      </c>
      <c r="H85" s="287" t="s">
        <v>376</v>
      </c>
      <c r="I85" s="287" t="s">
        <v>187</v>
      </c>
      <c r="J85" s="309">
        <v>0.64099012369999997</v>
      </c>
      <c r="K85" s="309">
        <v>4.5894500000000003</v>
      </c>
      <c r="L85"/>
      <c r="M85"/>
      <c r="N85"/>
      <c r="O85"/>
      <c r="P85"/>
      <c r="Q85"/>
      <c r="R85"/>
    </row>
    <row r="86" spans="2:18" ht="14.6" x14ac:dyDescent="0.4">
      <c r="B86" s="309">
        <v>110</v>
      </c>
      <c r="C86" s="309">
        <v>2</v>
      </c>
      <c r="D86" s="287"/>
      <c r="E86" s="287"/>
      <c r="F86" s="309" t="s">
        <v>531</v>
      </c>
      <c r="G86" s="309"/>
      <c r="H86" s="287" t="s">
        <v>376</v>
      </c>
      <c r="I86" s="287" t="s">
        <v>187</v>
      </c>
      <c r="J86" s="309">
        <v>2.6626443004199998</v>
      </c>
      <c r="K86" s="309">
        <v>19.06437</v>
      </c>
      <c r="L86"/>
      <c r="M86"/>
      <c r="N86"/>
      <c r="O86"/>
      <c r="P86"/>
      <c r="Q86"/>
      <c r="R86"/>
    </row>
    <row r="87" spans="2:18" ht="14.6" x14ac:dyDescent="0.4">
      <c r="B87" s="309">
        <v>111</v>
      </c>
      <c r="C87" s="287">
        <v>2</v>
      </c>
      <c r="D87" s="287"/>
      <c r="E87" s="287"/>
      <c r="F87" s="309" t="s">
        <v>532</v>
      </c>
      <c r="G87" s="287"/>
      <c r="H87" s="287" t="s">
        <v>376</v>
      </c>
      <c r="I87" s="287">
        <v>0</v>
      </c>
      <c r="J87" s="287">
        <v>0</v>
      </c>
      <c r="K87" s="287">
        <v>0</v>
      </c>
      <c r="L87"/>
      <c r="M87"/>
      <c r="N87"/>
      <c r="O87"/>
      <c r="P87"/>
      <c r="Q87"/>
      <c r="R87"/>
    </row>
    <row r="88" spans="2:18" ht="14.6" x14ac:dyDescent="0.4">
      <c r="B88" s="309">
        <v>112</v>
      </c>
      <c r="C88" s="309">
        <v>3</v>
      </c>
      <c r="D88" s="287"/>
      <c r="E88" s="287"/>
      <c r="F88" s="309"/>
      <c r="G88" s="309" t="s">
        <v>580</v>
      </c>
      <c r="H88" s="287" t="s">
        <v>376</v>
      </c>
      <c r="I88" s="309" t="s">
        <v>177</v>
      </c>
      <c r="J88" s="309">
        <v>3.20495341182</v>
      </c>
      <c r="K88" s="309">
        <v>22.94727</v>
      </c>
      <c r="L88"/>
      <c r="M88"/>
      <c r="N88"/>
      <c r="O88"/>
      <c r="P88"/>
      <c r="Q88"/>
      <c r="R88"/>
    </row>
    <row r="89" spans="2:18" ht="14.6" x14ac:dyDescent="0.4">
      <c r="B89" s="309">
        <v>113</v>
      </c>
      <c r="C89" s="287">
        <v>3</v>
      </c>
      <c r="D89" s="287"/>
      <c r="E89" s="287"/>
      <c r="F89" s="287"/>
      <c r="G89" s="309" t="s">
        <v>581</v>
      </c>
      <c r="H89" s="287" t="s">
        <v>376</v>
      </c>
      <c r="I89" s="287" t="s">
        <v>177</v>
      </c>
      <c r="J89" s="309">
        <v>9.6148588388</v>
      </c>
      <c r="K89" s="309">
        <v>68.841800000000006</v>
      </c>
      <c r="L89"/>
      <c r="M89"/>
      <c r="N89"/>
      <c r="O89"/>
      <c r="P89"/>
      <c r="Q89"/>
      <c r="R89"/>
    </row>
    <row r="90" spans="2:18" ht="14.6" x14ac:dyDescent="0.4">
      <c r="B90" s="309">
        <v>114</v>
      </c>
      <c r="C90" s="287">
        <v>3</v>
      </c>
      <c r="D90" s="287"/>
      <c r="E90" s="287"/>
      <c r="F90" s="287"/>
      <c r="G90" s="309" t="s">
        <v>582</v>
      </c>
      <c r="H90" s="287" t="s">
        <v>376</v>
      </c>
      <c r="I90" s="287" t="s">
        <v>177</v>
      </c>
      <c r="J90" s="287">
        <v>9.6148588388</v>
      </c>
      <c r="K90" s="309">
        <v>68.841800000000006</v>
      </c>
      <c r="L90"/>
      <c r="M90"/>
      <c r="N90"/>
      <c r="O90"/>
      <c r="P90"/>
      <c r="Q90"/>
      <c r="R90"/>
    </row>
    <row r="91" spans="2:18" ht="14.6" x14ac:dyDescent="0.4">
      <c r="B91" s="309">
        <v>115</v>
      </c>
      <c r="C91" s="287">
        <v>3</v>
      </c>
      <c r="D91" s="287"/>
      <c r="E91" s="287"/>
      <c r="F91" s="287"/>
      <c r="G91" s="309" t="s">
        <v>583</v>
      </c>
      <c r="H91" s="287" t="s">
        <v>376</v>
      </c>
      <c r="I91" s="309" t="s">
        <v>200</v>
      </c>
      <c r="J91" s="287">
        <v>9.6148588388</v>
      </c>
      <c r="K91" s="309">
        <v>68.841800000000006</v>
      </c>
      <c r="L91"/>
      <c r="M91"/>
      <c r="N91"/>
      <c r="O91"/>
      <c r="P91"/>
      <c r="Q91"/>
      <c r="R91"/>
    </row>
    <row r="92" spans="2:18" ht="14.6" x14ac:dyDescent="0.4">
      <c r="B92" s="309">
        <v>116</v>
      </c>
      <c r="C92" s="287">
        <v>3</v>
      </c>
      <c r="D92" s="287"/>
      <c r="E92" s="287"/>
      <c r="F92" s="287"/>
      <c r="G92" s="309" t="s">
        <v>584</v>
      </c>
      <c r="H92" s="287" t="s">
        <v>376</v>
      </c>
      <c r="I92" s="309" t="s">
        <v>203</v>
      </c>
      <c r="J92" s="309">
        <v>1.0474950000000001</v>
      </c>
      <c r="K92" s="309">
        <v>7.5</v>
      </c>
      <c r="L92"/>
      <c r="M92"/>
      <c r="N92"/>
      <c r="O92"/>
      <c r="P92"/>
      <c r="Q92"/>
      <c r="R92"/>
    </row>
    <row r="93" spans="2:18" ht="14.6" x14ac:dyDescent="0.4">
      <c r="B93" s="309">
        <v>117</v>
      </c>
      <c r="C93" s="287">
        <v>3</v>
      </c>
      <c r="D93" s="287"/>
      <c r="E93" s="287"/>
      <c r="F93" s="287"/>
      <c r="G93" s="309" t="s">
        <v>814</v>
      </c>
      <c r="H93" s="287" t="s">
        <v>376</v>
      </c>
      <c r="I93" s="309" t="s">
        <v>187</v>
      </c>
      <c r="J93" s="309">
        <v>1.52616809182</v>
      </c>
      <c r="K93" s="309">
        <v>10.92727</v>
      </c>
      <c r="L93"/>
      <c r="M93"/>
      <c r="N93"/>
      <c r="O93"/>
      <c r="P93"/>
      <c r="Q93"/>
      <c r="R93"/>
    </row>
    <row r="94" spans="2:18" ht="14.6" x14ac:dyDescent="0.4">
      <c r="B94" s="309">
        <v>118</v>
      </c>
      <c r="C94" s="287">
        <v>3</v>
      </c>
      <c r="D94" s="287"/>
      <c r="E94" s="287"/>
      <c r="F94" s="287"/>
      <c r="G94" s="309" t="s">
        <v>585</v>
      </c>
      <c r="H94" s="287" t="s">
        <v>376</v>
      </c>
      <c r="I94" s="309" t="s">
        <v>207</v>
      </c>
      <c r="J94" s="309">
        <v>1.2018580531800001</v>
      </c>
      <c r="K94" s="309">
        <v>8.6052300000000006</v>
      </c>
      <c r="L94"/>
      <c r="M94"/>
      <c r="N94"/>
      <c r="O94"/>
      <c r="P94"/>
      <c r="Q94"/>
      <c r="R94"/>
    </row>
    <row r="95" spans="2:18" ht="14.6" x14ac:dyDescent="0.4">
      <c r="B95" s="309">
        <v>119</v>
      </c>
      <c r="C95" s="287">
        <v>3</v>
      </c>
      <c r="D95" s="287"/>
      <c r="E95" s="287"/>
      <c r="F95" s="287"/>
      <c r="G95" s="309" t="s">
        <v>586</v>
      </c>
      <c r="H95" s="287" t="s">
        <v>376</v>
      </c>
      <c r="I95" s="287" t="s">
        <v>207</v>
      </c>
      <c r="J95" s="287">
        <v>1.2018580531800001</v>
      </c>
      <c r="K95" s="309">
        <v>8.6052300000000006</v>
      </c>
      <c r="L95"/>
      <c r="M95"/>
      <c r="N95"/>
      <c r="O95"/>
      <c r="P95"/>
      <c r="Q95"/>
      <c r="R95"/>
    </row>
    <row r="96" spans="2:18" ht="14.6" x14ac:dyDescent="0.4">
      <c r="B96" s="309">
        <v>120</v>
      </c>
      <c r="C96" s="309">
        <v>1</v>
      </c>
      <c r="D96" s="287"/>
      <c r="E96" s="309" t="s">
        <v>516</v>
      </c>
      <c r="F96" s="287"/>
      <c r="G96" s="309"/>
      <c r="H96" s="287" t="s">
        <v>376</v>
      </c>
      <c r="I96" s="287">
        <v>0</v>
      </c>
      <c r="J96" s="287">
        <v>0</v>
      </c>
      <c r="K96" s="287">
        <v>0</v>
      </c>
      <c r="L96"/>
      <c r="M96"/>
      <c r="N96"/>
      <c r="O96"/>
      <c r="P96"/>
      <c r="Q96"/>
      <c r="R96"/>
    </row>
    <row r="97" spans="2:18" ht="14.6" x14ac:dyDescent="0.4">
      <c r="B97" s="309">
        <v>121</v>
      </c>
      <c r="C97" s="309">
        <v>2</v>
      </c>
      <c r="D97" s="287"/>
      <c r="E97" s="309"/>
      <c r="F97" s="309" t="s">
        <v>533</v>
      </c>
      <c r="G97" s="287"/>
      <c r="H97" s="287" t="s">
        <v>376</v>
      </c>
      <c r="I97" s="287">
        <v>0</v>
      </c>
      <c r="J97" s="287">
        <v>0</v>
      </c>
      <c r="K97" s="287">
        <v>0</v>
      </c>
      <c r="L97"/>
      <c r="M97"/>
      <c r="N97"/>
      <c r="O97"/>
      <c r="P97"/>
      <c r="Q97"/>
      <c r="R97"/>
    </row>
    <row r="98" spans="2:18" ht="14.6" x14ac:dyDescent="0.4">
      <c r="B98" s="309">
        <v>122</v>
      </c>
      <c r="C98" s="309">
        <v>3</v>
      </c>
      <c r="D98" s="287"/>
      <c r="E98" s="287"/>
      <c r="F98" s="309"/>
      <c r="G98" s="309" t="s">
        <v>587</v>
      </c>
      <c r="H98" s="287" t="s">
        <v>376</v>
      </c>
      <c r="I98" s="309" t="s">
        <v>213</v>
      </c>
      <c r="J98" s="309">
        <v>0.13389999999999999</v>
      </c>
      <c r="K98" s="309">
        <v>1</v>
      </c>
      <c r="L98"/>
      <c r="M98"/>
      <c r="N98"/>
      <c r="O98"/>
      <c r="P98"/>
      <c r="Q98"/>
      <c r="R98"/>
    </row>
    <row r="99" spans="2:18" ht="14.6" x14ac:dyDescent="0.4">
      <c r="B99" s="309">
        <v>123</v>
      </c>
      <c r="C99" s="287">
        <v>3</v>
      </c>
      <c r="D99" s="287"/>
      <c r="E99" s="287"/>
      <c r="F99" s="287"/>
      <c r="G99" s="309" t="s">
        <v>588</v>
      </c>
      <c r="H99" s="287" t="s">
        <v>376</v>
      </c>
      <c r="I99" s="287" t="s">
        <v>213</v>
      </c>
      <c r="J99" s="309">
        <v>0.100425</v>
      </c>
      <c r="K99" s="309">
        <v>0.75</v>
      </c>
      <c r="L99"/>
      <c r="M99"/>
      <c r="N99"/>
      <c r="O99"/>
      <c r="P99"/>
      <c r="Q99"/>
      <c r="R99"/>
    </row>
    <row r="100" spans="2:18" ht="14.6" x14ac:dyDescent="0.4">
      <c r="B100" s="309">
        <v>124</v>
      </c>
      <c r="C100" s="287">
        <v>3</v>
      </c>
      <c r="D100" s="287"/>
      <c r="E100" s="287"/>
      <c r="F100" s="287"/>
      <c r="G100" s="309" t="s">
        <v>589</v>
      </c>
      <c r="H100" s="287" t="s">
        <v>376</v>
      </c>
      <c r="I100" s="287" t="s">
        <v>213</v>
      </c>
      <c r="J100" s="309">
        <v>7.5318750000000004E-2</v>
      </c>
      <c r="K100" s="309">
        <v>0.5625</v>
      </c>
      <c r="L100"/>
      <c r="M100"/>
      <c r="N100"/>
      <c r="O100"/>
      <c r="P100"/>
      <c r="Q100"/>
      <c r="R100"/>
    </row>
    <row r="101" spans="2:18" ht="14.6" x14ac:dyDescent="0.4">
      <c r="B101" s="309">
        <v>125</v>
      </c>
      <c r="C101" s="287">
        <v>3</v>
      </c>
      <c r="D101" s="287"/>
      <c r="E101" s="287"/>
      <c r="F101" s="287"/>
      <c r="G101" s="309" t="s">
        <v>590</v>
      </c>
      <c r="H101" s="287" t="s">
        <v>376</v>
      </c>
      <c r="I101" s="287" t="s">
        <v>213</v>
      </c>
      <c r="J101" s="309">
        <v>5.2723124999999996E-2</v>
      </c>
      <c r="K101" s="309">
        <v>0.39374999999999999</v>
      </c>
      <c r="L101"/>
      <c r="M101"/>
      <c r="N101"/>
      <c r="O101"/>
      <c r="P101"/>
      <c r="Q101"/>
      <c r="R101"/>
    </row>
    <row r="102" spans="2:18" ht="14.6" x14ac:dyDescent="0.4">
      <c r="B102" s="309">
        <v>126</v>
      </c>
      <c r="C102" s="287">
        <v>3</v>
      </c>
      <c r="D102" s="287"/>
      <c r="E102" s="287"/>
      <c r="F102" s="287"/>
      <c r="G102" s="309" t="s">
        <v>591</v>
      </c>
      <c r="H102" s="287" t="s">
        <v>376</v>
      </c>
      <c r="I102" s="287" t="s">
        <v>213</v>
      </c>
      <c r="J102" s="309">
        <v>4.2178500000000001E-2</v>
      </c>
      <c r="K102" s="309">
        <v>0.315</v>
      </c>
      <c r="L102"/>
      <c r="M102"/>
      <c r="N102"/>
      <c r="O102"/>
      <c r="P102"/>
      <c r="Q102"/>
      <c r="R102"/>
    </row>
    <row r="103" spans="2:18" ht="14.6" x14ac:dyDescent="0.4">
      <c r="B103" s="309">
        <v>127</v>
      </c>
      <c r="C103" s="287">
        <v>3</v>
      </c>
      <c r="D103" s="287"/>
      <c r="E103" s="287"/>
      <c r="F103" s="287"/>
      <c r="G103" s="309" t="s">
        <v>592</v>
      </c>
      <c r="H103" s="287" t="s">
        <v>376</v>
      </c>
      <c r="I103" s="287" t="s">
        <v>213</v>
      </c>
      <c r="J103" s="309">
        <v>3.3742799999999996E-2</v>
      </c>
      <c r="K103" s="309">
        <v>0.252</v>
      </c>
      <c r="L103"/>
      <c r="M103"/>
      <c r="N103"/>
      <c r="O103"/>
      <c r="P103"/>
      <c r="Q103"/>
      <c r="R103"/>
    </row>
    <row r="104" spans="2:18" ht="14.6" x14ac:dyDescent="0.4">
      <c r="B104" s="309">
        <v>128</v>
      </c>
      <c r="C104" s="287">
        <v>3</v>
      </c>
      <c r="D104" s="287"/>
      <c r="E104" s="287"/>
      <c r="F104" s="287"/>
      <c r="G104" s="309" t="s">
        <v>593</v>
      </c>
      <c r="H104" s="287" t="s">
        <v>376</v>
      </c>
      <c r="I104" s="287" t="s">
        <v>213</v>
      </c>
      <c r="J104" s="309">
        <v>2.6994239999999999E-2</v>
      </c>
      <c r="K104" s="309">
        <v>0.2016</v>
      </c>
      <c r="L104"/>
      <c r="M104"/>
      <c r="N104"/>
      <c r="O104"/>
      <c r="P104"/>
      <c r="Q104"/>
      <c r="R104"/>
    </row>
    <row r="105" spans="2:18" ht="14.6" x14ac:dyDescent="0.4">
      <c r="B105" s="309">
        <v>129</v>
      </c>
      <c r="C105" s="287">
        <v>3</v>
      </c>
      <c r="D105" s="287"/>
      <c r="E105" s="287"/>
      <c r="F105" s="287"/>
      <c r="G105" s="309" t="s">
        <v>594</v>
      </c>
      <c r="H105" s="287" t="s">
        <v>376</v>
      </c>
      <c r="I105" s="287" t="s">
        <v>213</v>
      </c>
      <c r="J105" s="309">
        <v>2.1595391999999998E-2</v>
      </c>
      <c r="K105" s="309">
        <v>0.16128000000000001</v>
      </c>
      <c r="L105"/>
      <c r="M105"/>
      <c r="N105"/>
      <c r="O105"/>
      <c r="P105"/>
      <c r="Q105"/>
      <c r="R105"/>
    </row>
    <row r="106" spans="2:18" ht="14.6" x14ac:dyDescent="0.4">
      <c r="B106" s="309">
        <v>130</v>
      </c>
      <c r="C106" s="287">
        <v>3</v>
      </c>
      <c r="D106" s="287"/>
      <c r="E106" s="287"/>
      <c r="F106" s="287"/>
      <c r="G106" s="309" t="s">
        <v>595</v>
      </c>
      <c r="H106" s="287" t="s">
        <v>376</v>
      </c>
      <c r="I106" s="287" t="s">
        <v>213</v>
      </c>
      <c r="J106" s="309">
        <v>1.7275777999999999E-2</v>
      </c>
      <c r="K106" s="309">
        <v>0.12902</v>
      </c>
      <c r="L106"/>
      <c r="M106"/>
      <c r="N106"/>
      <c r="O106"/>
      <c r="P106"/>
      <c r="Q106"/>
      <c r="R106"/>
    </row>
    <row r="107" spans="2:18" ht="14.6" x14ac:dyDescent="0.4">
      <c r="B107" s="309">
        <v>131</v>
      </c>
      <c r="C107" s="287">
        <v>3</v>
      </c>
      <c r="D107" s="287"/>
      <c r="E107" s="287"/>
      <c r="F107" s="287"/>
      <c r="G107" s="309" t="s">
        <v>596</v>
      </c>
      <c r="H107" s="287" t="s">
        <v>376</v>
      </c>
      <c r="I107" s="287" t="s">
        <v>213</v>
      </c>
      <c r="J107" s="309">
        <v>1.3821157999999998E-2</v>
      </c>
      <c r="K107" s="309">
        <v>0.10322000000000001</v>
      </c>
      <c r="L107"/>
      <c r="M107"/>
      <c r="N107"/>
      <c r="O107"/>
      <c r="P107"/>
      <c r="Q107"/>
      <c r="R107"/>
    </row>
    <row r="108" spans="2:18" ht="14.6" x14ac:dyDescent="0.4">
      <c r="B108" s="309">
        <v>132</v>
      </c>
      <c r="C108" s="309">
        <v>2</v>
      </c>
      <c r="D108" s="287"/>
      <c r="E108" s="287"/>
      <c r="F108" s="309" t="s">
        <v>815</v>
      </c>
      <c r="G108" s="309"/>
      <c r="H108" s="287" t="s">
        <v>376</v>
      </c>
      <c r="I108" s="287">
        <v>0</v>
      </c>
      <c r="J108" s="287">
        <v>0</v>
      </c>
      <c r="K108" s="287">
        <v>0</v>
      </c>
      <c r="L108"/>
      <c r="M108"/>
      <c r="N108"/>
      <c r="O108"/>
      <c r="P108"/>
      <c r="Q108"/>
      <c r="R108"/>
    </row>
    <row r="109" spans="2:18" ht="14.6" x14ac:dyDescent="0.4">
      <c r="B109" s="309">
        <v>133</v>
      </c>
      <c r="C109" s="309">
        <v>3</v>
      </c>
      <c r="D109" s="287"/>
      <c r="E109" s="287"/>
      <c r="F109" s="309"/>
      <c r="G109" s="309" t="s">
        <v>587</v>
      </c>
      <c r="H109" s="287" t="s">
        <v>376</v>
      </c>
      <c r="I109" s="309" t="s">
        <v>223</v>
      </c>
      <c r="J109" s="309">
        <v>0.4017</v>
      </c>
      <c r="K109" s="309">
        <v>3</v>
      </c>
      <c r="L109"/>
      <c r="M109"/>
      <c r="N109"/>
      <c r="O109"/>
      <c r="P109"/>
      <c r="Q109"/>
      <c r="R109"/>
    </row>
    <row r="110" spans="2:18" ht="14.6" x14ac:dyDescent="0.4">
      <c r="B110" s="309">
        <v>134</v>
      </c>
      <c r="C110" s="287">
        <v>3</v>
      </c>
      <c r="D110" s="287"/>
      <c r="E110" s="287"/>
      <c r="F110" s="287"/>
      <c r="G110" s="309" t="s">
        <v>588</v>
      </c>
      <c r="H110" s="287" t="s">
        <v>376</v>
      </c>
      <c r="I110" s="287" t="s">
        <v>223</v>
      </c>
      <c r="J110" s="309">
        <v>0.30127500000000002</v>
      </c>
      <c r="K110" s="309">
        <v>2.25</v>
      </c>
      <c r="L110"/>
      <c r="M110"/>
      <c r="N110"/>
      <c r="O110"/>
      <c r="P110"/>
      <c r="Q110"/>
      <c r="R110"/>
    </row>
    <row r="111" spans="2:18" ht="14.6" x14ac:dyDescent="0.4">
      <c r="B111" s="309">
        <v>135</v>
      </c>
      <c r="C111" s="287">
        <v>3</v>
      </c>
      <c r="D111" s="287"/>
      <c r="E111" s="287"/>
      <c r="F111" s="287"/>
      <c r="G111" s="309" t="s">
        <v>589</v>
      </c>
      <c r="H111" s="287" t="s">
        <v>376</v>
      </c>
      <c r="I111" s="287" t="s">
        <v>223</v>
      </c>
      <c r="J111" s="309">
        <v>0.22595625</v>
      </c>
      <c r="K111" s="309">
        <v>1.6875</v>
      </c>
      <c r="L111"/>
      <c r="M111"/>
      <c r="N111"/>
      <c r="O111"/>
      <c r="P111"/>
      <c r="Q111"/>
      <c r="R111"/>
    </row>
    <row r="112" spans="2:18" ht="14.6" x14ac:dyDescent="0.4">
      <c r="B112" s="309">
        <v>136</v>
      </c>
      <c r="C112" s="287">
        <v>3</v>
      </c>
      <c r="D112" s="287"/>
      <c r="E112" s="287"/>
      <c r="F112" s="287"/>
      <c r="G112" s="309" t="s">
        <v>590</v>
      </c>
      <c r="H112" s="287" t="s">
        <v>376</v>
      </c>
      <c r="I112" s="287" t="s">
        <v>223</v>
      </c>
      <c r="J112" s="309">
        <v>0.158169375</v>
      </c>
      <c r="K112" s="309">
        <v>1.1812499999999999</v>
      </c>
      <c r="L112"/>
      <c r="M112"/>
      <c r="N112"/>
      <c r="O112"/>
      <c r="P112"/>
      <c r="Q112"/>
      <c r="R112"/>
    </row>
    <row r="113" spans="2:18" ht="14.6" x14ac:dyDescent="0.4">
      <c r="B113" s="309">
        <v>137</v>
      </c>
      <c r="C113" s="287">
        <v>3</v>
      </c>
      <c r="D113" s="287"/>
      <c r="E113" s="287"/>
      <c r="F113" s="287"/>
      <c r="G113" s="309" t="s">
        <v>591</v>
      </c>
      <c r="H113" s="287" t="s">
        <v>376</v>
      </c>
      <c r="I113" s="287" t="s">
        <v>223</v>
      </c>
      <c r="J113" s="309">
        <v>0.1265355</v>
      </c>
      <c r="K113" s="309">
        <v>0.94499999999999995</v>
      </c>
      <c r="L113"/>
      <c r="M113"/>
      <c r="N113"/>
      <c r="O113"/>
      <c r="P113"/>
      <c r="Q113"/>
      <c r="R113"/>
    </row>
    <row r="114" spans="2:18" ht="14.6" x14ac:dyDescent="0.4">
      <c r="B114" s="309">
        <v>138</v>
      </c>
      <c r="C114" s="287">
        <v>3</v>
      </c>
      <c r="D114" s="287"/>
      <c r="E114" s="287"/>
      <c r="F114" s="287"/>
      <c r="G114" s="309" t="s">
        <v>592</v>
      </c>
      <c r="H114" s="287" t="s">
        <v>376</v>
      </c>
      <c r="I114" s="287" t="s">
        <v>223</v>
      </c>
      <c r="J114" s="309">
        <v>0.1012284</v>
      </c>
      <c r="K114" s="309">
        <v>0.75600000000000001</v>
      </c>
      <c r="L114"/>
      <c r="M114"/>
      <c r="N114"/>
      <c r="O114"/>
      <c r="P114"/>
      <c r="Q114"/>
      <c r="R114"/>
    </row>
    <row r="115" spans="2:18" ht="14.6" x14ac:dyDescent="0.4">
      <c r="B115" s="309">
        <v>139</v>
      </c>
      <c r="C115" s="287">
        <v>3</v>
      </c>
      <c r="D115" s="287"/>
      <c r="E115" s="287"/>
      <c r="F115" s="287"/>
      <c r="G115" s="309" t="s">
        <v>593</v>
      </c>
      <c r="H115" s="287" t="s">
        <v>376</v>
      </c>
      <c r="I115" s="287" t="s">
        <v>223</v>
      </c>
      <c r="J115" s="309">
        <v>8.0982719999999994E-2</v>
      </c>
      <c r="K115" s="309">
        <v>0.6048</v>
      </c>
      <c r="L115"/>
      <c r="M115"/>
      <c r="N115"/>
      <c r="O115"/>
      <c r="P115"/>
      <c r="Q115"/>
      <c r="R115"/>
    </row>
    <row r="116" spans="2:18" ht="14.6" x14ac:dyDescent="0.4">
      <c r="B116" s="309">
        <v>140</v>
      </c>
      <c r="C116" s="287">
        <v>3</v>
      </c>
      <c r="D116" s="287"/>
      <c r="E116" s="287"/>
      <c r="F116" s="287"/>
      <c r="G116" s="309" t="s">
        <v>594</v>
      </c>
      <c r="H116" s="287" t="s">
        <v>376</v>
      </c>
      <c r="I116" s="287" t="s">
        <v>223</v>
      </c>
      <c r="J116" s="309">
        <v>6.4786176000000001E-2</v>
      </c>
      <c r="K116" s="309">
        <v>0.48383999999999999</v>
      </c>
      <c r="L116"/>
      <c r="M116"/>
      <c r="N116"/>
      <c r="O116"/>
      <c r="P116"/>
      <c r="Q116"/>
      <c r="R116"/>
    </row>
    <row r="117" spans="2:18" ht="14.6" x14ac:dyDescent="0.4">
      <c r="B117" s="309">
        <v>141</v>
      </c>
      <c r="C117" s="287">
        <v>3</v>
      </c>
      <c r="D117" s="287"/>
      <c r="E117" s="287"/>
      <c r="F117" s="287"/>
      <c r="G117" s="309" t="s">
        <v>595</v>
      </c>
      <c r="H117" s="287" t="s">
        <v>376</v>
      </c>
      <c r="I117" s="287" t="s">
        <v>223</v>
      </c>
      <c r="J117" s="309">
        <v>5.1828672999999999E-2</v>
      </c>
      <c r="K117" s="309">
        <v>0.38707000000000003</v>
      </c>
      <c r="L117"/>
      <c r="M117"/>
      <c r="N117"/>
      <c r="O117"/>
      <c r="P117"/>
      <c r="Q117"/>
      <c r="R117"/>
    </row>
    <row r="118" spans="2:18" ht="14.6" x14ac:dyDescent="0.4">
      <c r="B118" s="309">
        <v>142</v>
      </c>
      <c r="C118" s="287">
        <v>3</v>
      </c>
      <c r="D118" s="287"/>
      <c r="E118" s="287"/>
      <c r="F118" s="287"/>
      <c r="G118" s="309" t="s">
        <v>596</v>
      </c>
      <c r="H118" s="287" t="s">
        <v>376</v>
      </c>
      <c r="I118" s="287" t="s">
        <v>223</v>
      </c>
      <c r="J118" s="309">
        <v>4.1463474E-2</v>
      </c>
      <c r="K118" s="309">
        <v>0.30965999999999999</v>
      </c>
      <c r="L118"/>
      <c r="M118"/>
      <c r="N118"/>
      <c r="O118"/>
      <c r="P118"/>
      <c r="Q118"/>
      <c r="R118"/>
    </row>
    <row r="119" spans="2:18" ht="14.6" x14ac:dyDescent="0.4">
      <c r="B119" s="309">
        <v>143</v>
      </c>
      <c r="C119" s="309">
        <v>2</v>
      </c>
      <c r="D119" s="287"/>
      <c r="E119" s="287"/>
      <c r="F119" s="309" t="s">
        <v>534</v>
      </c>
      <c r="G119" s="309"/>
      <c r="H119" s="287" t="s">
        <v>376</v>
      </c>
      <c r="I119" s="287">
        <v>0</v>
      </c>
      <c r="J119" s="287">
        <v>0</v>
      </c>
      <c r="K119" s="287">
        <v>0</v>
      </c>
      <c r="L119"/>
      <c r="M119"/>
      <c r="N119"/>
      <c r="O119"/>
      <c r="P119"/>
      <c r="Q119"/>
      <c r="R119"/>
    </row>
    <row r="120" spans="2:18" ht="14.6" x14ac:dyDescent="0.4">
      <c r="B120" s="309">
        <v>144</v>
      </c>
      <c r="C120" s="309">
        <v>3</v>
      </c>
      <c r="D120" s="287"/>
      <c r="E120" s="287"/>
      <c r="F120" s="309"/>
      <c r="G120" s="309" t="s">
        <v>586</v>
      </c>
      <c r="H120" s="287" t="s">
        <v>376</v>
      </c>
      <c r="I120" s="309" t="s">
        <v>225</v>
      </c>
      <c r="J120" s="309">
        <v>1.2018580531800001</v>
      </c>
      <c r="K120" s="309">
        <v>8.6052300000000006</v>
      </c>
      <c r="L120"/>
      <c r="M120"/>
      <c r="N120"/>
      <c r="O120"/>
      <c r="P120"/>
      <c r="Q120"/>
      <c r="R120"/>
    </row>
    <row r="121" spans="2:18" ht="14.6" x14ac:dyDescent="0.4">
      <c r="B121" s="309">
        <v>145</v>
      </c>
      <c r="C121" s="287">
        <v>3</v>
      </c>
      <c r="D121" s="287"/>
      <c r="E121" s="287"/>
      <c r="F121" s="287"/>
      <c r="G121" s="309" t="s">
        <v>597</v>
      </c>
      <c r="H121" s="287" t="s">
        <v>376</v>
      </c>
      <c r="I121" s="309" t="s">
        <v>228</v>
      </c>
      <c r="J121" s="309">
        <v>0.56086653281999999</v>
      </c>
      <c r="K121" s="309">
        <v>4.0157699999999998</v>
      </c>
      <c r="L121"/>
      <c r="M121"/>
      <c r="N121"/>
      <c r="O121"/>
      <c r="P121"/>
      <c r="Q121"/>
      <c r="R121"/>
    </row>
    <row r="122" spans="2:18" ht="14.6" x14ac:dyDescent="0.4">
      <c r="B122" s="309">
        <v>146</v>
      </c>
      <c r="C122" s="287">
        <v>3</v>
      </c>
      <c r="D122" s="287"/>
      <c r="E122" s="287"/>
      <c r="F122" s="287"/>
      <c r="G122" s="309" t="s">
        <v>598</v>
      </c>
      <c r="H122" s="287" t="s">
        <v>376</v>
      </c>
      <c r="I122" s="309" t="s">
        <v>231</v>
      </c>
      <c r="J122" s="309">
        <v>1.2018580531800001</v>
      </c>
      <c r="K122" s="309">
        <v>8.6052300000000006</v>
      </c>
      <c r="L122"/>
      <c r="M122"/>
      <c r="N122"/>
      <c r="O122"/>
      <c r="P122"/>
      <c r="Q122"/>
      <c r="R122"/>
    </row>
    <row r="123" spans="2:18" ht="14.6" x14ac:dyDescent="0.4">
      <c r="B123" s="309">
        <v>147</v>
      </c>
      <c r="C123" s="287">
        <v>3</v>
      </c>
      <c r="D123" s="287"/>
      <c r="E123" s="287"/>
      <c r="F123" s="287"/>
      <c r="G123" s="309" t="s">
        <v>599</v>
      </c>
      <c r="H123" s="287" t="s">
        <v>376</v>
      </c>
      <c r="I123" s="309" t="s">
        <v>228</v>
      </c>
      <c r="J123" s="309">
        <v>0.56086653281999999</v>
      </c>
      <c r="K123" s="309">
        <v>4.0157699999999998</v>
      </c>
      <c r="L123"/>
      <c r="M123"/>
      <c r="N123"/>
      <c r="O123"/>
      <c r="P123"/>
      <c r="Q123"/>
      <c r="R123"/>
    </row>
    <row r="124" spans="2:18" ht="14.6" x14ac:dyDescent="0.4">
      <c r="B124" s="309">
        <v>148</v>
      </c>
      <c r="C124" s="287">
        <v>3</v>
      </c>
      <c r="D124" s="287"/>
      <c r="E124" s="287"/>
      <c r="F124" s="287"/>
      <c r="G124" s="309" t="s">
        <v>600</v>
      </c>
      <c r="H124" s="287" t="s">
        <v>376</v>
      </c>
      <c r="I124" s="309" t="s">
        <v>236</v>
      </c>
      <c r="J124" s="309">
        <v>1.2018580531800001</v>
      </c>
      <c r="K124" s="309">
        <v>8.6052300000000006</v>
      </c>
      <c r="L124"/>
      <c r="M124"/>
      <c r="N124"/>
      <c r="O124"/>
      <c r="P124"/>
      <c r="Q124"/>
      <c r="R124"/>
    </row>
    <row r="125" spans="2:18" ht="14.6" x14ac:dyDescent="0.4">
      <c r="B125" s="309">
        <v>149</v>
      </c>
      <c r="C125" s="287">
        <v>3</v>
      </c>
      <c r="D125" s="287"/>
      <c r="E125" s="287"/>
      <c r="F125" s="287"/>
      <c r="G125" s="309" t="s">
        <v>601</v>
      </c>
      <c r="H125" s="287" t="s">
        <v>376</v>
      </c>
      <c r="I125" s="309" t="s">
        <v>239</v>
      </c>
      <c r="J125" s="309">
        <v>4.8074294194</v>
      </c>
      <c r="K125" s="309">
        <v>34.420900000000003</v>
      </c>
      <c r="L125"/>
      <c r="M125"/>
      <c r="N125"/>
      <c r="O125"/>
      <c r="P125"/>
      <c r="Q125"/>
      <c r="R125"/>
    </row>
    <row r="126" spans="2:18" ht="14.6" x14ac:dyDescent="0.4">
      <c r="B126" s="309">
        <v>150</v>
      </c>
      <c r="C126" s="287">
        <v>3</v>
      </c>
      <c r="D126" s="287"/>
      <c r="E126" s="287"/>
      <c r="F126" s="287"/>
      <c r="G126" s="309" t="s">
        <v>602</v>
      </c>
      <c r="H126" s="287" t="s">
        <v>376</v>
      </c>
      <c r="I126" s="309" t="s">
        <v>243</v>
      </c>
      <c r="J126" s="309">
        <v>1.2018580531800001</v>
      </c>
      <c r="K126" s="309">
        <v>8.6052300000000006</v>
      </c>
      <c r="L126"/>
      <c r="M126"/>
      <c r="N126"/>
      <c r="O126"/>
      <c r="P126"/>
      <c r="Q126"/>
      <c r="R126"/>
    </row>
    <row r="127" spans="2:18" ht="14.6" x14ac:dyDescent="0.4">
      <c r="B127" s="309">
        <v>151</v>
      </c>
      <c r="C127" s="287">
        <v>3</v>
      </c>
      <c r="D127" s="287"/>
      <c r="E127" s="287"/>
      <c r="F127" s="287"/>
      <c r="G127" s="309" t="s">
        <v>603</v>
      </c>
      <c r="H127" s="287" t="s">
        <v>376</v>
      </c>
      <c r="I127" s="309" t="s">
        <v>245</v>
      </c>
      <c r="J127" s="287">
        <v>1.2018580531800001</v>
      </c>
      <c r="K127" s="309">
        <v>8.6052300000000006</v>
      </c>
      <c r="L127"/>
      <c r="M127"/>
      <c r="N127"/>
      <c r="O127"/>
      <c r="P127"/>
      <c r="Q127"/>
      <c r="R127"/>
    </row>
    <row r="128" spans="2:18" ht="14.6" x14ac:dyDescent="0.4">
      <c r="B128" s="309">
        <v>152</v>
      </c>
      <c r="C128" s="287">
        <v>3</v>
      </c>
      <c r="D128" s="287"/>
      <c r="E128" s="287"/>
      <c r="F128" s="287"/>
      <c r="G128" s="309" t="s">
        <v>604</v>
      </c>
      <c r="H128" s="287" t="s">
        <v>376</v>
      </c>
      <c r="I128" s="309" t="s">
        <v>249</v>
      </c>
      <c r="J128" s="309">
        <v>1.4385597999999999</v>
      </c>
      <c r="K128" s="309">
        <v>10.3</v>
      </c>
      <c r="L128"/>
      <c r="M128"/>
      <c r="N128"/>
      <c r="O128"/>
      <c r="P128"/>
      <c r="Q128"/>
      <c r="R128"/>
    </row>
    <row r="129" spans="2:18" ht="14.6" x14ac:dyDescent="0.4">
      <c r="B129" s="309">
        <v>153</v>
      </c>
      <c r="C129" s="309">
        <v>2</v>
      </c>
      <c r="D129" s="287"/>
      <c r="E129" s="287"/>
      <c r="F129" s="309" t="s">
        <v>535</v>
      </c>
      <c r="G129" s="309"/>
      <c r="H129" s="287" t="s">
        <v>376</v>
      </c>
      <c r="I129" s="287">
        <v>0</v>
      </c>
      <c r="J129" s="287">
        <v>0</v>
      </c>
      <c r="K129" s="287">
        <v>0</v>
      </c>
      <c r="L129"/>
      <c r="M129"/>
      <c r="N129"/>
      <c r="O129"/>
      <c r="P129"/>
      <c r="Q129"/>
      <c r="R129"/>
    </row>
    <row r="130" spans="2:18" ht="14.6" x14ac:dyDescent="0.4">
      <c r="B130" s="309">
        <v>154</v>
      </c>
      <c r="C130" s="309">
        <v>3</v>
      </c>
      <c r="D130" s="287"/>
      <c r="E130" s="287"/>
      <c r="F130" s="309"/>
      <c r="G130" s="309" t="s">
        <v>605</v>
      </c>
      <c r="H130" s="287" t="s">
        <v>376</v>
      </c>
      <c r="I130" s="309" t="s">
        <v>253</v>
      </c>
      <c r="J130" s="309">
        <v>4.8074294194</v>
      </c>
      <c r="K130" s="309">
        <v>34.420900000000003</v>
      </c>
      <c r="L130"/>
      <c r="M130"/>
      <c r="N130"/>
      <c r="O130"/>
      <c r="P130"/>
      <c r="Q130"/>
      <c r="R130"/>
    </row>
    <row r="131" spans="2:18" ht="14.6" x14ac:dyDescent="0.4">
      <c r="B131" s="309">
        <v>155</v>
      </c>
      <c r="C131" s="287">
        <v>3</v>
      </c>
      <c r="D131" s="287"/>
      <c r="E131" s="287"/>
      <c r="F131" s="287"/>
      <c r="G131" s="309" t="s">
        <v>606</v>
      </c>
      <c r="H131" s="287" t="s">
        <v>376</v>
      </c>
      <c r="I131" s="309" t="s">
        <v>115</v>
      </c>
      <c r="J131" s="309">
        <v>1.2018580531800001</v>
      </c>
      <c r="K131" s="309">
        <v>8.6052300000000006</v>
      </c>
      <c r="L131"/>
      <c r="M131"/>
      <c r="N131"/>
      <c r="O131"/>
      <c r="P131"/>
      <c r="Q131"/>
      <c r="R131"/>
    </row>
    <row r="132" spans="2:18" ht="14.6" x14ac:dyDescent="0.4">
      <c r="B132" s="309">
        <v>156</v>
      </c>
      <c r="C132" s="287">
        <v>3</v>
      </c>
      <c r="D132" s="287"/>
      <c r="E132" s="287"/>
      <c r="F132" s="287"/>
      <c r="G132" s="309" t="s">
        <v>607</v>
      </c>
      <c r="H132" s="287" t="s">
        <v>376</v>
      </c>
      <c r="I132" s="309" t="s">
        <v>258</v>
      </c>
      <c r="J132" s="309">
        <v>0.40061935106000002</v>
      </c>
      <c r="K132" s="309">
        <v>2.8684099999999999</v>
      </c>
      <c r="L132"/>
      <c r="M132"/>
      <c r="N132"/>
      <c r="O132"/>
      <c r="P132"/>
      <c r="Q132"/>
      <c r="R132"/>
    </row>
    <row r="133" spans="2:18" ht="14.6" x14ac:dyDescent="0.4">
      <c r="B133" s="309">
        <v>157</v>
      </c>
      <c r="C133" s="287">
        <v>3</v>
      </c>
      <c r="D133" s="287"/>
      <c r="E133" s="287"/>
      <c r="F133" s="287"/>
      <c r="G133" s="309" t="s">
        <v>608</v>
      </c>
      <c r="H133" s="287" t="s">
        <v>376</v>
      </c>
      <c r="I133" s="309" t="s">
        <v>260</v>
      </c>
      <c r="J133" s="309">
        <v>1.2018580531800001</v>
      </c>
      <c r="K133" s="309">
        <v>8.6052300000000006</v>
      </c>
      <c r="L133"/>
      <c r="M133"/>
      <c r="N133"/>
      <c r="O133"/>
      <c r="P133"/>
      <c r="Q133"/>
      <c r="R133"/>
    </row>
    <row r="134" spans="2:18" ht="14.6" x14ac:dyDescent="0.4">
      <c r="B134" s="309">
        <v>158</v>
      </c>
      <c r="C134" s="287">
        <v>3</v>
      </c>
      <c r="D134" s="287"/>
      <c r="E134" s="287"/>
      <c r="F134" s="287"/>
      <c r="G134" s="309" t="s">
        <v>609</v>
      </c>
      <c r="H134" s="287" t="s">
        <v>376</v>
      </c>
      <c r="I134" s="309" t="s">
        <v>263</v>
      </c>
      <c r="J134" s="309">
        <v>8.0123590879999998E-2</v>
      </c>
      <c r="K134" s="309">
        <v>0.57367999999999997</v>
      </c>
      <c r="L134"/>
      <c r="M134"/>
      <c r="N134"/>
      <c r="O134"/>
      <c r="P134"/>
      <c r="Q134"/>
      <c r="R134"/>
    </row>
    <row r="135" spans="2:18" ht="14.6" x14ac:dyDescent="0.4">
      <c r="B135" s="309">
        <v>159</v>
      </c>
      <c r="C135" s="309">
        <v>2</v>
      </c>
      <c r="D135" s="287"/>
      <c r="E135" s="287"/>
      <c r="F135" s="309" t="s">
        <v>536</v>
      </c>
      <c r="G135" s="309"/>
      <c r="H135" s="287" t="s">
        <v>376</v>
      </c>
      <c r="I135" s="287">
        <v>0</v>
      </c>
      <c r="J135" s="287">
        <v>0</v>
      </c>
      <c r="K135" s="287">
        <v>0</v>
      </c>
      <c r="L135"/>
      <c r="M135"/>
      <c r="N135"/>
      <c r="O135"/>
      <c r="P135"/>
      <c r="Q135"/>
      <c r="R135"/>
    </row>
    <row r="136" spans="2:18" ht="14.6" x14ac:dyDescent="0.4">
      <c r="B136" s="309">
        <v>160</v>
      </c>
      <c r="C136" s="309">
        <v>3</v>
      </c>
      <c r="D136" s="287"/>
      <c r="E136" s="287"/>
      <c r="F136" s="309"/>
      <c r="G136" s="309" t="s">
        <v>610</v>
      </c>
      <c r="H136" s="287" t="s">
        <v>376</v>
      </c>
      <c r="I136" s="309" t="s">
        <v>187</v>
      </c>
      <c r="J136" s="309">
        <v>2.1312933833800001</v>
      </c>
      <c r="K136" s="309">
        <v>15.259930000000001</v>
      </c>
      <c r="L136"/>
      <c r="M136"/>
      <c r="N136"/>
      <c r="O136"/>
      <c r="P136"/>
      <c r="Q136"/>
      <c r="R136"/>
    </row>
    <row r="137" spans="2:18" ht="14.6" x14ac:dyDescent="0.4">
      <c r="B137" s="309">
        <v>161</v>
      </c>
      <c r="C137" s="287">
        <v>3</v>
      </c>
      <c r="D137" s="287"/>
      <c r="E137" s="287"/>
      <c r="F137" s="287"/>
      <c r="G137" s="309" t="s">
        <v>611</v>
      </c>
      <c r="H137" s="287" t="s">
        <v>376</v>
      </c>
      <c r="I137" s="309" t="s">
        <v>270</v>
      </c>
      <c r="J137" s="309">
        <v>1.0656473900200001</v>
      </c>
      <c r="K137" s="309">
        <v>7.6299700000000001</v>
      </c>
      <c r="L137"/>
      <c r="M137"/>
      <c r="N137"/>
      <c r="O137"/>
      <c r="P137"/>
      <c r="Q137"/>
      <c r="R137"/>
    </row>
    <row r="138" spans="2:18" ht="14.6" x14ac:dyDescent="0.4">
      <c r="B138" s="309">
        <v>162</v>
      </c>
      <c r="C138" s="287">
        <v>3</v>
      </c>
      <c r="D138" s="287"/>
      <c r="E138" s="287"/>
      <c r="F138" s="287"/>
      <c r="G138" s="309" t="s">
        <v>612</v>
      </c>
      <c r="H138" s="287" t="s">
        <v>376</v>
      </c>
      <c r="I138" s="287" t="s">
        <v>270</v>
      </c>
      <c r="J138" s="309">
        <v>0.52881737579999999</v>
      </c>
      <c r="K138" s="309">
        <v>3.7863000000000002</v>
      </c>
      <c r="L138"/>
      <c r="M138"/>
      <c r="N138"/>
      <c r="O138"/>
      <c r="P138"/>
      <c r="Q138"/>
      <c r="R138"/>
    </row>
    <row r="139" spans="2:18" ht="14.6" x14ac:dyDescent="0.4">
      <c r="B139" s="309">
        <v>163</v>
      </c>
      <c r="C139" s="309">
        <v>0</v>
      </c>
      <c r="D139" s="309" t="s">
        <v>273</v>
      </c>
      <c r="E139" s="287"/>
      <c r="F139" s="287"/>
      <c r="G139" s="309"/>
      <c r="H139" s="287" t="s">
        <v>376</v>
      </c>
      <c r="I139" s="287">
        <v>0</v>
      </c>
      <c r="J139" s="287">
        <v>0</v>
      </c>
      <c r="K139" s="287">
        <v>0</v>
      </c>
      <c r="L139"/>
      <c r="M139"/>
      <c r="N139"/>
      <c r="O139"/>
      <c r="P139"/>
      <c r="Q139"/>
      <c r="R139"/>
    </row>
    <row r="140" spans="2:18" ht="14.6" x14ac:dyDescent="0.4">
      <c r="B140" s="309">
        <v>164</v>
      </c>
      <c r="C140" s="309">
        <v>2</v>
      </c>
      <c r="D140" s="309"/>
      <c r="E140" s="287"/>
      <c r="F140" s="309" t="s">
        <v>537</v>
      </c>
      <c r="G140" s="287"/>
      <c r="H140" s="287" t="s">
        <v>376</v>
      </c>
      <c r="I140" s="287">
        <v>0</v>
      </c>
      <c r="J140" s="287">
        <v>0</v>
      </c>
      <c r="K140" s="287">
        <v>0</v>
      </c>
      <c r="L140"/>
      <c r="M140"/>
      <c r="N140"/>
      <c r="O140"/>
      <c r="P140"/>
      <c r="Q140"/>
      <c r="R140"/>
    </row>
    <row r="141" spans="2:18" ht="14.6" x14ac:dyDescent="0.4">
      <c r="B141" s="309">
        <v>165</v>
      </c>
      <c r="C141" s="309">
        <v>3</v>
      </c>
      <c r="D141" s="287"/>
      <c r="E141" s="287"/>
      <c r="F141" s="309"/>
      <c r="G141" s="309" t="s">
        <v>613</v>
      </c>
      <c r="H141" s="287" t="s">
        <v>376</v>
      </c>
      <c r="I141" s="309" t="s">
        <v>279</v>
      </c>
      <c r="J141" s="287">
        <v>0</v>
      </c>
      <c r="K141" s="309">
        <v>0</v>
      </c>
      <c r="L141"/>
      <c r="M141"/>
      <c r="N141"/>
      <c r="O141"/>
      <c r="P141"/>
      <c r="Q141"/>
      <c r="R141"/>
    </row>
    <row r="142" spans="2:18" ht="14.6" x14ac:dyDescent="0.4">
      <c r="B142" s="309">
        <v>166</v>
      </c>
      <c r="C142" s="287">
        <v>3</v>
      </c>
      <c r="D142" s="287"/>
      <c r="E142" s="287"/>
      <c r="F142" s="287"/>
      <c r="G142" s="309" t="s">
        <v>614</v>
      </c>
      <c r="H142" s="287" t="s">
        <v>376</v>
      </c>
      <c r="I142" s="287" t="s">
        <v>279</v>
      </c>
      <c r="J142" s="309">
        <v>259.4485756094</v>
      </c>
      <c r="K142" s="309">
        <v>1857.6359</v>
      </c>
      <c r="L142"/>
      <c r="M142"/>
      <c r="N142"/>
      <c r="O142"/>
      <c r="P142"/>
      <c r="Q142"/>
      <c r="R142"/>
    </row>
    <row r="143" spans="2:18" ht="14.6" x14ac:dyDescent="0.4">
      <c r="B143" s="309">
        <v>167</v>
      </c>
      <c r="C143" s="287">
        <v>3</v>
      </c>
      <c r="D143" s="287"/>
      <c r="E143" s="287"/>
      <c r="F143" s="287"/>
      <c r="G143" s="309" t="s">
        <v>615</v>
      </c>
      <c r="H143" s="287" t="s">
        <v>376</v>
      </c>
      <c r="I143" s="287" t="s">
        <v>279</v>
      </c>
      <c r="J143" s="309">
        <v>648.99186817199995</v>
      </c>
      <c r="K143" s="309">
        <v>4646.7420000000002</v>
      </c>
      <c r="L143"/>
      <c r="M143"/>
      <c r="N143"/>
      <c r="O143"/>
      <c r="P143"/>
      <c r="Q143"/>
      <c r="R143"/>
    </row>
    <row r="144" spans="2:18" ht="14.6" x14ac:dyDescent="0.4">
      <c r="B144" s="309">
        <v>168</v>
      </c>
      <c r="C144" s="287">
        <v>3</v>
      </c>
      <c r="D144" s="287"/>
      <c r="E144" s="287"/>
      <c r="F144" s="287"/>
      <c r="G144" s="309" t="s">
        <v>616</v>
      </c>
      <c r="H144" s="287" t="s">
        <v>376</v>
      </c>
      <c r="I144" s="287" t="s">
        <v>279</v>
      </c>
      <c r="J144" s="309">
        <v>1304.8737185061</v>
      </c>
      <c r="K144" s="309">
        <v>9342.8158500000009</v>
      </c>
      <c r="L144"/>
      <c r="M144"/>
      <c r="N144"/>
      <c r="O144"/>
      <c r="P144"/>
      <c r="Q144"/>
      <c r="R144"/>
    </row>
    <row r="145" spans="2:18" ht="14.6" x14ac:dyDescent="0.4">
      <c r="B145" s="309">
        <v>169</v>
      </c>
      <c r="C145" s="309">
        <v>0</v>
      </c>
      <c r="D145" s="309" t="s">
        <v>283</v>
      </c>
      <c r="E145" s="287"/>
      <c r="F145" s="287"/>
      <c r="G145" s="309"/>
      <c r="H145" s="287" t="s">
        <v>376</v>
      </c>
      <c r="I145" s="287">
        <v>0</v>
      </c>
      <c r="J145" s="287">
        <v>0</v>
      </c>
      <c r="K145" s="287">
        <v>0</v>
      </c>
      <c r="L145"/>
      <c r="M145"/>
      <c r="N145"/>
      <c r="O145"/>
      <c r="P145"/>
      <c r="Q145"/>
      <c r="R145"/>
    </row>
    <row r="146" spans="2:18" ht="14.6" x14ac:dyDescent="0.4">
      <c r="B146" s="309">
        <v>170</v>
      </c>
      <c r="C146" s="309">
        <v>1</v>
      </c>
      <c r="D146" s="309"/>
      <c r="E146" s="309" t="s">
        <v>283</v>
      </c>
      <c r="F146" s="287"/>
      <c r="G146" s="287"/>
      <c r="H146" s="287" t="s">
        <v>376</v>
      </c>
      <c r="I146" s="287">
        <v>0</v>
      </c>
      <c r="J146" s="287">
        <v>0</v>
      </c>
      <c r="K146" s="287">
        <v>0</v>
      </c>
      <c r="L146"/>
      <c r="M146"/>
      <c r="N146"/>
      <c r="O146"/>
      <c r="P146"/>
      <c r="Q146"/>
      <c r="R146"/>
    </row>
    <row r="147" spans="2:18" ht="14.6" x14ac:dyDescent="0.4">
      <c r="B147" s="309">
        <v>171</v>
      </c>
      <c r="C147" s="309">
        <v>2</v>
      </c>
      <c r="D147" s="287"/>
      <c r="E147" s="309"/>
      <c r="F147" s="309" t="s">
        <v>538</v>
      </c>
      <c r="G147" s="287"/>
      <c r="H147" s="287" t="s">
        <v>376</v>
      </c>
      <c r="I147" s="287">
        <v>0</v>
      </c>
      <c r="J147" s="287">
        <v>0</v>
      </c>
      <c r="K147" s="287">
        <v>0</v>
      </c>
      <c r="L147"/>
      <c r="M147"/>
      <c r="N147"/>
      <c r="O147"/>
      <c r="P147"/>
      <c r="Q147"/>
      <c r="R147"/>
    </row>
    <row r="148" spans="2:18" ht="14.6" x14ac:dyDescent="0.4">
      <c r="B148" s="309">
        <v>172</v>
      </c>
      <c r="C148" s="309">
        <v>3</v>
      </c>
      <c r="D148" s="287"/>
      <c r="E148" s="287"/>
      <c r="F148" s="309"/>
      <c r="G148" s="309" t="s">
        <v>617</v>
      </c>
      <c r="H148" s="287" t="s">
        <v>376</v>
      </c>
      <c r="I148" s="309" t="s">
        <v>288</v>
      </c>
      <c r="J148" s="309">
        <v>0.16024718176</v>
      </c>
      <c r="K148" s="309">
        <v>1.1473599999999999</v>
      </c>
      <c r="L148"/>
      <c r="M148"/>
      <c r="N148"/>
      <c r="O148"/>
      <c r="P148"/>
      <c r="Q148"/>
      <c r="R148"/>
    </row>
    <row r="149" spans="2:18" ht="14.6" x14ac:dyDescent="0.4">
      <c r="B149" s="309">
        <v>173</v>
      </c>
      <c r="C149" s="309">
        <v>2</v>
      </c>
      <c r="D149" s="287"/>
      <c r="E149" s="287"/>
      <c r="F149" s="309" t="s">
        <v>539</v>
      </c>
      <c r="G149" s="309"/>
      <c r="H149" s="287" t="s">
        <v>376</v>
      </c>
      <c r="I149" s="287">
        <v>0</v>
      </c>
      <c r="J149" s="287">
        <v>0</v>
      </c>
      <c r="K149" s="287">
        <v>0</v>
      </c>
      <c r="L149"/>
      <c r="M149"/>
      <c r="N149"/>
      <c r="O149"/>
      <c r="P149"/>
      <c r="Q149"/>
      <c r="R149"/>
    </row>
    <row r="150" spans="2:18" ht="14.6" x14ac:dyDescent="0.4">
      <c r="B150" s="309">
        <v>174</v>
      </c>
      <c r="C150" s="309">
        <v>3</v>
      </c>
      <c r="D150" s="287"/>
      <c r="E150" s="287"/>
      <c r="F150" s="309"/>
      <c r="G150" s="309" t="s">
        <v>618</v>
      </c>
      <c r="H150" s="287" t="s">
        <v>376</v>
      </c>
      <c r="I150" s="309" t="s">
        <v>293</v>
      </c>
      <c r="J150" s="309">
        <v>0.16024718176</v>
      </c>
      <c r="K150" s="309">
        <v>1.1473599999999999</v>
      </c>
      <c r="L150"/>
      <c r="M150"/>
      <c r="N150"/>
      <c r="O150"/>
      <c r="P150"/>
      <c r="Q150"/>
      <c r="R150"/>
    </row>
    <row r="151" spans="2:18" ht="14.6" x14ac:dyDescent="0.4">
      <c r="B151" s="309">
        <v>175</v>
      </c>
      <c r="C151" s="287">
        <v>3</v>
      </c>
      <c r="D151" s="287"/>
      <c r="E151" s="287"/>
      <c r="F151" s="287"/>
      <c r="G151" s="309" t="s">
        <v>816</v>
      </c>
      <c r="H151" s="287" t="s">
        <v>376</v>
      </c>
      <c r="I151" s="309" t="s">
        <v>295</v>
      </c>
      <c r="J151" s="309">
        <v>8.0123590879999998E-2</v>
      </c>
      <c r="K151" s="309">
        <v>0.57367999999999997</v>
      </c>
      <c r="L151"/>
      <c r="M151"/>
      <c r="N151"/>
      <c r="O151"/>
      <c r="P151"/>
      <c r="Q151"/>
      <c r="R151"/>
    </row>
    <row r="152" spans="2:18" ht="14.6" x14ac:dyDescent="0.4">
      <c r="B152" s="309">
        <v>176</v>
      </c>
      <c r="C152" s="287">
        <v>3</v>
      </c>
      <c r="D152" s="287"/>
      <c r="E152" s="287"/>
      <c r="F152" s="287"/>
      <c r="G152" s="309" t="s">
        <v>619</v>
      </c>
      <c r="H152" s="287" t="s">
        <v>376</v>
      </c>
      <c r="I152" s="309" t="s">
        <v>115</v>
      </c>
      <c r="J152" s="287">
        <v>8.0123590879999998E-2</v>
      </c>
      <c r="K152" s="309">
        <v>0.57367999999999997</v>
      </c>
      <c r="L152"/>
      <c r="M152"/>
      <c r="N152"/>
      <c r="O152"/>
      <c r="P152"/>
      <c r="Q152"/>
      <c r="R152"/>
    </row>
    <row r="153" spans="2:18" ht="14.6" x14ac:dyDescent="0.4">
      <c r="B153" s="309">
        <v>177</v>
      </c>
      <c r="C153" s="287">
        <v>3</v>
      </c>
      <c r="D153" s="287"/>
      <c r="E153" s="287"/>
      <c r="F153" s="287"/>
      <c r="G153" s="309" t="s">
        <v>620</v>
      </c>
      <c r="H153" s="287" t="s">
        <v>376</v>
      </c>
      <c r="I153" s="309" t="s">
        <v>299</v>
      </c>
      <c r="J153" s="287">
        <v>8.0123590879999998E-2</v>
      </c>
      <c r="K153" s="309">
        <v>0.57367999999999997</v>
      </c>
      <c r="L153"/>
      <c r="M153"/>
      <c r="N153"/>
      <c r="O153"/>
      <c r="P153"/>
      <c r="Q153"/>
      <c r="R153"/>
    </row>
    <row r="154" spans="2:18" ht="14.6" x14ac:dyDescent="0.4">
      <c r="B154" s="309">
        <v>178</v>
      </c>
      <c r="C154" s="309">
        <v>2</v>
      </c>
      <c r="D154" s="287"/>
      <c r="E154" s="287"/>
      <c r="F154" s="309" t="s">
        <v>540</v>
      </c>
      <c r="G154" s="309"/>
      <c r="H154" s="287" t="s">
        <v>376</v>
      </c>
      <c r="I154" s="287">
        <v>0</v>
      </c>
      <c r="J154" s="287">
        <v>0</v>
      </c>
      <c r="K154" s="287">
        <v>0</v>
      </c>
      <c r="L154"/>
      <c r="M154"/>
      <c r="N154"/>
      <c r="O154"/>
      <c r="P154"/>
      <c r="Q154"/>
      <c r="R154"/>
    </row>
    <row r="155" spans="2:18" ht="14.6" x14ac:dyDescent="0.4">
      <c r="B155" s="309">
        <v>179</v>
      </c>
      <c r="C155" s="309">
        <v>3</v>
      </c>
      <c r="D155" s="287"/>
      <c r="E155" s="287"/>
      <c r="F155" s="309"/>
      <c r="G155" s="309" t="s">
        <v>621</v>
      </c>
      <c r="H155" s="287" t="s">
        <v>376</v>
      </c>
      <c r="I155" s="309" t="s">
        <v>115</v>
      </c>
      <c r="J155" s="309">
        <v>0.80123870212000003</v>
      </c>
      <c r="K155" s="309">
        <v>5.7368199999999998</v>
      </c>
      <c r="L155"/>
      <c r="M155"/>
      <c r="N155"/>
      <c r="O155"/>
      <c r="P155"/>
      <c r="Q155"/>
      <c r="R155"/>
    </row>
    <row r="156" spans="2:18" ht="14.6" x14ac:dyDescent="0.4">
      <c r="B156" s="309">
        <v>181</v>
      </c>
      <c r="C156" s="287">
        <v>3</v>
      </c>
      <c r="D156" s="287"/>
      <c r="E156" s="287"/>
      <c r="F156" s="287"/>
      <c r="G156" s="309" t="s">
        <v>622</v>
      </c>
      <c r="H156" s="287" t="s">
        <v>376</v>
      </c>
      <c r="I156" s="309" t="s">
        <v>305</v>
      </c>
      <c r="J156" s="287">
        <v>0.80123870212000003</v>
      </c>
      <c r="K156" s="309">
        <v>5.7368199999999998</v>
      </c>
      <c r="L156"/>
      <c r="M156"/>
      <c r="N156"/>
      <c r="O156"/>
      <c r="P156"/>
      <c r="Q156"/>
      <c r="R156"/>
    </row>
    <row r="157" spans="2:18" ht="14.6" x14ac:dyDescent="0.4">
      <c r="B157" s="309">
        <v>182</v>
      </c>
      <c r="C157" s="309">
        <v>2</v>
      </c>
      <c r="D157" s="287"/>
      <c r="E157" s="287"/>
      <c r="F157" s="309" t="s">
        <v>541</v>
      </c>
      <c r="G157" s="309"/>
      <c r="H157" s="287" t="s">
        <v>376</v>
      </c>
      <c r="I157" s="287">
        <v>0</v>
      </c>
      <c r="J157" s="287">
        <v>0</v>
      </c>
      <c r="K157" s="287">
        <v>0</v>
      </c>
      <c r="L157"/>
      <c r="M157"/>
      <c r="N157"/>
      <c r="O157"/>
      <c r="P157"/>
      <c r="Q157"/>
      <c r="R157"/>
    </row>
    <row r="158" spans="2:18" ht="14.6" x14ac:dyDescent="0.4">
      <c r="B158" s="309">
        <v>183</v>
      </c>
      <c r="C158" s="309">
        <v>3</v>
      </c>
      <c r="D158" s="287"/>
      <c r="E158" s="287"/>
      <c r="F158" s="309"/>
      <c r="G158" s="309" t="s">
        <v>623</v>
      </c>
      <c r="H158" s="287" t="s">
        <v>376</v>
      </c>
      <c r="I158" s="309" t="s">
        <v>310</v>
      </c>
      <c r="J158" s="309">
        <v>7.6307915759999997E-2</v>
      </c>
      <c r="K158" s="309">
        <v>0.54635999999999996</v>
      </c>
      <c r="L158"/>
      <c r="M158"/>
      <c r="N158"/>
      <c r="O158"/>
      <c r="P158"/>
      <c r="Q158"/>
      <c r="R158"/>
    </row>
    <row r="159" spans="2:18" ht="14.6" x14ac:dyDescent="0.4">
      <c r="B159" s="309">
        <v>184</v>
      </c>
      <c r="C159" s="287">
        <v>3</v>
      </c>
      <c r="D159" s="287"/>
      <c r="E159" s="287"/>
      <c r="F159" s="287"/>
      <c r="G159" s="309" t="s">
        <v>817</v>
      </c>
      <c r="H159" s="287" t="s">
        <v>376</v>
      </c>
      <c r="I159" s="309" t="s">
        <v>712</v>
      </c>
      <c r="J159" s="309">
        <v>0</v>
      </c>
      <c r="K159" s="309">
        <v>0</v>
      </c>
      <c r="L159"/>
      <c r="M159"/>
      <c r="N159"/>
      <c r="O159"/>
      <c r="P159"/>
      <c r="Q159"/>
      <c r="R159"/>
    </row>
    <row r="160" spans="2:18" ht="14.6" x14ac:dyDescent="0.4">
      <c r="B160" s="309">
        <v>185</v>
      </c>
      <c r="C160" s="287">
        <v>3</v>
      </c>
      <c r="D160" s="287"/>
      <c r="E160" s="287"/>
      <c r="F160" s="287"/>
      <c r="G160" s="309" t="s">
        <v>624</v>
      </c>
      <c r="H160" s="287" t="s">
        <v>376</v>
      </c>
      <c r="I160" s="309" t="s">
        <v>312</v>
      </c>
      <c r="J160" s="287">
        <v>0</v>
      </c>
      <c r="K160" s="309">
        <v>0</v>
      </c>
      <c r="L160"/>
      <c r="M160"/>
      <c r="N160"/>
      <c r="O160"/>
      <c r="P160"/>
      <c r="Q160"/>
      <c r="R160"/>
    </row>
    <row r="161" spans="2:18" ht="14.6" x14ac:dyDescent="0.4">
      <c r="B161" s="309">
        <v>186</v>
      </c>
      <c r="C161" s="287">
        <v>3</v>
      </c>
      <c r="D161" s="287"/>
      <c r="E161" s="287"/>
      <c r="F161" s="287"/>
      <c r="G161" s="309" t="s">
        <v>625</v>
      </c>
      <c r="H161" s="287" t="s">
        <v>376</v>
      </c>
      <c r="I161" s="309" t="s">
        <v>314</v>
      </c>
      <c r="J161" s="287">
        <v>0</v>
      </c>
      <c r="K161" s="309">
        <v>0</v>
      </c>
      <c r="L161"/>
      <c r="M161"/>
      <c r="N161"/>
      <c r="O161"/>
      <c r="P161"/>
      <c r="Q161"/>
      <c r="R161"/>
    </row>
    <row r="162" spans="2:18" ht="14.6" x14ac:dyDescent="0.4">
      <c r="B162" s="309">
        <v>188</v>
      </c>
      <c r="C162" s="309">
        <v>0</v>
      </c>
      <c r="D162" s="309" t="s">
        <v>315</v>
      </c>
      <c r="E162" s="287"/>
      <c r="F162" s="287"/>
      <c r="G162" s="309"/>
      <c r="H162" s="287" t="s">
        <v>376</v>
      </c>
      <c r="I162" s="287">
        <v>0</v>
      </c>
      <c r="J162" s="287">
        <v>0</v>
      </c>
      <c r="K162" s="287">
        <v>0</v>
      </c>
      <c r="L162"/>
      <c r="M162"/>
      <c r="N162"/>
      <c r="O162"/>
      <c r="P162"/>
      <c r="Q162"/>
      <c r="R162"/>
    </row>
    <row r="163" spans="2:18" ht="14.6" x14ac:dyDescent="0.4">
      <c r="B163" s="309">
        <v>189</v>
      </c>
      <c r="C163" s="309">
        <v>1</v>
      </c>
      <c r="D163" s="309"/>
      <c r="E163" s="309" t="s">
        <v>517</v>
      </c>
      <c r="F163" s="287"/>
      <c r="G163" s="287"/>
      <c r="H163" s="287" t="s">
        <v>376</v>
      </c>
      <c r="I163" s="287">
        <v>0</v>
      </c>
      <c r="J163" s="287">
        <v>0</v>
      </c>
      <c r="K163" s="287">
        <v>0</v>
      </c>
      <c r="L163"/>
      <c r="M163"/>
      <c r="N163"/>
      <c r="O163"/>
      <c r="P163"/>
      <c r="Q163"/>
      <c r="R163"/>
    </row>
    <row r="164" spans="2:18" ht="14.6" x14ac:dyDescent="0.4">
      <c r="B164" s="309">
        <v>190</v>
      </c>
      <c r="C164" s="309">
        <v>2</v>
      </c>
      <c r="D164" s="287"/>
      <c r="E164" s="309"/>
      <c r="F164" s="309" t="s">
        <v>542</v>
      </c>
      <c r="G164" s="287"/>
      <c r="H164" s="287" t="s">
        <v>376</v>
      </c>
      <c r="I164" s="309" t="s">
        <v>118</v>
      </c>
      <c r="J164" s="287">
        <v>0</v>
      </c>
      <c r="K164" s="309">
        <v>0</v>
      </c>
      <c r="L164"/>
      <c r="M164"/>
      <c r="N164"/>
      <c r="O164"/>
      <c r="P164"/>
      <c r="Q164"/>
      <c r="R164"/>
    </row>
    <row r="165" spans="2:18" ht="14.6" x14ac:dyDescent="0.4">
      <c r="B165" s="309">
        <v>191</v>
      </c>
      <c r="C165" s="309">
        <v>3</v>
      </c>
      <c r="D165" s="287"/>
      <c r="E165" s="287"/>
      <c r="F165" s="309"/>
      <c r="G165" s="309" t="s">
        <v>626</v>
      </c>
      <c r="H165" s="287" t="s">
        <v>376</v>
      </c>
      <c r="I165" s="287" t="s">
        <v>118</v>
      </c>
      <c r="J165" s="287">
        <v>0</v>
      </c>
      <c r="K165" s="309">
        <v>0</v>
      </c>
      <c r="L165"/>
      <c r="M165"/>
      <c r="N165"/>
      <c r="O165"/>
      <c r="P165"/>
      <c r="Q165"/>
      <c r="R165"/>
    </row>
    <row r="166" spans="2:18" ht="14.6" x14ac:dyDescent="0.4">
      <c r="B166" s="309">
        <v>192</v>
      </c>
      <c r="C166" s="287">
        <v>3</v>
      </c>
      <c r="D166" s="287"/>
      <c r="E166" s="287"/>
      <c r="F166" s="287"/>
      <c r="G166" s="309" t="s">
        <v>627</v>
      </c>
      <c r="H166" s="287" t="s">
        <v>376</v>
      </c>
      <c r="I166" s="287" t="s">
        <v>118</v>
      </c>
      <c r="J166" s="287">
        <v>0</v>
      </c>
      <c r="K166" s="309">
        <v>0</v>
      </c>
      <c r="L166"/>
      <c r="M166"/>
      <c r="N166"/>
      <c r="O166"/>
      <c r="P166"/>
      <c r="Q166"/>
      <c r="R166"/>
    </row>
    <row r="167" spans="2:18" ht="14.6" x14ac:dyDescent="0.4">
      <c r="B167" s="309">
        <v>193</v>
      </c>
      <c r="C167" s="287">
        <v>3</v>
      </c>
      <c r="D167" s="287"/>
      <c r="E167" s="287"/>
      <c r="F167" s="287"/>
      <c r="G167" s="309" t="s">
        <v>628</v>
      </c>
      <c r="H167" s="287" t="s">
        <v>376</v>
      </c>
      <c r="I167" s="287" t="s">
        <v>118</v>
      </c>
      <c r="J167" s="287">
        <v>0</v>
      </c>
      <c r="K167" s="309">
        <v>0</v>
      </c>
      <c r="L167"/>
      <c r="M167"/>
      <c r="N167"/>
      <c r="O167"/>
      <c r="P167"/>
      <c r="Q167"/>
      <c r="R167"/>
    </row>
    <row r="168" spans="2:18" ht="14.6" x14ac:dyDescent="0.4">
      <c r="B168" s="309">
        <v>194</v>
      </c>
      <c r="C168" s="309">
        <v>2</v>
      </c>
      <c r="D168" s="287"/>
      <c r="E168" s="287"/>
      <c r="F168" s="309" t="s">
        <v>543</v>
      </c>
      <c r="G168" s="309"/>
      <c r="H168" s="287" t="s">
        <v>376</v>
      </c>
      <c r="I168" s="287">
        <v>0</v>
      </c>
      <c r="J168" s="287">
        <v>0</v>
      </c>
      <c r="K168" s="287">
        <v>0</v>
      </c>
      <c r="L168"/>
      <c r="M168"/>
      <c r="N168"/>
      <c r="O168"/>
      <c r="P168"/>
      <c r="Q168"/>
      <c r="R168"/>
    </row>
    <row r="169" spans="2:18" ht="14.6" x14ac:dyDescent="0.4">
      <c r="B169" s="309">
        <v>195</v>
      </c>
      <c r="C169" s="309">
        <v>3</v>
      </c>
      <c r="D169" s="287"/>
      <c r="E169" s="287"/>
      <c r="F169" s="309"/>
      <c r="G169" s="309" t="s">
        <v>629</v>
      </c>
      <c r="H169" s="287" t="s">
        <v>376</v>
      </c>
      <c r="I169" s="309" t="s">
        <v>324</v>
      </c>
      <c r="J169" s="309">
        <v>9.6148588388</v>
      </c>
      <c r="K169" s="309">
        <v>68.841800000000006</v>
      </c>
      <c r="L169"/>
      <c r="M169"/>
      <c r="N169"/>
      <c r="O169"/>
      <c r="P169"/>
      <c r="Q169"/>
      <c r="R169"/>
    </row>
    <row r="170" spans="2:18" ht="14.6" x14ac:dyDescent="0.4">
      <c r="B170" s="309">
        <v>196</v>
      </c>
      <c r="C170" s="309">
        <v>7</v>
      </c>
      <c r="D170" s="287"/>
      <c r="E170" s="287"/>
      <c r="F170" s="287"/>
      <c r="G170" s="287" t="s">
        <v>860</v>
      </c>
      <c r="H170" s="287" t="s">
        <v>376</v>
      </c>
      <c r="I170" s="287" t="s">
        <v>327</v>
      </c>
      <c r="J170" s="287">
        <v>8.0123590879999998E-2</v>
      </c>
      <c r="K170" s="287">
        <v>0.57367999999999997</v>
      </c>
      <c r="L170"/>
      <c r="M170"/>
      <c r="N170"/>
      <c r="O170"/>
      <c r="P170"/>
      <c r="Q170"/>
      <c r="R170"/>
    </row>
    <row r="171" spans="2:18" ht="14.6" x14ac:dyDescent="0.4">
      <c r="B171" s="309">
        <v>197</v>
      </c>
      <c r="C171" s="309">
        <v>3</v>
      </c>
      <c r="D171" s="287"/>
      <c r="E171" s="287"/>
      <c r="F171" s="287"/>
      <c r="G171" s="309" t="s">
        <v>630</v>
      </c>
      <c r="H171" s="287" t="s">
        <v>376</v>
      </c>
      <c r="I171" s="309" t="s">
        <v>330</v>
      </c>
      <c r="J171" s="309">
        <v>9.6148588388</v>
      </c>
      <c r="K171" s="309">
        <v>68.841800000000006</v>
      </c>
      <c r="L171"/>
      <c r="M171"/>
      <c r="N171"/>
      <c r="O171"/>
      <c r="P171"/>
      <c r="Q171"/>
      <c r="R171"/>
    </row>
    <row r="172" spans="2:18" ht="14.6" x14ac:dyDescent="0.4">
      <c r="B172" s="309">
        <v>198</v>
      </c>
      <c r="C172" s="287">
        <v>3</v>
      </c>
      <c r="D172" s="287"/>
      <c r="E172" s="287"/>
      <c r="F172" s="287"/>
      <c r="G172" s="309" t="s">
        <v>631</v>
      </c>
      <c r="H172" s="287" t="s">
        <v>376</v>
      </c>
      <c r="I172" s="309" t="s">
        <v>332</v>
      </c>
      <c r="J172" s="287">
        <v>9.6148588388</v>
      </c>
      <c r="K172" s="309">
        <v>68.841800000000006</v>
      </c>
      <c r="L172"/>
      <c r="M172"/>
      <c r="N172"/>
      <c r="O172"/>
      <c r="P172"/>
      <c r="Q172"/>
      <c r="R172"/>
    </row>
    <row r="173" spans="2:18" ht="14.6" x14ac:dyDescent="0.4">
      <c r="B173" s="309">
        <v>199</v>
      </c>
      <c r="C173" s="309">
        <v>8</v>
      </c>
      <c r="D173" s="287"/>
      <c r="E173" s="287"/>
      <c r="F173" s="287"/>
      <c r="G173" s="287" t="s">
        <v>861</v>
      </c>
      <c r="H173" s="287" t="s">
        <v>376</v>
      </c>
      <c r="I173" s="287" t="s">
        <v>334</v>
      </c>
      <c r="J173" s="287">
        <v>0.32049576018000003</v>
      </c>
      <c r="K173" s="287">
        <v>2.2947299999999999</v>
      </c>
      <c r="L173"/>
      <c r="M173"/>
      <c r="N173"/>
      <c r="O173"/>
      <c r="P173"/>
      <c r="Q173"/>
      <c r="R173"/>
    </row>
    <row r="174" spans="2:18" ht="14.6" x14ac:dyDescent="0.4">
      <c r="B174" s="309">
        <v>200</v>
      </c>
      <c r="C174" s="309">
        <v>3</v>
      </c>
      <c r="D174" s="287"/>
      <c r="E174" s="287"/>
      <c r="F174" s="287"/>
      <c r="G174" s="309" t="s">
        <v>632</v>
      </c>
      <c r="H174" s="287" t="s">
        <v>376</v>
      </c>
      <c r="I174" s="309" t="s">
        <v>336</v>
      </c>
      <c r="J174" s="309">
        <v>3.20495341182</v>
      </c>
      <c r="K174" s="309">
        <v>22.94727</v>
      </c>
      <c r="L174"/>
      <c r="M174"/>
      <c r="N174"/>
      <c r="O174"/>
      <c r="P174"/>
      <c r="Q174"/>
      <c r="R174"/>
    </row>
    <row r="175" spans="2:18" ht="14.6" x14ac:dyDescent="0.4">
      <c r="B175" s="309">
        <v>201</v>
      </c>
      <c r="C175" s="309">
        <v>1</v>
      </c>
      <c r="D175" s="287"/>
      <c r="E175" s="309" t="s">
        <v>518</v>
      </c>
      <c r="F175" s="287"/>
      <c r="G175" s="309"/>
      <c r="H175" s="287" t="s">
        <v>376</v>
      </c>
      <c r="I175" s="287">
        <v>0</v>
      </c>
      <c r="J175" s="287">
        <v>0</v>
      </c>
      <c r="K175" s="287">
        <v>0</v>
      </c>
      <c r="L175"/>
      <c r="M175"/>
      <c r="N175"/>
      <c r="O175"/>
      <c r="P175"/>
      <c r="Q175"/>
      <c r="R175"/>
    </row>
    <row r="176" spans="2:18" ht="14.6" x14ac:dyDescent="0.4">
      <c r="B176" s="309">
        <v>202</v>
      </c>
      <c r="C176" s="309">
        <v>2</v>
      </c>
      <c r="D176" s="287"/>
      <c r="E176" s="309"/>
      <c r="F176" s="309" t="s">
        <v>544</v>
      </c>
      <c r="G176" s="287"/>
      <c r="H176" s="287" t="s">
        <v>376</v>
      </c>
      <c r="I176" s="309" t="s">
        <v>339</v>
      </c>
      <c r="J176" s="287">
        <v>0</v>
      </c>
      <c r="K176" s="309">
        <v>0</v>
      </c>
      <c r="L176"/>
      <c r="M176"/>
      <c r="N176"/>
      <c r="O176"/>
      <c r="P176"/>
      <c r="Q176"/>
      <c r="R176"/>
    </row>
    <row r="177" spans="2:18" ht="14.6" x14ac:dyDescent="0.4">
      <c r="B177" s="309">
        <v>203</v>
      </c>
      <c r="C177" s="309">
        <v>3</v>
      </c>
      <c r="D177" s="287"/>
      <c r="E177" s="287"/>
      <c r="F177" s="309"/>
      <c r="G177" s="309" t="s">
        <v>633</v>
      </c>
      <c r="H177" s="287" t="s">
        <v>376</v>
      </c>
      <c r="I177" s="287" t="s">
        <v>339</v>
      </c>
      <c r="J177" s="287">
        <v>0</v>
      </c>
      <c r="K177" s="309">
        <v>0</v>
      </c>
      <c r="L177"/>
      <c r="M177"/>
      <c r="N177"/>
      <c r="O177"/>
      <c r="P177"/>
      <c r="Q177"/>
      <c r="R177"/>
    </row>
    <row r="178" spans="2:18" ht="14.6" x14ac:dyDescent="0.4">
      <c r="B178" s="309">
        <v>204</v>
      </c>
      <c r="C178" s="287">
        <v>3</v>
      </c>
      <c r="D178" s="287"/>
      <c r="E178" s="287"/>
      <c r="F178" s="287"/>
      <c r="G178" s="309" t="s">
        <v>634</v>
      </c>
      <c r="H178" s="287" t="s">
        <v>376</v>
      </c>
      <c r="I178" s="287" t="s">
        <v>339</v>
      </c>
      <c r="J178" s="287">
        <v>0</v>
      </c>
      <c r="K178" s="309">
        <v>0</v>
      </c>
      <c r="L178"/>
      <c r="M178"/>
      <c r="N178"/>
      <c r="O178"/>
      <c r="P178"/>
      <c r="Q178"/>
      <c r="R178"/>
    </row>
    <row r="179" spans="2:18" ht="14.6" x14ac:dyDescent="0.4">
      <c r="B179" s="309">
        <v>205</v>
      </c>
      <c r="C179" s="287">
        <v>3</v>
      </c>
      <c r="D179" s="287"/>
      <c r="E179" s="287"/>
      <c r="F179" s="287"/>
      <c r="G179" s="309" t="s">
        <v>635</v>
      </c>
      <c r="H179" s="287" t="s">
        <v>376</v>
      </c>
      <c r="I179" s="287" t="s">
        <v>339</v>
      </c>
      <c r="J179" s="287">
        <v>0</v>
      </c>
      <c r="K179" s="309">
        <v>0</v>
      </c>
      <c r="L179"/>
      <c r="M179"/>
      <c r="N179"/>
      <c r="O179"/>
      <c r="P179"/>
      <c r="Q179"/>
      <c r="R179"/>
    </row>
    <row r="180" spans="2:18" ht="14.6" x14ac:dyDescent="0.4">
      <c r="B180" s="309">
        <v>206</v>
      </c>
      <c r="C180" s="309">
        <v>2</v>
      </c>
      <c r="D180" s="287"/>
      <c r="E180" s="287"/>
      <c r="F180" s="309" t="s">
        <v>545</v>
      </c>
      <c r="G180" s="309"/>
      <c r="H180" s="287" t="s">
        <v>376</v>
      </c>
      <c r="I180" s="287">
        <v>0</v>
      </c>
      <c r="J180" s="287">
        <v>0</v>
      </c>
      <c r="K180" s="287">
        <v>0</v>
      </c>
      <c r="L180"/>
      <c r="M180"/>
      <c r="N180"/>
      <c r="O180"/>
      <c r="P180"/>
      <c r="Q180"/>
      <c r="R180"/>
    </row>
    <row r="181" spans="2:18" ht="14.6" x14ac:dyDescent="0.4">
      <c r="B181" s="309">
        <v>207</v>
      </c>
      <c r="C181" s="309">
        <v>3</v>
      </c>
      <c r="D181" s="287"/>
      <c r="E181" s="287"/>
      <c r="F181" s="309"/>
      <c r="G181" s="309" t="s">
        <v>636</v>
      </c>
      <c r="H181" s="287" t="s">
        <v>376</v>
      </c>
      <c r="I181" s="309" t="s">
        <v>345</v>
      </c>
      <c r="J181" s="309">
        <v>9.6148588388</v>
      </c>
      <c r="K181" s="309">
        <v>68.841800000000006</v>
      </c>
      <c r="L181"/>
      <c r="M181"/>
      <c r="N181"/>
      <c r="O181"/>
      <c r="P181"/>
      <c r="Q181"/>
      <c r="R181"/>
    </row>
    <row r="182" spans="2:18" ht="14.6" x14ac:dyDescent="0.4">
      <c r="B182" s="309">
        <v>208</v>
      </c>
      <c r="C182" s="309">
        <v>5</v>
      </c>
      <c r="D182" s="287"/>
      <c r="E182" s="287"/>
      <c r="F182" s="287"/>
      <c r="G182" s="287" t="s">
        <v>862</v>
      </c>
      <c r="H182" s="287" t="s">
        <v>376</v>
      </c>
      <c r="I182" s="287" t="s">
        <v>347</v>
      </c>
      <c r="J182" s="287">
        <v>3.20495341182</v>
      </c>
      <c r="K182" s="287">
        <v>22.94727</v>
      </c>
      <c r="L182"/>
      <c r="M182"/>
      <c r="N182"/>
      <c r="O182"/>
      <c r="P182"/>
      <c r="Q182"/>
      <c r="R182"/>
    </row>
    <row r="183" spans="2:18" ht="14.6" x14ac:dyDescent="0.4">
      <c r="B183" s="309">
        <v>209</v>
      </c>
      <c r="C183" s="309">
        <v>3</v>
      </c>
      <c r="D183" s="287"/>
      <c r="E183" s="287"/>
      <c r="F183" s="287"/>
      <c r="G183" s="309" t="s">
        <v>637</v>
      </c>
      <c r="H183" s="287" t="s">
        <v>376</v>
      </c>
      <c r="I183" s="287">
        <v>0</v>
      </c>
      <c r="J183" s="287">
        <v>0</v>
      </c>
      <c r="K183" s="287">
        <v>0</v>
      </c>
      <c r="L183"/>
      <c r="M183"/>
      <c r="N183"/>
      <c r="O183"/>
      <c r="P183"/>
      <c r="Q183"/>
      <c r="R183"/>
    </row>
    <row r="184" spans="2:18" ht="14.6" x14ac:dyDescent="0.4">
      <c r="B184" s="309">
        <v>210</v>
      </c>
      <c r="C184" s="309">
        <v>0</v>
      </c>
      <c r="D184" s="309" t="s">
        <v>349</v>
      </c>
      <c r="E184" s="287"/>
      <c r="F184" s="287"/>
      <c r="G184" s="309"/>
      <c r="H184" s="287" t="s">
        <v>376</v>
      </c>
      <c r="I184" s="287">
        <v>0</v>
      </c>
      <c r="J184" s="287">
        <v>0</v>
      </c>
      <c r="K184" s="287">
        <v>0</v>
      </c>
      <c r="L184"/>
      <c r="M184"/>
      <c r="N184"/>
      <c r="O184"/>
      <c r="P184"/>
      <c r="Q184"/>
      <c r="R184"/>
    </row>
    <row r="185" spans="2:18" ht="14.6" x14ac:dyDescent="0.4">
      <c r="B185" s="309">
        <v>211</v>
      </c>
      <c r="C185" s="309">
        <v>1</v>
      </c>
      <c r="D185" s="309"/>
      <c r="E185" s="309" t="s">
        <v>349</v>
      </c>
      <c r="F185" s="287"/>
      <c r="G185" s="287"/>
      <c r="H185" s="287" t="s">
        <v>376</v>
      </c>
      <c r="I185" s="287">
        <v>0</v>
      </c>
      <c r="J185" s="287">
        <v>0</v>
      </c>
      <c r="K185" s="287">
        <v>0</v>
      </c>
      <c r="L185"/>
      <c r="M185"/>
      <c r="N185"/>
      <c r="O185"/>
      <c r="P185"/>
      <c r="Q185"/>
      <c r="R185"/>
    </row>
    <row r="186" spans="2:18" ht="14.6" x14ac:dyDescent="0.4">
      <c r="B186" s="309">
        <v>212</v>
      </c>
      <c r="C186" s="309">
        <v>2</v>
      </c>
      <c r="D186" s="287"/>
      <c r="E186" s="309"/>
      <c r="F186" s="309" t="s">
        <v>546</v>
      </c>
      <c r="G186" s="287"/>
      <c r="H186" s="287" t="s">
        <v>376</v>
      </c>
      <c r="I186" s="287">
        <v>0</v>
      </c>
      <c r="J186" s="287">
        <v>0</v>
      </c>
      <c r="K186" s="287">
        <v>0</v>
      </c>
      <c r="L186"/>
      <c r="M186"/>
      <c r="N186"/>
      <c r="O186"/>
      <c r="P186"/>
      <c r="Q186"/>
      <c r="R186"/>
    </row>
    <row r="187" spans="2:18" ht="14.6" x14ac:dyDescent="0.4">
      <c r="B187" s="309">
        <v>213</v>
      </c>
      <c r="C187" s="309">
        <v>3</v>
      </c>
      <c r="D187" s="287"/>
      <c r="E187" s="287"/>
      <c r="F187" s="309"/>
      <c r="G187" s="309" t="s">
        <v>638</v>
      </c>
      <c r="H187" s="287" t="s">
        <v>376</v>
      </c>
      <c r="I187" s="309" t="s">
        <v>354</v>
      </c>
      <c r="J187" s="309">
        <v>2.4037147097</v>
      </c>
      <c r="K187" s="309">
        <v>17.210450000000002</v>
      </c>
      <c r="L187"/>
      <c r="M187"/>
      <c r="N187"/>
      <c r="O187"/>
      <c r="P187"/>
      <c r="Q187"/>
      <c r="R187"/>
    </row>
    <row r="188" spans="2:18" ht="14.6" x14ac:dyDescent="0.4">
      <c r="B188" s="309">
        <v>214</v>
      </c>
      <c r="C188" s="287">
        <v>3</v>
      </c>
      <c r="D188" s="287"/>
      <c r="E188" s="287"/>
      <c r="F188" s="287"/>
      <c r="G188" s="309" t="s">
        <v>639</v>
      </c>
      <c r="H188" s="287" t="s">
        <v>376</v>
      </c>
      <c r="I188" s="309" t="s">
        <v>357</v>
      </c>
      <c r="J188" s="287">
        <v>2.4037147097</v>
      </c>
      <c r="K188" s="309">
        <v>17.210450000000002</v>
      </c>
      <c r="L188"/>
      <c r="M188"/>
      <c r="N188"/>
      <c r="O188"/>
      <c r="P188"/>
      <c r="Q188"/>
      <c r="R188"/>
    </row>
    <row r="189" spans="2:18" ht="14.6" x14ac:dyDescent="0.4">
      <c r="B189" s="309">
        <v>215</v>
      </c>
      <c r="C189" s="287">
        <v>3</v>
      </c>
      <c r="D189" s="287"/>
      <c r="E189" s="287"/>
      <c r="F189" s="287"/>
      <c r="G189" s="309" t="s">
        <v>640</v>
      </c>
      <c r="H189" s="287" t="s">
        <v>376</v>
      </c>
      <c r="I189" s="309" t="s">
        <v>360</v>
      </c>
      <c r="J189" s="287">
        <v>2.4037147097</v>
      </c>
      <c r="K189" s="309">
        <v>17.210450000000002</v>
      </c>
      <c r="L189"/>
      <c r="M189"/>
      <c r="N189"/>
      <c r="O189"/>
      <c r="P189"/>
      <c r="Q189"/>
      <c r="R189"/>
    </row>
    <row r="190" spans="2:18" ht="14.6" x14ac:dyDescent="0.4">
      <c r="B190" s="309">
        <v>251</v>
      </c>
      <c r="C190" s="309">
        <v>0</v>
      </c>
      <c r="D190" s="309" t="s">
        <v>361</v>
      </c>
      <c r="E190" s="287"/>
      <c r="F190" s="287"/>
      <c r="G190" s="309"/>
      <c r="H190" s="287" t="s">
        <v>376</v>
      </c>
      <c r="I190" s="287">
        <v>0</v>
      </c>
      <c r="J190" s="287">
        <v>0</v>
      </c>
      <c r="K190" s="287">
        <v>0</v>
      </c>
      <c r="L190"/>
      <c r="M190"/>
      <c r="N190"/>
      <c r="O190"/>
      <c r="P190"/>
      <c r="Q190"/>
      <c r="R190"/>
    </row>
    <row r="191" spans="2:18" ht="14.6" x14ac:dyDescent="0.4">
      <c r="B191" s="309">
        <v>252</v>
      </c>
      <c r="C191" s="309">
        <v>1</v>
      </c>
      <c r="D191" s="309"/>
      <c r="E191" s="309" t="s">
        <v>519</v>
      </c>
      <c r="F191" s="287"/>
      <c r="G191" s="287"/>
      <c r="H191" s="287" t="s">
        <v>376</v>
      </c>
      <c r="I191" s="287">
        <v>0</v>
      </c>
      <c r="J191" s="287">
        <v>0</v>
      </c>
      <c r="K191" s="287">
        <v>0</v>
      </c>
      <c r="L191"/>
      <c r="M191"/>
      <c r="N191"/>
      <c r="O191"/>
      <c r="P191"/>
      <c r="Q191"/>
      <c r="R191"/>
    </row>
    <row r="192" spans="2:18" ht="14.6" x14ac:dyDescent="0.4">
      <c r="B192" s="309">
        <v>253</v>
      </c>
      <c r="C192" s="309">
        <v>3</v>
      </c>
      <c r="D192" s="287"/>
      <c r="E192" s="309"/>
      <c r="F192" s="287"/>
      <c r="G192" s="309" t="s">
        <v>641</v>
      </c>
      <c r="H192" s="287" t="s">
        <v>376</v>
      </c>
      <c r="I192" s="309" t="s">
        <v>365</v>
      </c>
      <c r="J192" s="309">
        <v>0.41899799999999998</v>
      </c>
      <c r="K192" s="309">
        <v>0</v>
      </c>
      <c r="L192"/>
      <c r="M192"/>
      <c r="N192"/>
      <c r="O192"/>
      <c r="P192"/>
      <c r="Q192"/>
      <c r="R192"/>
    </row>
    <row r="193" spans="2:18" ht="14.6" x14ac:dyDescent="0.4">
      <c r="B193" s="309">
        <v>254</v>
      </c>
      <c r="C193" s="309">
        <v>0</v>
      </c>
      <c r="D193" s="309" t="s">
        <v>366</v>
      </c>
      <c r="E193" s="287"/>
      <c r="F193" s="287"/>
      <c r="G193" s="309"/>
      <c r="H193" s="287" t="s">
        <v>376</v>
      </c>
      <c r="I193" s="287">
        <v>0</v>
      </c>
      <c r="J193" s="287">
        <v>0</v>
      </c>
      <c r="K193" s="287">
        <v>0</v>
      </c>
      <c r="L193"/>
      <c r="M193"/>
      <c r="N193"/>
      <c r="O193"/>
      <c r="P193"/>
      <c r="Q193"/>
      <c r="R193"/>
    </row>
    <row r="194" spans="2:18" ht="14.6" x14ac:dyDescent="0.4">
      <c r="B194" s="309">
        <v>255</v>
      </c>
      <c r="C194" s="309">
        <v>3</v>
      </c>
      <c r="D194" s="309"/>
      <c r="E194" s="287"/>
      <c r="F194" s="287"/>
      <c r="G194" s="309" t="s">
        <v>642</v>
      </c>
      <c r="H194" s="287" t="s">
        <v>376</v>
      </c>
      <c r="I194" s="309" t="s">
        <v>369</v>
      </c>
      <c r="J194" s="309">
        <v>244.48323800999998</v>
      </c>
      <c r="K194" s="309">
        <v>0</v>
      </c>
      <c r="L194"/>
      <c r="M194"/>
      <c r="N194"/>
      <c r="O194"/>
      <c r="P194"/>
      <c r="Q194"/>
      <c r="R194"/>
    </row>
    <row r="195" spans="2:18" ht="14.6" x14ac:dyDescent="0.4">
      <c r="B195" s="309">
        <v>260</v>
      </c>
      <c r="C195" s="309">
        <v>0</v>
      </c>
      <c r="D195" s="287"/>
      <c r="E195" s="287"/>
      <c r="F195" s="287"/>
      <c r="G195" s="309"/>
      <c r="H195" s="287" t="s">
        <v>376</v>
      </c>
      <c r="I195" s="287">
        <v>0</v>
      </c>
      <c r="J195" s="287"/>
      <c r="K195" s="287"/>
      <c r="L195"/>
      <c r="M195"/>
      <c r="N195"/>
      <c r="O195"/>
      <c r="P195"/>
      <c r="Q195"/>
      <c r="R195"/>
    </row>
    <row r="196" spans="2:18" ht="14.6" x14ac:dyDescent="0.4">
      <c r="B196"/>
      <c r="C196"/>
      <c r="D196"/>
      <c r="E196"/>
      <c r="F196"/>
      <c r="G196"/>
      <c r="H196"/>
      <c r="I196"/>
      <c r="J196"/>
      <c r="K196"/>
      <c r="L196"/>
      <c r="M196"/>
      <c r="N196"/>
      <c r="O196"/>
      <c r="P196"/>
      <c r="Q196"/>
      <c r="R196"/>
    </row>
    <row r="197" spans="2:18" ht="14.6" x14ac:dyDescent="0.4">
      <c r="B197"/>
      <c r="C197"/>
      <c r="D197"/>
      <c r="E197"/>
      <c r="F197"/>
      <c r="G197"/>
      <c r="H197"/>
      <c r="I197"/>
      <c r="J197"/>
      <c r="K197"/>
      <c r="L197"/>
      <c r="M197"/>
      <c r="N197"/>
      <c r="O197"/>
      <c r="P197"/>
      <c r="Q197"/>
      <c r="R197"/>
    </row>
    <row r="198" spans="2:18" ht="14.6" x14ac:dyDescent="0.4">
      <c r="B198"/>
      <c r="C198"/>
      <c r="D198"/>
      <c r="E198"/>
      <c r="F198"/>
      <c r="G198"/>
      <c r="H198"/>
      <c r="I198"/>
      <c r="J198"/>
      <c r="K198"/>
      <c r="L198"/>
      <c r="M198"/>
      <c r="N198"/>
      <c r="O198"/>
      <c r="P198"/>
      <c r="Q198"/>
      <c r="R198"/>
    </row>
    <row r="199" spans="2:18" ht="14.6" x14ac:dyDescent="0.4">
      <c r="B199"/>
      <c r="C199"/>
      <c r="D199"/>
      <c r="E199"/>
      <c r="F199"/>
      <c r="G199"/>
      <c r="H199"/>
      <c r="I199"/>
      <c r="J199"/>
      <c r="K199"/>
      <c r="L199"/>
      <c r="M199"/>
      <c r="N199"/>
      <c r="O199"/>
      <c r="P199"/>
      <c r="Q199"/>
      <c r="R199"/>
    </row>
    <row r="200" spans="2:18" ht="14.6" x14ac:dyDescent="0.4">
      <c r="B200"/>
      <c r="C200"/>
      <c r="D200"/>
      <c r="E200"/>
      <c r="F200"/>
      <c r="G200"/>
      <c r="H200"/>
      <c r="I200"/>
      <c r="J200"/>
      <c r="K200"/>
      <c r="L200"/>
      <c r="M200"/>
      <c r="N200"/>
      <c r="O200"/>
      <c r="P200"/>
      <c r="Q200"/>
      <c r="R200"/>
    </row>
    <row r="201" spans="2:18" ht="14.6" x14ac:dyDescent="0.4">
      <c r="B201"/>
      <c r="C201"/>
      <c r="D201"/>
      <c r="E201"/>
      <c r="F201"/>
      <c r="G201"/>
      <c r="H201"/>
      <c r="I201"/>
      <c r="J201"/>
      <c r="K201"/>
      <c r="L201"/>
      <c r="M201"/>
      <c r="N201"/>
      <c r="O201"/>
      <c r="P201"/>
      <c r="Q201"/>
      <c r="R201"/>
    </row>
    <row r="202" spans="2:18" ht="14.6" x14ac:dyDescent="0.4">
      <c r="B202"/>
      <c r="C202"/>
      <c r="D202"/>
      <c r="E202"/>
      <c r="F202"/>
      <c r="G202"/>
      <c r="H202"/>
      <c r="I202"/>
      <c r="J202"/>
      <c r="K202"/>
      <c r="L202"/>
      <c r="M202"/>
      <c r="N202"/>
      <c r="O202"/>
      <c r="P202"/>
      <c r="Q202"/>
      <c r="R202"/>
    </row>
    <row r="203" spans="2:18" ht="14.6" x14ac:dyDescent="0.4">
      <c r="B203"/>
      <c r="C203"/>
      <c r="D203"/>
      <c r="E203"/>
      <c r="F203"/>
      <c r="G203"/>
      <c r="H203"/>
      <c r="I203"/>
      <c r="J203"/>
      <c r="K203"/>
      <c r="L203"/>
      <c r="M203"/>
      <c r="N203"/>
      <c r="O203"/>
      <c r="P203"/>
      <c r="Q203"/>
      <c r="R203"/>
    </row>
    <row r="204" spans="2:18" ht="14.6" x14ac:dyDescent="0.4">
      <c r="B204"/>
      <c r="C204"/>
      <c r="D204"/>
      <c r="E204"/>
      <c r="F204"/>
      <c r="G204"/>
      <c r="H204"/>
      <c r="I204"/>
      <c r="J204"/>
      <c r="K204"/>
      <c r="L204"/>
      <c r="M204"/>
      <c r="N204"/>
      <c r="O204"/>
      <c r="P204"/>
      <c r="Q204"/>
      <c r="R204"/>
    </row>
    <row r="205" spans="2:18" ht="14.6" x14ac:dyDescent="0.4">
      <c r="B205"/>
      <c r="C205"/>
      <c r="D205"/>
      <c r="E205"/>
      <c r="F205"/>
      <c r="G205"/>
      <c r="H205"/>
      <c r="I205"/>
      <c r="J205"/>
      <c r="K205"/>
      <c r="L205"/>
      <c r="M205"/>
      <c r="N205"/>
      <c r="O205"/>
      <c r="P205"/>
      <c r="Q205"/>
      <c r="R205"/>
    </row>
    <row r="206" spans="2:18" ht="14.6" x14ac:dyDescent="0.4">
      <c r="B206"/>
      <c r="C206"/>
      <c r="D206"/>
      <c r="E206"/>
      <c r="F206"/>
      <c r="G206"/>
      <c r="H206"/>
      <c r="I206"/>
      <c r="J206"/>
      <c r="K206"/>
      <c r="L206"/>
      <c r="M206"/>
      <c r="N206"/>
      <c r="O206"/>
      <c r="P206"/>
      <c r="Q206"/>
      <c r="R206"/>
    </row>
    <row r="207" spans="2:18" ht="14.6" x14ac:dyDescent="0.4">
      <c r="B207"/>
      <c r="C207"/>
      <c r="D207"/>
      <c r="E207"/>
      <c r="F207"/>
      <c r="G207"/>
      <c r="H207"/>
      <c r="I207"/>
      <c r="J207"/>
      <c r="K207"/>
      <c r="L207"/>
      <c r="M207"/>
      <c r="N207"/>
      <c r="O207"/>
      <c r="P207"/>
      <c r="Q207"/>
      <c r="R207"/>
    </row>
    <row r="208" spans="2:18" ht="14.6" x14ac:dyDescent="0.4">
      <c r="B208"/>
      <c r="C208"/>
      <c r="D208"/>
      <c r="E208"/>
      <c r="F208"/>
      <c r="G208"/>
      <c r="H208"/>
      <c r="I208"/>
      <c r="J208"/>
      <c r="K208"/>
      <c r="L208"/>
      <c r="M208"/>
      <c r="N208"/>
      <c r="O208"/>
      <c r="P208"/>
      <c r="Q208"/>
      <c r="R208"/>
    </row>
    <row r="209" spans="2:18" ht="14.6" x14ac:dyDescent="0.4">
      <c r="B209"/>
      <c r="C209"/>
      <c r="D209"/>
      <c r="E209"/>
      <c r="F209"/>
      <c r="G209"/>
      <c r="H209"/>
      <c r="I209"/>
      <c r="J209"/>
      <c r="K209"/>
      <c r="L209"/>
      <c r="M209"/>
      <c r="N209"/>
      <c r="O209"/>
      <c r="P209"/>
      <c r="Q209"/>
      <c r="R209"/>
    </row>
    <row r="210" spans="2:18" ht="14.6" x14ac:dyDescent="0.4">
      <c r="B210"/>
      <c r="C210"/>
      <c r="D210"/>
      <c r="E210"/>
      <c r="F210"/>
      <c r="G210"/>
      <c r="H210"/>
      <c r="I210"/>
      <c r="J210"/>
      <c r="K210"/>
      <c r="L210"/>
      <c r="M210"/>
      <c r="N210"/>
      <c r="O210"/>
      <c r="P210"/>
      <c r="Q210"/>
      <c r="R210"/>
    </row>
    <row r="211" spans="2:18" ht="14.6" x14ac:dyDescent="0.4">
      <c r="B211"/>
      <c r="C211"/>
      <c r="D211"/>
      <c r="E211"/>
      <c r="F211"/>
      <c r="G211"/>
      <c r="H211"/>
      <c r="I211"/>
      <c r="J211"/>
      <c r="K211"/>
      <c r="L211"/>
      <c r="M211"/>
      <c r="N211"/>
      <c r="O211"/>
      <c r="P211"/>
      <c r="Q211"/>
      <c r="R211"/>
    </row>
    <row r="212" spans="2:18" ht="14.6" x14ac:dyDescent="0.4">
      <c r="B212"/>
      <c r="C212"/>
      <c r="D212"/>
      <c r="E212"/>
      <c r="F212"/>
      <c r="G212"/>
      <c r="H212"/>
      <c r="I212"/>
      <c r="J212"/>
      <c r="K212"/>
      <c r="L212"/>
      <c r="M212"/>
      <c r="N212"/>
      <c r="O212"/>
      <c r="P212"/>
      <c r="Q212"/>
      <c r="R212"/>
    </row>
    <row r="213" spans="2:18" ht="14.6" x14ac:dyDescent="0.4">
      <c r="B213"/>
      <c r="C213"/>
      <c r="D213"/>
      <c r="E213"/>
      <c r="F213"/>
      <c r="G213"/>
      <c r="H213"/>
      <c r="I213"/>
      <c r="J213"/>
      <c r="K213"/>
      <c r="L213"/>
      <c r="M213"/>
      <c r="N213"/>
      <c r="O213"/>
      <c r="P213"/>
      <c r="Q213"/>
      <c r="R213"/>
    </row>
    <row r="214" spans="2:18" ht="14.6" x14ac:dyDescent="0.4">
      <c r="B214"/>
      <c r="C214"/>
      <c r="D214"/>
      <c r="E214"/>
      <c r="F214"/>
      <c r="G214"/>
      <c r="H214"/>
      <c r="I214"/>
      <c r="J214"/>
      <c r="K214"/>
      <c r="L214"/>
      <c r="M214"/>
      <c r="N214"/>
      <c r="O214"/>
      <c r="P214"/>
      <c r="Q214"/>
      <c r="R214"/>
    </row>
    <row r="215" spans="2:18" ht="14.6" x14ac:dyDescent="0.4">
      <c r="B215"/>
      <c r="C215"/>
      <c r="D215"/>
      <c r="E215"/>
      <c r="F215"/>
      <c r="G215"/>
      <c r="H215"/>
      <c r="I215"/>
      <c r="J215"/>
      <c r="K215"/>
      <c r="L215"/>
      <c r="M215"/>
      <c r="N215"/>
      <c r="O215"/>
      <c r="P215"/>
      <c r="Q215"/>
      <c r="R215"/>
    </row>
    <row r="216" spans="2:18" ht="14.6" x14ac:dyDescent="0.4">
      <c r="B216"/>
      <c r="C216"/>
      <c r="D216"/>
      <c r="E216"/>
      <c r="F216"/>
      <c r="G216"/>
      <c r="H216"/>
      <c r="I216"/>
      <c r="J216"/>
      <c r="K216"/>
      <c r="L216"/>
      <c r="M216"/>
      <c r="N216"/>
      <c r="O216"/>
      <c r="P216"/>
      <c r="Q216"/>
      <c r="R216"/>
    </row>
    <row r="217" spans="2:18" ht="14.6" x14ac:dyDescent="0.4">
      <c r="B217"/>
      <c r="C217"/>
      <c r="D217"/>
      <c r="E217"/>
      <c r="F217"/>
      <c r="G217"/>
      <c r="H217"/>
      <c r="I217"/>
      <c r="J217"/>
      <c r="K217"/>
      <c r="L217"/>
      <c r="M217"/>
      <c r="N217"/>
      <c r="O217"/>
      <c r="P217"/>
      <c r="Q217"/>
      <c r="R217"/>
    </row>
    <row r="218" spans="2:18" ht="14.6" x14ac:dyDescent="0.4">
      <c r="B218"/>
      <c r="C218"/>
      <c r="D218"/>
      <c r="E218"/>
      <c r="F218"/>
      <c r="G218"/>
      <c r="H218"/>
      <c r="I218"/>
      <c r="J218"/>
      <c r="K218"/>
      <c r="L218"/>
      <c r="M218"/>
      <c r="N218"/>
      <c r="O218"/>
      <c r="P218"/>
      <c r="Q218"/>
      <c r="R218"/>
    </row>
    <row r="219" spans="2:18" ht="14.6" x14ac:dyDescent="0.4">
      <c r="B219"/>
      <c r="C219"/>
      <c r="D219"/>
      <c r="E219"/>
      <c r="F219"/>
      <c r="G219"/>
      <c r="H219"/>
      <c r="I219"/>
      <c r="J219"/>
      <c r="K219"/>
      <c r="L219"/>
      <c r="M219"/>
      <c r="N219"/>
      <c r="O219"/>
      <c r="P219"/>
      <c r="Q219"/>
      <c r="R219"/>
    </row>
    <row r="220" spans="2:18" ht="14.6" x14ac:dyDescent="0.4">
      <c r="B220"/>
      <c r="C220"/>
      <c r="D220"/>
      <c r="E220"/>
      <c r="F220"/>
      <c r="G220"/>
      <c r="H220"/>
      <c r="I220"/>
      <c r="J220"/>
      <c r="K220"/>
      <c r="L220"/>
      <c r="M220"/>
      <c r="N220"/>
      <c r="O220"/>
      <c r="P220"/>
      <c r="Q220"/>
      <c r="R220"/>
    </row>
    <row r="221" spans="2:18" ht="14.6" x14ac:dyDescent="0.4">
      <c r="B221"/>
      <c r="C221"/>
      <c r="D221"/>
      <c r="E221"/>
      <c r="F221"/>
      <c r="G221"/>
      <c r="H221"/>
      <c r="I221"/>
      <c r="J221"/>
      <c r="K221"/>
      <c r="L221"/>
      <c r="M221"/>
      <c r="N221"/>
      <c r="O221"/>
      <c r="P221"/>
      <c r="Q221"/>
      <c r="R221"/>
    </row>
    <row r="222" spans="2:18" ht="14.6" x14ac:dyDescent="0.4">
      <c r="B222"/>
      <c r="C222"/>
      <c r="D222"/>
      <c r="E222"/>
      <c r="F222"/>
      <c r="G222"/>
      <c r="H222"/>
      <c r="I222"/>
      <c r="J222"/>
      <c r="K222"/>
      <c r="L222"/>
      <c r="M222"/>
      <c r="N222"/>
      <c r="O222"/>
      <c r="P222"/>
      <c r="Q222"/>
      <c r="R222"/>
    </row>
    <row r="223" spans="2:18" ht="14.6" x14ac:dyDescent="0.4">
      <c r="B223"/>
      <c r="C223"/>
      <c r="D223"/>
      <c r="E223"/>
      <c r="F223"/>
      <c r="G223"/>
      <c r="H223"/>
      <c r="I223"/>
      <c r="J223"/>
      <c r="K223"/>
      <c r="L223"/>
      <c r="M223"/>
      <c r="N223"/>
      <c r="O223"/>
      <c r="P223"/>
      <c r="Q223"/>
      <c r="R223"/>
    </row>
    <row r="224" spans="2:18" ht="14.6" x14ac:dyDescent="0.4">
      <c r="B224"/>
      <c r="C224"/>
      <c r="D224"/>
      <c r="E224"/>
      <c r="F224"/>
      <c r="G224"/>
      <c r="H224"/>
      <c r="I224"/>
      <c r="J224"/>
      <c r="K224"/>
      <c r="L224"/>
      <c r="M224"/>
      <c r="N224"/>
      <c r="O224"/>
      <c r="P224"/>
      <c r="Q224"/>
      <c r="R224"/>
    </row>
    <row r="225" spans="2:18" ht="14.6" x14ac:dyDescent="0.4">
      <c r="B225"/>
      <c r="C225"/>
      <c r="D225"/>
      <c r="E225"/>
      <c r="F225"/>
      <c r="G225"/>
      <c r="H225"/>
      <c r="I225"/>
      <c r="J225"/>
      <c r="K225"/>
      <c r="L225"/>
      <c r="M225"/>
      <c r="N225"/>
      <c r="O225"/>
      <c r="P225"/>
      <c r="Q225"/>
      <c r="R225"/>
    </row>
    <row r="226" spans="2:18" ht="14.6" x14ac:dyDescent="0.4">
      <c r="B226"/>
      <c r="C226"/>
      <c r="D226"/>
      <c r="E226"/>
      <c r="F226"/>
      <c r="G226"/>
      <c r="H226"/>
      <c r="I226"/>
      <c r="J226"/>
      <c r="K226"/>
      <c r="L226"/>
      <c r="M226"/>
      <c r="N226"/>
      <c r="O226"/>
      <c r="P226"/>
      <c r="Q226"/>
      <c r="R226"/>
    </row>
    <row r="227" spans="2:18" ht="14.6" x14ac:dyDescent="0.4">
      <c r="B227"/>
      <c r="C227"/>
      <c r="D227"/>
      <c r="E227"/>
      <c r="F227"/>
      <c r="G227"/>
      <c r="H227"/>
      <c r="I227"/>
      <c r="J227"/>
      <c r="K227"/>
      <c r="L227"/>
      <c r="M227"/>
      <c r="N227"/>
      <c r="O227"/>
      <c r="P227"/>
      <c r="Q227"/>
      <c r="R227"/>
    </row>
    <row r="228" spans="2:18" ht="14.6" x14ac:dyDescent="0.4">
      <c r="B228"/>
      <c r="C228"/>
      <c r="D228"/>
      <c r="E228"/>
      <c r="F228"/>
      <c r="G228"/>
      <c r="H228"/>
      <c r="I228"/>
      <c r="J228"/>
      <c r="K228"/>
      <c r="L228"/>
      <c r="M228"/>
      <c r="N228"/>
      <c r="O228"/>
      <c r="P228"/>
      <c r="Q228"/>
      <c r="R228"/>
    </row>
    <row r="229" spans="2:18" ht="14.6" x14ac:dyDescent="0.4">
      <c r="B229"/>
      <c r="C229"/>
      <c r="D229"/>
      <c r="E229"/>
      <c r="F229"/>
      <c r="G229"/>
      <c r="H229"/>
      <c r="I229"/>
      <c r="J229"/>
      <c r="K229"/>
      <c r="L229"/>
      <c r="M229"/>
      <c r="N229"/>
      <c r="O229"/>
      <c r="P229"/>
      <c r="Q229"/>
      <c r="R229"/>
    </row>
    <row r="230" spans="2:18" ht="14.6" x14ac:dyDescent="0.4">
      <c r="B230"/>
      <c r="C230"/>
      <c r="D230"/>
      <c r="E230"/>
      <c r="F230"/>
      <c r="G230"/>
      <c r="H230"/>
      <c r="I230"/>
      <c r="J230"/>
      <c r="K230"/>
      <c r="L230"/>
      <c r="M230"/>
      <c r="N230"/>
      <c r="O230"/>
      <c r="P230"/>
      <c r="Q230"/>
      <c r="R230"/>
    </row>
    <row r="231" spans="2:18" ht="14.6" x14ac:dyDescent="0.4">
      <c r="B231"/>
      <c r="C231"/>
      <c r="D231"/>
      <c r="E231"/>
      <c r="F231"/>
      <c r="G231"/>
      <c r="H231"/>
      <c r="I231"/>
      <c r="J231"/>
      <c r="K231"/>
      <c r="L231"/>
      <c r="M231"/>
      <c r="N231"/>
      <c r="O231"/>
      <c r="P231"/>
      <c r="Q231"/>
      <c r="R231"/>
    </row>
    <row r="232" spans="2:18" ht="14.6" x14ac:dyDescent="0.4">
      <c r="B232"/>
      <c r="C232"/>
      <c r="D232"/>
      <c r="E232"/>
      <c r="F232"/>
      <c r="G232"/>
      <c r="H232"/>
      <c r="I232"/>
      <c r="J232"/>
      <c r="K232"/>
      <c r="L232"/>
      <c r="M232"/>
      <c r="N232"/>
      <c r="O232"/>
      <c r="P232"/>
      <c r="Q232"/>
      <c r="R232"/>
    </row>
    <row r="233" spans="2:18" ht="14.6" x14ac:dyDescent="0.4">
      <c r="B233"/>
      <c r="C233"/>
      <c r="D233"/>
      <c r="E233"/>
      <c r="F233"/>
      <c r="G233"/>
      <c r="H233"/>
      <c r="I233"/>
      <c r="J233"/>
      <c r="K233"/>
      <c r="L233"/>
      <c r="M233"/>
      <c r="N233"/>
      <c r="O233"/>
      <c r="P233"/>
      <c r="Q233"/>
      <c r="R233"/>
    </row>
    <row r="234" spans="2:18" ht="14.6" x14ac:dyDescent="0.4">
      <c r="B234"/>
      <c r="C234"/>
      <c r="D234"/>
      <c r="E234"/>
      <c r="F234"/>
      <c r="G234"/>
      <c r="H234"/>
      <c r="I234"/>
      <c r="J234"/>
      <c r="K234"/>
      <c r="L234"/>
      <c r="M234"/>
      <c r="N234"/>
      <c r="O234"/>
      <c r="P234"/>
      <c r="Q234"/>
      <c r="R234"/>
    </row>
    <row r="235" spans="2:18" ht="14.6" x14ac:dyDescent="0.4">
      <c r="B235"/>
      <c r="C235"/>
      <c r="D235"/>
      <c r="E235"/>
      <c r="F235"/>
      <c r="G235"/>
      <c r="H235"/>
      <c r="I235"/>
      <c r="J235"/>
      <c r="K235"/>
      <c r="L235"/>
      <c r="M235"/>
      <c r="N235"/>
      <c r="O235"/>
      <c r="P235"/>
      <c r="Q235"/>
      <c r="R235"/>
    </row>
    <row r="236" spans="2:18" ht="14.6" x14ac:dyDescent="0.4">
      <c r="B236"/>
      <c r="C236"/>
      <c r="D236"/>
      <c r="E236"/>
      <c r="F236"/>
      <c r="G236"/>
      <c r="H236"/>
      <c r="I236"/>
      <c r="J236"/>
      <c r="K236"/>
      <c r="L236"/>
      <c r="M236"/>
      <c r="N236"/>
      <c r="O236"/>
      <c r="P236"/>
      <c r="Q236"/>
      <c r="R236"/>
    </row>
    <row r="237" spans="2:18" ht="14.6" x14ac:dyDescent="0.4">
      <c r="B237"/>
      <c r="C237"/>
      <c r="D237"/>
      <c r="E237"/>
      <c r="F237"/>
      <c r="G237"/>
      <c r="H237"/>
      <c r="I237"/>
      <c r="J237"/>
      <c r="K237"/>
      <c r="L237"/>
      <c r="M237"/>
      <c r="N237"/>
      <c r="O237"/>
      <c r="P237"/>
      <c r="Q237"/>
      <c r="R237"/>
    </row>
    <row r="238" spans="2:18" ht="14.6" x14ac:dyDescent="0.4">
      <c r="B238"/>
      <c r="C238"/>
      <c r="D238"/>
      <c r="E238"/>
      <c r="F238"/>
      <c r="G238"/>
      <c r="H238"/>
      <c r="I238"/>
      <c r="J238"/>
      <c r="K238"/>
      <c r="L238"/>
      <c r="M238"/>
      <c r="N238"/>
      <c r="O238"/>
      <c r="P238"/>
      <c r="Q238"/>
      <c r="R238"/>
    </row>
    <row r="239" spans="2:18" ht="14.6" x14ac:dyDescent="0.4">
      <c r="B239"/>
      <c r="C239"/>
      <c r="D239"/>
      <c r="E239"/>
      <c r="F239"/>
      <c r="G239"/>
      <c r="H239"/>
      <c r="I239"/>
      <c r="J239"/>
      <c r="K239"/>
      <c r="L239"/>
      <c r="M239"/>
      <c r="N239"/>
      <c r="O239"/>
      <c r="P239"/>
      <c r="Q239"/>
      <c r="R239"/>
    </row>
    <row r="240" spans="2:18" ht="14.6" x14ac:dyDescent="0.4">
      <c r="B240"/>
      <c r="C240"/>
      <c r="D240"/>
      <c r="E240"/>
      <c r="F240"/>
      <c r="G240"/>
      <c r="H240"/>
      <c r="I240"/>
      <c r="J240"/>
      <c r="K240"/>
      <c r="L240"/>
      <c r="M240"/>
      <c r="N240"/>
      <c r="O240"/>
      <c r="P240"/>
      <c r="Q240"/>
      <c r="R240"/>
    </row>
    <row r="241" spans="2:18" ht="14.6" x14ac:dyDescent="0.4">
      <c r="B241"/>
      <c r="C241"/>
      <c r="D241"/>
      <c r="E241"/>
      <c r="F241"/>
      <c r="G241"/>
      <c r="H241"/>
      <c r="I241"/>
      <c r="J241"/>
      <c r="K241"/>
      <c r="L241"/>
      <c r="M241"/>
      <c r="N241"/>
      <c r="O241"/>
      <c r="P241"/>
      <c r="Q241"/>
      <c r="R241"/>
    </row>
    <row r="242" spans="2:18" ht="14.6" x14ac:dyDescent="0.4">
      <c r="B242"/>
      <c r="C242"/>
      <c r="D242"/>
      <c r="E242"/>
      <c r="F242"/>
      <c r="G242"/>
      <c r="H242"/>
      <c r="I242"/>
      <c r="J242"/>
      <c r="K242"/>
      <c r="L242"/>
      <c r="M242"/>
      <c r="N242"/>
      <c r="O242"/>
      <c r="P242"/>
      <c r="Q242"/>
      <c r="R242"/>
    </row>
    <row r="243" spans="2:18" ht="14.6" x14ac:dyDescent="0.4">
      <c r="B243"/>
      <c r="C243"/>
      <c r="D243"/>
      <c r="E243"/>
      <c r="F243"/>
      <c r="G243"/>
      <c r="H243"/>
      <c r="I243"/>
      <c r="J243"/>
      <c r="K243"/>
      <c r="L243"/>
      <c r="M243"/>
      <c r="N243"/>
      <c r="O243"/>
      <c r="P243"/>
      <c r="Q243"/>
      <c r="R243"/>
    </row>
    <row r="244" spans="2:18" ht="14.6" x14ac:dyDescent="0.4">
      <c r="B244"/>
      <c r="C244"/>
      <c r="D244"/>
      <c r="E244"/>
      <c r="F244"/>
      <c r="G244"/>
      <c r="H244"/>
      <c r="I244"/>
      <c r="J244"/>
      <c r="K244"/>
      <c r="L244"/>
      <c r="M244"/>
      <c r="N244"/>
      <c r="O244"/>
      <c r="P244"/>
      <c r="Q244"/>
      <c r="R244"/>
    </row>
    <row r="245" spans="2:18" ht="14.6" x14ac:dyDescent="0.4">
      <c r="B245"/>
      <c r="C245"/>
      <c r="D245"/>
      <c r="E245"/>
      <c r="F245"/>
      <c r="G245"/>
      <c r="H245"/>
      <c r="I245"/>
      <c r="J245"/>
      <c r="K245"/>
      <c r="L245"/>
      <c r="M245"/>
      <c r="N245"/>
      <c r="O245"/>
      <c r="P245"/>
      <c r="Q245"/>
      <c r="R245"/>
    </row>
    <row r="246" spans="2:18" ht="14.6" x14ac:dyDescent="0.4">
      <c r="B246"/>
      <c r="C246"/>
      <c r="D246"/>
      <c r="E246"/>
      <c r="F246"/>
      <c r="G246"/>
      <c r="H246"/>
      <c r="I246"/>
      <c r="J246"/>
      <c r="K246"/>
      <c r="L246"/>
      <c r="M246"/>
      <c r="N246"/>
      <c r="O246"/>
      <c r="P246"/>
      <c r="Q246"/>
      <c r="R246"/>
    </row>
    <row r="247" spans="2:18" ht="14.6" x14ac:dyDescent="0.4">
      <c r="B247"/>
      <c r="C247"/>
      <c r="D247"/>
      <c r="E247"/>
      <c r="F247"/>
      <c r="G247"/>
      <c r="H247"/>
      <c r="I247"/>
      <c r="J247"/>
      <c r="K247"/>
      <c r="L247"/>
      <c r="M247"/>
      <c r="N247"/>
      <c r="O247"/>
      <c r="P247"/>
      <c r="Q247"/>
      <c r="R247"/>
    </row>
    <row r="248" spans="2:18" ht="14.6" x14ac:dyDescent="0.4">
      <c r="B248"/>
      <c r="C248"/>
      <c r="D248"/>
      <c r="E248"/>
      <c r="F248"/>
      <c r="G248"/>
      <c r="H248"/>
      <c r="I248"/>
      <c r="J248"/>
      <c r="K248"/>
      <c r="L248"/>
      <c r="M248"/>
      <c r="N248"/>
      <c r="O248"/>
      <c r="P248"/>
      <c r="Q248"/>
      <c r="R248"/>
    </row>
    <row r="249" spans="2:18" ht="14.6" x14ac:dyDescent="0.4">
      <c r="B249"/>
      <c r="C249"/>
      <c r="D249"/>
      <c r="E249"/>
      <c r="F249"/>
      <c r="G249"/>
      <c r="H249"/>
      <c r="I249"/>
      <c r="J249"/>
      <c r="K249"/>
      <c r="L249"/>
      <c r="M249"/>
      <c r="N249"/>
      <c r="O249"/>
      <c r="P249"/>
      <c r="Q249"/>
      <c r="R249"/>
    </row>
    <row r="250" spans="2:18" ht="14.6" x14ac:dyDescent="0.4">
      <c r="B250"/>
      <c r="C250"/>
      <c r="D250"/>
      <c r="E250"/>
      <c r="F250"/>
      <c r="G250"/>
      <c r="H250"/>
      <c r="I250"/>
      <c r="J250"/>
      <c r="K250"/>
      <c r="L250"/>
      <c r="M250"/>
      <c r="N250"/>
      <c r="O250"/>
      <c r="P250"/>
      <c r="Q250"/>
      <c r="R250"/>
    </row>
    <row r="251" spans="2:18" ht="14.6" x14ac:dyDescent="0.4">
      <c r="B251"/>
      <c r="C251"/>
      <c r="D251"/>
      <c r="E251"/>
      <c r="F251"/>
      <c r="G251"/>
      <c r="H251"/>
      <c r="I251"/>
      <c r="J251"/>
      <c r="K251"/>
      <c r="L251"/>
      <c r="M251"/>
      <c r="N251"/>
      <c r="O251"/>
      <c r="P251"/>
      <c r="Q251"/>
      <c r="R251"/>
    </row>
    <row r="252" spans="2:18" ht="14.6" x14ac:dyDescent="0.4">
      <c r="B252"/>
      <c r="C252"/>
      <c r="D252"/>
      <c r="E252"/>
      <c r="F252"/>
      <c r="G252"/>
      <c r="H252"/>
      <c r="I252"/>
      <c r="J252"/>
      <c r="K252"/>
      <c r="L252"/>
      <c r="M252"/>
      <c r="N252"/>
      <c r="O252"/>
      <c r="P252"/>
      <c r="Q252"/>
      <c r="R252"/>
    </row>
    <row r="253" spans="2:18" ht="14.6" x14ac:dyDescent="0.4">
      <c r="B253"/>
      <c r="C253"/>
      <c r="D253"/>
      <c r="E253"/>
      <c r="F253"/>
      <c r="G253"/>
      <c r="H253"/>
      <c r="I253"/>
      <c r="J253"/>
      <c r="K253"/>
      <c r="L253"/>
      <c r="M253"/>
      <c r="N253"/>
      <c r="O253"/>
      <c r="P253"/>
      <c r="Q253"/>
      <c r="R253"/>
    </row>
    <row r="254" spans="2:18" ht="14.6" x14ac:dyDescent="0.4">
      <c r="B254"/>
      <c r="C254"/>
      <c r="D254"/>
      <c r="E254"/>
      <c r="F254"/>
      <c r="G254"/>
      <c r="H254"/>
      <c r="I254"/>
      <c r="J254"/>
      <c r="K254"/>
      <c r="L254"/>
      <c r="M254"/>
      <c r="N254"/>
      <c r="O254"/>
      <c r="P254"/>
      <c r="Q254"/>
      <c r="R254"/>
    </row>
    <row r="255" spans="2:18" ht="14.6" x14ac:dyDescent="0.4">
      <c r="B255"/>
      <c r="C255"/>
      <c r="D255"/>
      <c r="E255"/>
      <c r="F255"/>
      <c r="G255"/>
      <c r="H255"/>
      <c r="I255"/>
      <c r="J255"/>
      <c r="K255"/>
      <c r="L255"/>
      <c r="M255"/>
      <c r="N255"/>
      <c r="O255"/>
      <c r="P255"/>
      <c r="Q255"/>
      <c r="R255"/>
    </row>
    <row r="256" spans="2:18" ht="14.6" x14ac:dyDescent="0.4">
      <c r="B256"/>
      <c r="C256"/>
      <c r="D256"/>
      <c r="E256"/>
      <c r="F256"/>
      <c r="G256"/>
      <c r="H256"/>
      <c r="I256"/>
      <c r="J256"/>
      <c r="K256"/>
      <c r="L256"/>
      <c r="M256"/>
      <c r="N256"/>
      <c r="O256"/>
      <c r="P256"/>
      <c r="Q256"/>
      <c r="R256"/>
    </row>
    <row r="257" spans="2:18" ht="14.6" x14ac:dyDescent="0.4">
      <c r="B257"/>
      <c r="C257"/>
      <c r="D257"/>
      <c r="E257"/>
      <c r="F257"/>
      <c r="G257"/>
      <c r="H257"/>
      <c r="I257"/>
      <c r="J257"/>
      <c r="K257"/>
      <c r="L257"/>
      <c r="M257"/>
      <c r="N257"/>
      <c r="O257"/>
      <c r="P257"/>
      <c r="Q257"/>
      <c r="R257"/>
    </row>
    <row r="258" spans="2:18" ht="14.6" x14ac:dyDescent="0.4">
      <c r="B258"/>
      <c r="C258"/>
      <c r="D258"/>
      <c r="E258"/>
      <c r="F258"/>
      <c r="G258"/>
      <c r="H258"/>
      <c r="I258"/>
      <c r="J258"/>
      <c r="K258"/>
      <c r="L258"/>
      <c r="M258"/>
      <c r="N258"/>
      <c r="O258"/>
      <c r="P258"/>
      <c r="Q258"/>
      <c r="R258"/>
    </row>
    <row r="259" spans="2:18" ht="14.6" x14ac:dyDescent="0.4">
      <c r="B259"/>
      <c r="C259"/>
      <c r="D259"/>
      <c r="E259"/>
      <c r="F259"/>
      <c r="G259"/>
      <c r="H259"/>
      <c r="I259"/>
      <c r="J259"/>
      <c r="K259"/>
      <c r="L259"/>
      <c r="M259"/>
      <c r="N259"/>
      <c r="O259"/>
      <c r="P259"/>
      <c r="Q259"/>
      <c r="R259"/>
    </row>
    <row r="260" spans="2:18" ht="14.6" x14ac:dyDescent="0.4">
      <c r="B260"/>
      <c r="C260"/>
      <c r="D260"/>
      <c r="E260"/>
      <c r="F260"/>
      <c r="G260"/>
      <c r="H260"/>
      <c r="I260"/>
      <c r="J260"/>
      <c r="K260"/>
      <c r="L260"/>
      <c r="M260"/>
      <c r="N260"/>
      <c r="O260"/>
      <c r="P260"/>
      <c r="Q260"/>
      <c r="R260"/>
    </row>
    <row r="261" spans="2:18" ht="14.6" x14ac:dyDescent="0.4">
      <c r="B261"/>
      <c r="C261"/>
      <c r="D261"/>
      <c r="E261"/>
      <c r="F261"/>
      <c r="G261"/>
      <c r="H261"/>
      <c r="I261"/>
      <c r="J261"/>
      <c r="K261"/>
      <c r="L261"/>
      <c r="M261"/>
      <c r="N261"/>
      <c r="O261"/>
      <c r="P261"/>
      <c r="Q261"/>
      <c r="R261"/>
    </row>
    <row r="262" spans="2:18" ht="14.6" x14ac:dyDescent="0.4">
      <c r="B262"/>
      <c r="C262"/>
      <c r="D262"/>
      <c r="E262"/>
      <c r="F262"/>
      <c r="G262"/>
      <c r="H262"/>
      <c r="I262"/>
      <c r="J262"/>
      <c r="K262"/>
      <c r="L262"/>
      <c r="M262"/>
      <c r="N262"/>
      <c r="O262"/>
      <c r="P262"/>
      <c r="Q262"/>
      <c r="R262"/>
    </row>
    <row r="263" spans="2:18" ht="14.6" x14ac:dyDescent="0.4">
      <c r="B263"/>
      <c r="C263"/>
      <c r="D263"/>
      <c r="E263"/>
      <c r="F263"/>
      <c r="G263"/>
      <c r="H263"/>
      <c r="I263"/>
      <c r="J263"/>
      <c r="K263"/>
      <c r="L263"/>
      <c r="M263"/>
      <c r="N263"/>
      <c r="O263"/>
      <c r="P263"/>
      <c r="Q263"/>
      <c r="R263"/>
    </row>
    <row r="264" spans="2:18" ht="14.6" x14ac:dyDescent="0.4">
      <c r="B264"/>
      <c r="C264"/>
      <c r="D264"/>
      <c r="E264"/>
      <c r="F264"/>
      <c r="G264"/>
      <c r="H264"/>
      <c r="I264"/>
      <c r="J264"/>
      <c r="K264"/>
      <c r="L264"/>
      <c r="M264"/>
      <c r="N264"/>
      <c r="O264"/>
      <c r="P264"/>
      <c r="Q264"/>
      <c r="R264"/>
    </row>
    <row r="265" spans="2:18" ht="14.6" x14ac:dyDescent="0.4">
      <c r="B265"/>
      <c r="C265"/>
      <c r="D265"/>
      <c r="E265"/>
      <c r="F265"/>
      <c r="G265"/>
      <c r="H265"/>
      <c r="I265"/>
      <c r="J265"/>
      <c r="K265"/>
      <c r="L265"/>
      <c r="M265"/>
      <c r="N265"/>
      <c r="O265"/>
      <c r="P265"/>
      <c r="Q265"/>
      <c r="R265"/>
    </row>
    <row r="266" spans="2:18" ht="14.6" x14ac:dyDescent="0.4">
      <c r="B266"/>
      <c r="C266"/>
      <c r="D266"/>
      <c r="E266"/>
      <c r="F266"/>
      <c r="G266"/>
      <c r="H266"/>
      <c r="I266"/>
      <c r="J266"/>
      <c r="K266"/>
      <c r="L266"/>
      <c r="M266"/>
      <c r="N266"/>
      <c r="O266"/>
      <c r="P266"/>
      <c r="Q266"/>
      <c r="R266"/>
    </row>
    <row r="267" spans="2:18" ht="14.6" x14ac:dyDescent="0.4">
      <c r="B267"/>
      <c r="C267"/>
      <c r="D267"/>
      <c r="E267"/>
      <c r="F267"/>
      <c r="G267"/>
      <c r="H267"/>
      <c r="I267"/>
      <c r="J267"/>
      <c r="K267"/>
      <c r="L267"/>
      <c r="M267"/>
      <c r="N267"/>
      <c r="O267"/>
      <c r="P267"/>
      <c r="Q267"/>
      <c r="R267"/>
    </row>
    <row r="268" spans="2:18" ht="14.6" x14ac:dyDescent="0.4">
      <c r="B268"/>
      <c r="C268"/>
      <c r="D268"/>
      <c r="E268"/>
      <c r="F268"/>
      <c r="G268"/>
      <c r="H268"/>
      <c r="I268"/>
      <c r="J268"/>
      <c r="K268"/>
      <c r="L268"/>
      <c r="M268"/>
      <c r="N268"/>
      <c r="O268"/>
      <c r="P268"/>
      <c r="Q268"/>
      <c r="R268"/>
    </row>
    <row r="269" spans="2:18" ht="14.6" x14ac:dyDescent="0.4">
      <c r="B269"/>
      <c r="C269"/>
      <c r="D269"/>
      <c r="E269"/>
      <c r="F269"/>
      <c r="G269"/>
      <c r="H269"/>
      <c r="I269"/>
      <c r="J269"/>
      <c r="K269"/>
      <c r="L269"/>
      <c r="M269"/>
      <c r="N269"/>
      <c r="O269"/>
      <c r="P269"/>
      <c r="Q269"/>
      <c r="R269"/>
    </row>
    <row r="270" spans="2:18" ht="14.6" x14ac:dyDescent="0.4">
      <c r="B270"/>
      <c r="C270"/>
      <c r="D270"/>
      <c r="E270"/>
      <c r="F270"/>
      <c r="G270"/>
      <c r="H270"/>
      <c r="I270"/>
      <c r="J270"/>
      <c r="K270"/>
      <c r="L270"/>
      <c r="M270"/>
      <c r="N270"/>
      <c r="O270"/>
      <c r="P270"/>
      <c r="Q270"/>
      <c r="R270"/>
    </row>
    <row r="271" spans="2:18" ht="14.6" x14ac:dyDescent="0.4">
      <c r="B271"/>
      <c r="C271"/>
      <c r="D271"/>
      <c r="E271"/>
      <c r="F271"/>
      <c r="G271"/>
      <c r="H271"/>
      <c r="I271"/>
      <c r="J271"/>
      <c r="K271"/>
      <c r="L271"/>
      <c r="M271"/>
      <c r="N271"/>
      <c r="O271"/>
      <c r="P271"/>
      <c r="Q271"/>
      <c r="R271"/>
    </row>
    <row r="272" spans="2:18" ht="14.6" x14ac:dyDescent="0.4">
      <c r="B272"/>
      <c r="C272"/>
      <c r="D272"/>
      <c r="E272"/>
      <c r="F272"/>
      <c r="G272"/>
      <c r="H272"/>
      <c r="I272"/>
      <c r="J272"/>
      <c r="K272"/>
      <c r="L272"/>
      <c r="M272"/>
      <c r="N272"/>
      <c r="O272"/>
      <c r="P272"/>
      <c r="Q272"/>
      <c r="R272"/>
    </row>
    <row r="273" spans="2:18" ht="14.6" x14ac:dyDescent="0.4">
      <c r="B273"/>
      <c r="C273"/>
      <c r="D273"/>
      <c r="E273"/>
      <c r="F273"/>
      <c r="G273"/>
      <c r="H273"/>
      <c r="I273"/>
      <c r="J273"/>
      <c r="K273"/>
      <c r="L273"/>
      <c r="M273"/>
      <c r="N273"/>
      <c r="O273"/>
      <c r="P273"/>
      <c r="Q273"/>
      <c r="R273"/>
    </row>
    <row r="274" spans="2:18" ht="14.6" x14ac:dyDescent="0.4">
      <c r="B274"/>
      <c r="C274"/>
      <c r="D274"/>
      <c r="E274"/>
      <c r="F274"/>
      <c r="G274"/>
      <c r="H274"/>
      <c r="I274"/>
      <c r="J274"/>
      <c r="K274"/>
      <c r="L274"/>
      <c r="M274"/>
      <c r="N274"/>
      <c r="O274"/>
      <c r="P274"/>
      <c r="Q274"/>
      <c r="R274"/>
    </row>
    <row r="275" spans="2:18" ht="14.6" x14ac:dyDescent="0.4">
      <c r="B275"/>
      <c r="C275"/>
      <c r="D275"/>
      <c r="E275"/>
      <c r="F275"/>
      <c r="G275"/>
      <c r="H275"/>
      <c r="I275"/>
      <c r="J275"/>
      <c r="K275"/>
      <c r="L275"/>
      <c r="M275"/>
      <c r="N275"/>
      <c r="O275"/>
      <c r="P275"/>
      <c r="Q275"/>
      <c r="R275"/>
    </row>
    <row r="276" spans="2:18" ht="14.6" x14ac:dyDescent="0.4">
      <c r="B276"/>
      <c r="C276"/>
      <c r="D276"/>
      <c r="E276"/>
      <c r="F276"/>
      <c r="G276"/>
      <c r="H276"/>
      <c r="I276"/>
      <c r="J276"/>
      <c r="K276"/>
      <c r="L276"/>
      <c r="M276"/>
      <c r="N276"/>
      <c r="O276"/>
      <c r="P276"/>
      <c r="Q276"/>
      <c r="R276"/>
    </row>
    <row r="277" spans="2:18" ht="14.6" x14ac:dyDescent="0.4">
      <c r="B277"/>
      <c r="C277"/>
      <c r="D277"/>
      <c r="E277"/>
      <c r="F277"/>
      <c r="G277"/>
      <c r="H277"/>
      <c r="I277"/>
      <c r="J277"/>
      <c r="K277"/>
      <c r="L277"/>
      <c r="M277"/>
      <c r="N277"/>
      <c r="O277"/>
      <c r="P277"/>
      <c r="Q277"/>
      <c r="R277"/>
    </row>
    <row r="278" spans="2:18" ht="14.6" x14ac:dyDescent="0.4">
      <c r="B278"/>
      <c r="C278"/>
      <c r="D278"/>
      <c r="E278"/>
      <c r="F278"/>
      <c r="G278"/>
      <c r="H278"/>
      <c r="I278"/>
      <c r="J278"/>
      <c r="K278"/>
      <c r="L278"/>
      <c r="M278"/>
      <c r="N278"/>
      <c r="O278"/>
      <c r="P278"/>
      <c r="Q278"/>
      <c r="R278"/>
    </row>
    <row r="279" spans="2:18" ht="14.6" x14ac:dyDescent="0.4">
      <c r="B279"/>
      <c r="C279"/>
      <c r="D279"/>
      <c r="E279"/>
      <c r="F279"/>
      <c r="G279"/>
      <c r="H279"/>
      <c r="I279"/>
      <c r="J279"/>
      <c r="K279"/>
      <c r="L279"/>
      <c r="M279"/>
      <c r="N279"/>
      <c r="O279"/>
      <c r="P279"/>
      <c r="Q279"/>
      <c r="R279"/>
    </row>
    <row r="280" spans="2:18" ht="14.6" x14ac:dyDescent="0.4">
      <c r="B280"/>
      <c r="C280"/>
      <c r="D280"/>
      <c r="E280"/>
      <c r="F280"/>
      <c r="G280"/>
      <c r="H280"/>
      <c r="I280"/>
      <c r="J280"/>
      <c r="K280"/>
      <c r="L280"/>
      <c r="M280"/>
      <c r="N280"/>
      <c r="O280"/>
      <c r="P280"/>
      <c r="Q280"/>
      <c r="R280"/>
    </row>
    <row r="281" spans="2:18" ht="14.6" x14ac:dyDescent="0.4">
      <c r="B281"/>
      <c r="C281"/>
      <c r="D281"/>
      <c r="E281"/>
      <c r="F281"/>
      <c r="G281"/>
      <c r="H281"/>
      <c r="I281"/>
      <c r="J281"/>
      <c r="K281"/>
      <c r="L281"/>
      <c r="M281"/>
      <c r="N281"/>
      <c r="O281"/>
      <c r="P281"/>
      <c r="Q281"/>
      <c r="R281"/>
    </row>
    <row r="282" spans="2:18" ht="14.6" x14ac:dyDescent="0.4">
      <c r="B282"/>
      <c r="C282"/>
      <c r="D282"/>
      <c r="E282"/>
      <c r="F282"/>
      <c r="G282"/>
      <c r="H282"/>
      <c r="I282"/>
      <c r="J282"/>
      <c r="K282"/>
      <c r="L282"/>
      <c r="M282"/>
      <c r="N282"/>
      <c r="O282"/>
      <c r="P282"/>
      <c r="Q282"/>
      <c r="R282"/>
    </row>
    <row r="283" spans="2:18" ht="14.6" x14ac:dyDescent="0.4">
      <c r="B283"/>
      <c r="C283"/>
      <c r="D283"/>
      <c r="E283"/>
      <c r="F283"/>
      <c r="G283"/>
      <c r="H283"/>
      <c r="I283"/>
      <c r="J283"/>
      <c r="K283"/>
      <c r="L283"/>
      <c r="M283"/>
      <c r="N283"/>
      <c r="O283"/>
      <c r="P283"/>
      <c r="Q283"/>
      <c r="R283"/>
    </row>
    <row r="284" spans="2:18" ht="14.6" x14ac:dyDescent="0.4">
      <c r="B284"/>
      <c r="C284"/>
      <c r="D284"/>
      <c r="E284"/>
      <c r="F284"/>
      <c r="G284"/>
      <c r="H284"/>
      <c r="I284"/>
      <c r="J284"/>
      <c r="K284"/>
      <c r="L284"/>
      <c r="M284"/>
      <c r="N284"/>
      <c r="O284"/>
      <c r="P284"/>
      <c r="Q284"/>
      <c r="R284"/>
    </row>
    <row r="285" spans="2:18" ht="14.6" x14ac:dyDescent="0.4">
      <c r="B285"/>
      <c r="C285"/>
      <c r="D285"/>
      <c r="E285"/>
      <c r="F285"/>
      <c r="G285"/>
      <c r="H285"/>
      <c r="I285"/>
      <c r="J285"/>
      <c r="K285"/>
      <c r="L285"/>
      <c r="M285"/>
      <c r="N285"/>
      <c r="O285"/>
      <c r="P285"/>
      <c r="Q285"/>
      <c r="R285"/>
    </row>
    <row r="286" spans="2:18" ht="14.6" x14ac:dyDescent="0.4">
      <c r="B286"/>
      <c r="C286"/>
      <c r="D286"/>
      <c r="E286"/>
      <c r="F286"/>
      <c r="G286"/>
      <c r="H286"/>
      <c r="I286"/>
      <c r="J286"/>
      <c r="K286"/>
      <c r="L286"/>
      <c r="M286"/>
      <c r="N286"/>
      <c r="O286"/>
      <c r="P286"/>
      <c r="Q286"/>
      <c r="R286"/>
    </row>
    <row r="287" spans="2:18" ht="14.6" x14ac:dyDescent="0.4">
      <c r="B287"/>
      <c r="C287"/>
      <c r="D287"/>
      <c r="E287"/>
      <c r="F287"/>
      <c r="G287"/>
      <c r="H287"/>
      <c r="I287"/>
      <c r="J287"/>
      <c r="K287"/>
      <c r="L287"/>
      <c r="M287"/>
      <c r="N287"/>
      <c r="O287"/>
      <c r="P287"/>
      <c r="Q287"/>
      <c r="R287"/>
    </row>
    <row r="288" spans="2:18" ht="14.6" x14ac:dyDescent="0.4">
      <c r="B288"/>
      <c r="C288"/>
      <c r="D288"/>
      <c r="E288"/>
      <c r="F288"/>
      <c r="G288"/>
      <c r="H288"/>
      <c r="I288"/>
      <c r="J288"/>
      <c r="K288"/>
      <c r="L288"/>
      <c r="M288"/>
      <c r="N288"/>
      <c r="O288"/>
      <c r="P288"/>
      <c r="Q288"/>
      <c r="R288"/>
    </row>
    <row r="289" spans="2:18" ht="14.6" x14ac:dyDescent="0.4">
      <c r="B289"/>
      <c r="C289"/>
      <c r="D289"/>
      <c r="E289"/>
      <c r="F289"/>
      <c r="G289"/>
      <c r="H289"/>
      <c r="I289"/>
      <c r="J289"/>
      <c r="K289"/>
      <c r="L289"/>
      <c r="M289"/>
      <c r="N289"/>
      <c r="O289"/>
      <c r="P289"/>
      <c r="Q289"/>
      <c r="R289"/>
    </row>
    <row r="290" spans="2:18" ht="14.6" x14ac:dyDescent="0.4">
      <c r="B290"/>
      <c r="C290"/>
      <c r="D290"/>
      <c r="E290"/>
      <c r="F290"/>
      <c r="G290"/>
      <c r="H290"/>
      <c r="I290"/>
      <c r="J290"/>
      <c r="K290"/>
      <c r="L290"/>
      <c r="M290"/>
      <c r="N290"/>
      <c r="O290"/>
      <c r="P290"/>
      <c r="Q290"/>
      <c r="R290"/>
    </row>
    <row r="291" spans="2:18" ht="14.6" x14ac:dyDescent="0.4">
      <c r="B291"/>
      <c r="C291"/>
      <c r="D291"/>
      <c r="E291"/>
      <c r="F291"/>
      <c r="G291"/>
      <c r="H291"/>
      <c r="I291"/>
      <c r="J291"/>
      <c r="K291"/>
      <c r="L291"/>
      <c r="M291"/>
      <c r="N291"/>
      <c r="O291"/>
      <c r="P291"/>
      <c r="Q291"/>
      <c r="R291"/>
    </row>
    <row r="292" spans="2:18" ht="14.6" x14ac:dyDescent="0.4">
      <c r="B292"/>
      <c r="C292"/>
      <c r="D292"/>
      <c r="E292"/>
      <c r="F292"/>
      <c r="G292"/>
      <c r="H292"/>
      <c r="I292"/>
      <c r="J292"/>
      <c r="K292"/>
      <c r="L292"/>
      <c r="M292"/>
      <c r="N292"/>
      <c r="O292"/>
      <c r="P292"/>
      <c r="Q292"/>
      <c r="R292"/>
    </row>
    <row r="293" spans="2:18" ht="14.6" x14ac:dyDescent="0.4">
      <c r="B293"/>
      <c r="C293"/>
      <c r="D293"/>
      <c r="E293"/>
      <c r="F293"/>
      <c r="G293"/>
      <c r="H293"/>
      <c r="I293"/>
      <c r="J293"/>
      <c r="K293"/>
      <c r="L293"/>
      <c r="M293"/>
      <c r="N293"/>
      <c r="O293"/>
      <c r="P293"/>
      <c r="Q293"/>
      <c r="R293"/>
    </row>
    <row r="294" spans="2:18" ht="14.6" x14ac:dyDescent="0.4">
      <c r="B294"/>
      <c r="C294"/>
      <c r="D294"/>
      <c r="E294"/>
      <c r="F294"/>
      <c r="G294"/>
      <c r="H294"/>
      <c r="I294"/>
      <c r="J294"/>
      <c r="K294"/>
      <c r="L294"/>
      <c r="M294"/>
      <c r="N294"/>
      <c r="O294"/>
      <c r="P294"/>
      <c r="Q294"/>
      <c r="R294"/>
    </row>
    <row r="295" spans="2:18" ht="14.6" x14ac:dyDescent="0.4">
      <c r="B295"/>
      <c r="C295"/>
      <c r="D295"/>
      <c r="E295"/>
      <c r="F295"/>
      <c r="G295"/>
      <c r="H295"/>
      <c r="I295"/>
      <c r="J295"/>
      <c r="K295"/>
      <c r="L295"/>
      <c r="M295"/>
      <c r="N295"/>
      <c r="O295"/>
      <c r="P295"/>
      <c r="Q295"/>
      <c r="R295"/>
    </row>
    <row r="296" spans="2:18" ht="14.6" x14ac:dyDescent="0.4">
      <c r="B296"/>
      <c r="C296"/>
      <c r="D296"/>
      <c r="E296"/>
      <c r="F296"/>
      <c r="G296"/>
      <c r="H296"/>
      <c r="I296"/>
      <c r="J296"/>
      <c r="K296"/>
      <c r="L296"/>
      <c r="M296"/>
      <c r="N296"/>
      <c r="O296"/>
      <c r="P296"/>
      <c r="Q296"/>
      <c r="R296"/>
    </row>
    <row r="297" spans="2:18" ht="14.6" x14ac:dyDescent="0.4">
      <c r="B297"/>
      <c r="C297"/>
      <c r="D297"/>
      <c r="E297"/>
      <c r="F297"/>
      <c r="G297"/>
      <c r="H297"/>
      <c r="I297"/>
      <c r="J297"/>
      <c r="K297"/>
      <c r="L297"/>
      <c r="M297"/>
      <c r="N297"/>
      <c r="O297"/>
      <c r="P297"/>
      <c r="Q297"/>
      <c r="R297"/>
    </row>
    <row r="298" spans="2:18" ht="14.6" x14ac:dyDescent="0.4">
      <c r="B298"/>
      <c r="C298"/>
      <c r="D298"/>
      <c r="E298"/>
      <c r="F298"/>
      <c r="G298"/>
      <c r="H298"/>
      <c r="I298"/>
      <c r="J298"/>
      <c r="K298"/>
      <c r="L298"/>
      <c r="M298"/>
      <c r="N298"/>
      <c r="O298"/>
      <c r="P298"/>
      <c r="Q298"/>
      <c r="R298"/>
    </row>
    <row r="299" spans="2:18" ht="14.6" x14ac:dyDescent="0.4">
      <c r="B299"/>
      <c r="C299"/>
      <c r="D299"/>
      <c r="E299"/>
      <c r="F299"/>
      <c r="G299"/>
      <c r="H299"/>
      <c r="I299"/>
      <c r="J299"/>
      <c r="K299"/>
      <c r="L299"/>
      <c r="M299"/>
      <c r="N299"/>
      <c r="O299"/>
      <c r="P299"/>
      <c r="Q299"/>
      <c r="R299"/>
    </row>
    <row r="300" spans="2:18" ht="14.6" x14ac:dyDescent="0.4">
      <c r="B300"/>
      <c r="C300"/>
      <c r="D300"/>
      <c r="E300"/>
      <c r="F300"/>
      <c r="G300"/>
      <c r="H300"/>
      <c r="I300"/>
      <c r="J300"/>
      <c r="K300"/>
      <c r="L300"/>
      <c r="M300"/>
      <c r="N300"/>
      <c r="O300"/>
      <c r="P300"/>
      <c r="Q300"/>
      <c r="R300"/>
    </row>
    <row r="301" spans="2:18" ht="14.6" x14ac:dyDescent="0.4">
      <c r="B301"/>
      <c r="C301"/>
      <c r="D301"/>
      <c r="E301"/>
      <c r="F301"/>
      <c r="G301"/>
      <c r="H301"/>
      <c r="I301"/>
      <c r="J301"/>
      <c r="K301"/>
      <c r="L301"/>
      <c r="M301"/>
      <c r="N301"/>
      <c r="O301"/>
      <c r="P301"/>
      <c r="Q301"/>
      <c r="R301"/>
    </row>
    <row r="302" spans="2:18" ht="14.6" x14ac:dyDescent="0.4">
      <c r="B302"/>
      <c r="C302"/>
      <c r="D302"/>
      <c r="E302"/>
      <c r="F302"/>
      <c r="G302"/>
      <c r="H302"/>
      <c r="I302"/>
      <c r="J302"/>
      <c r="K302"/>
      <c r="L302"/>
      <c r="M302"/>
      <c r="N302"/>
      <c r="O302"/>
      <c r="P302"/>
      <c r="Q302"/>
      <c r="R302"/>
    </row>
    <row r="303" spans="2:18" ht="14.6" x14ac:dyDescent="0.4">
      <c r="B303"/>
      <c r="C303"/>
      <c r="D303"/>
      <c r="E303"/>
      <c r="F303"/>
      <c r="G303"/>
      <c r="H303"/>
      <c r="I303"/>
      <c r="J303"/>
      <c r="K303"/>
      <c r="L303"/>
      <c r="M303"/>
      <c r="N303"/>
      <c r="O303"/>
      <c r="P303"/>
      <c r="Q303"/>
      <c r="R303"/>
    </row>
    <row r="304" spans="2:18" ht="14.6" x14ac:dyDescent="0.4">
      <c r="B304"/>
      <c r="C304"/>
      <c r="D304"/>
      <c r="E304"/>
      <c r="F304"/>
      <c r="G304"/>
      <c r="H304"/>
      <c r="I304"/>
      <c r="J304"/>
      <c r="K304"/>
      <c r="L304"/>
      <c r="M304"/>
      <c r="N304"/>
      <c r="O304"/>
      <c r="P304"/>
      <c r="Q304"/>
      <c r="R304"/>
    </row>
    <row r="305" spans="2:18" ht="14.6" x14ac:dyDescent="0.4">
      <c r="B305"/>
      <c r="C305"/>
      <c r="D305"/>
      <c r="E305"/>
      <c r="F305"/>
      <c r="G305"/>
      <c r="H305"/>
      <c r="I305"/>
      <c r="J305"/>
      <c r="K305"/>
      <c r="L305"/>
      <c r="M305"/>
      <c r="N305"/>
      <c r="O305"/>
      <c r="P305"/>
      <c r="Q305"/>
      <c r="R305"/>
    </row>
    <row r="306" spans="2:18" ht="14.6" x14ac:dyDescent="0.4">
      <c r="B306"/>
      <c r="C306"/>
      <c r="D306"/>
      <c r="E306"/>
      <c r="F306"/>
      <c r="G306"/>
      <c r="H306"/>
      <c r="I306"/>
      <c r="J306"/>
      <c r="K306"/>
      <c r="L306"/>
      <c r="M306"/>
      <c r="N306"/>
      <c r="O306"/>
      <c r="P306"/>
      <c r="Q306"/>
      <c r="R306"/>
    </row>
    <row r="307" spans="2:18" ht="14.6" x14ac:dyDescent="0.4">
      <c r="B307"/>
      <c r="C307"/>
      <c r="D307"/>
      <c r="E307"/>
      <c r="F307"/>
      <c r="G307"/>
      <c r="H307"/>
      <c r="I307"/>
      <c r="J307"/>
      <c r="K307"/>
      <c r="L307"/>
      <c r="M307"/>
      <c r="N307"/>
      <c r="O307"/>
      <c r="P307"/>
      <c r="Q307"/>
      <c r="R307"/>
    </row>
    <row r="308" spans="2:18" ht="14.6" x14ac:dyDescent="0.4">
      <c r="B308"/>
      <c r="C308"/>
      <c r="D308"/>
      <c r="E308"/>
      <c r="F308"/>
      <c r="G308"/>
      <c r="H308"/>
      <c r="I308"/>
      <c r="J308"/>
      <c r="K308"/>
      <c r="L308"/>
      <c r="M308"/>
      <c r="N308"/>
      <c r="O308"/>
      <c r="P308"/>
      <c r="Q308"/>
      <c r="R308"/>
    </row>
    <row r="309" spans="2:18" ht="14.6" x14ac:dyDescent="0.4">
      <c r="B309"/>
      <c r="C309"/>
      <c r="D309"/>
      <c r="E309"/>
      <c r="F309"/>
      <c r="G309"/>
      <c r="H309"/>
      <c r="I309"/>
      <c r="J309"/>
      <c r="K309"/>
      <c r="L309"/>
      <c r="M309"/>
      <c r="N309"/>
      <c r="O309"/>
      <c r="P309"/>
      <c r="Q309"/>
      <c r="R309"/>
    </row>
    <row r="310" spans="2:18" ht="14.6" x14ac:dyDescent="0.4">
      <c r="B310"/>
      <c r="C310"/>
      <c r="D310"/>
      <c r="E310"/>
      <c r="F310"/>
      <c r="G310"/>
      <c r="H310"/>
      <c r="I310"/>
      <c r="J310"/>
      <c r="K310"/>
      <c r="L310"/>
      <c r="M310"/>
      <c r="N310"/>
      <c r="O310"/>
      <c r="P310"/>
      <c r="Q310"/>
      <c r="R310"/>
    </row>
    <row r="311" spans="2:18" ht="14.6" x14ac:dyDescent="0.4">
      <c r="B311"/>
      <c r="C311"/>
      <c r="D311"/>
      <c r="E311"/>
      <c r="F311"/>
      <c r="G311"/>
      <c r="H311"/>
      <c r="I311"/>
      <c r="J311"/>
      <c r="K311"/>
      <c r="L311"/>
      <c r="M311"/>
      <c r="N311"/>
      <c r="O311"/>
      <c r="P311"/>
      <c r="Q311"/>
      <c r="R311"/>
    </row>
    <row r="312" spans="2:18" ht="14.6" x14ac:dyDescent="0.4">
      <c r="B312"/>
      <c r="C312"/>
      <c r="D312"/>
      <c r="E312"/>
      <c r="F312"/>
      <c r="G312"/>
      <c r="H312"/>
      <c r="I312"/>
      <c r="J312"/>
      <c r="K312"/>
      <c r="L312"/>
      <c r="M312"/>
      <c r="N312"/>
      <c r="O312"/>
      <c r="P312"/>
      <c r="Q312"/>
      <c r="R312"/>
    </row>
    <row r="313" spans="2:18" ht="14.6" x14ac:dyDescent="0.4">
      <c r="B313"/>
      <c r="C313"/>
      <c r="D313"/>
      <c r="E313"/>
      <c r="F313"/>
      <c r="G313"/>
      <c r="H313"/>
      <c r="I313"/>
      <c r="J313"/>
      <c r="K313"/>
      <c r="L313"/>
      <c r="M313"/>
      <c r="N313"/>
      <c r="O313"/>
      <c r="P313"/>
      <c r="Q313"/>
      <c r="R313"/>
    </row>
    <row r="314" spans="2:18" ht="14.6" x14ac:dyDescent="0.4">
      <c r="B314"/>
      <c r="C314"/>
      <c r="D314"/>
      <c r="E314"/>
      <c r="F314"/>
      <c r="G314"/>
      <c r="H314"/>
      <c r="I314"/>
      <c r="J314"/>
      <c r="K314"/>
      <c r="L314"/>
      <c r="M314"/>
      <c r="N314"/>
      <c r="O314"/>
      <c r="P314"/>
      <c r="Q314"/>
      <c r="R314"/>
    </row>
    <row r="315" spans="2:18" ht="14.6" x14ac:dyDescent="0.4">
      <c r="B315"/>
      <c r="C315"/>
      <c r="D315"/>
      <c r="E315"/>
      <c r="F315"/>
      <c r="G315"/>
      <c r="H315"/>
      <c r="I315"/>
      <c r="J315"/>
      <c r="K315"/>
      <c r="L315"/>
      <c r="M315"/>
      <c r="N315"/>
      <c r="O315"/>
      <c r="P315"/>
      <c r="Q315"/>
      <c r="R315"/>
    </row>
    <row r="316" spans="2:18" ht="14.6" x14ac:dyDescent="0.4">
      <c r="B316"/>
      <c r="C316"/>
      <c r="D316"/>
      <c r="E316"/>
      <c r="F316"/>
      <c r="G316"/>
      <c r="H316"/>
      <c r="I316"/>
      <c r="J316"/>
      <c r="K316"/>
      <c r="L316"/>
      <c r="M316"/>
      <c r="N316"/>
      <c r="O316"/>
      <c r="P316"/>
      <c r="Q316"/>
      <c r="R316"/>
    </row>
    <row r="317" spans="2:18" ht="14.6" x14ac:dyDescent="0.4">
      <c r="B317"/>
      <c r="C317"/>
      <c r="D317"/>
      <c r="E317"/>
      <c r="F317"/>
      <c r="G317"/>
      <c r="H317"/>
      <c r="I317"/>
      <c r="J317"/>
      <c r="K317"/>
      <c r="L317"/>
      <c r="M317"/>
      <c r="N317"/>
      <c r="O317"/>
      <c r="P317"/>
      <c r="Q317"/>
      <c r="R317"/>
    </row>
    <row r="318" spans="2:18" ht="14.6" x14ac:dyDescent="0.4">
      <c r="B318"/>
      <c r="C318"/>
      <c r="D318"/>
      <c r="E318"/>
      <c r="F318"/>
      <c r="G318"/>
      <c r="H318"/>
      <c r="I318"/>
      <c r="J318"/>
      <c r="K318"/>
      <c r="L318"/>
      <c r="M318"/>
      <c r="N318"/>
      <c r="O318"/>
      <c r="P318"/>
      <c r="Q318"/>
      <c r="R318"/>
    </row>
    <row r="319" spans="2:18" ht="14.6" x14ac:dyDescent="0.4">
      <c r="B319"/>
      <c r="C319"/>
      <c r="D319"/>
      <c r="E319"/>
      <c r="F319"/>
      <c r="G319"/>
      <c r="H319"/>
      <c r="I319"/>
      <c r="J319"/>
      <c r="K319"/>
      <c r="L319"/>
      <c r="M319"/>
      <c r="N319"/>
      <c r="O319"/>
      <c r="P319"/>
      <c r="Q319"/>
      <c r="R319"/>
    </row>
    <row r="320" spans="2:18" ht="14.6" x14ac:dyDescent="0.4">
      <c r="B320"/>
      <c r="C320"/>
      <c r="D320"/>
      <c r="E320"/>
      <c r="F320"/>
      <c r="G320"/>
      <c r="H320"/>
      <c r="I320"/>
      <c r="J320"/>
      <c r="K320"/>
      <c r="L320"/>
      <c r="M320"/>
      <c r="N320"/>
      <c r="O320"/>
      <c r="P320"/>
      <c r="Q320"/>
      <c r="R320"/>
    </row>
    <row r="321" spans="2:18" ht="14.6" x14ac:dyDescent="0.4">
      <c r="B321"/>
      <c r="C321"/>
      <c r="D321"/>
      <c r="E321"/>
      <c r="F321"/>
      <c r="G321"/>
      <c r="H321"/>
      <c r="I321"/>
      <c r="J321"/>
      <c r="K321"/>
      <c r="L321"/>
      <c r="M321"/>
      <c r="N321"/>
      <c r="O321"/>
      <c r="P321"/>
      <c r="Q321"/>
      <c r="R321"/>
    </row>
    <row r="322" spans="2:18" ht="14.6" x14ac:dyDescent="0.4">
      <c r="B322"/>
      <c r="C322"/>
      <c r="D322"/>
      <c r="E322"/>
      <c r="F322"/>
      <c r="G322"/>
      <c r="H322"/>
      <c r="I322"/>
      <c r="J322"/>
      <c r="K322"/>
      <c r="L322"/>
      <c r="M322"/>
      <c r="N322"/>
      <c r="O322"/>
      <c r="P322"/>
      <c r="Q322"/>
      <c r="R322"/>
    </row>
    <row r="323" spans="2:18" ht="14.6" x14ac:dyDescent="0.4">
      <c r="B323"/>
      <c r="C323"/>
      <c r="D323"/>
      <c r="E323"/>
      <c r="F323"/>
      <c r="G323"/>
      <c r="H323"/>
      <c r="I323"/>
      <c r="J323"/>
      <c r="K323"/>
      <c r="L323"/>
      <c r="M323"/>
      <c r="N323"/>
      <c r="O323"/>
      <c r="P323"/>
      <c r="Q323"/>
      <c r="R323"/>
    </row>
    <row r="324" spans="2:18" ht="14.6" x14ac:dyDescent="0.4">
      <c r="B324"/>
      <c r="C324"/>
      <c r="D324"/>
      <c r="E324"/>
      <c r="F324"/>
      <c r="G324"/>
      <c r="H324"/>
      <c r="I324"/>
      <c r="J324"/>
      <c r="K324"/>
      <c r="L324"/>
      <c r="M324"/>
      <c r="N324"/>
      <c r="O324"/>
      <c r="P324"/>
      <c r="Q324"/>
      <c r="R324"/>
    </row>
    <row r="325" spans="2:18" ht="14.6" x14ac:dyDescent="0.4">
      <c r="B325"/>
      <c r="C325"/>
      <c r="D325"/>
      <c r="E325"/>
      <c r="F325"/>
      <c r="G325"/>
      <c r="H325"/>
      <c r="I325"/>
      <c r="J325"/>
      <c r="K325"/>
      <c r="L325"/>
      <c r="M325"/>
      <c r="N325"/>
      <c r="O325"/>
      <c r="P325"/>
      <c r="Q325"/>
      <c r="R325"/>
    </row>
    <row r="326" spans="2:18" ht="14.6" x14ac:dyDescent="0.4">
      <c r="B326"/>
      <c r="C326"/>
      <c r="D326"/>
      <c r="E326"/>
      <c r="F326"/>
      <c r="G326"/>
      <c r="H326"/>
      <c r="I326"/>
      <c r="J326"/>
      <c r="K326"/>
      <c r="L326"/>
      <c r="M326"/>
      <c r="N326"/>
      <c r="O326"/>
      <c r="P326"/>
      <c r="Q326"/>
      <c r="R326"/>
    </row>
    <row r="327" spans="2:18" ht="14.6" x14ac:dyDescent="0.4">
      <c r="B327"/>
      <c r="C327"/>
      <c r="D327"/>
      <c r="E327"/>
      <c r="F327"/>
      <c r="G327"/>
      <c r="H327"/>
      <c r="I327"/>
      <c r="J327"/>
      <c r="K327"/>
      <c r="L327"/>
      <c r="M327"/>
      <c r="N327"/>
      <c r="O327"/>
      <c r="P327"/>
      <c r="Q327"/>
      <c r="R327"/>
    </row>
    <row r="328" spans="2:18" ht="14.6" x14ac:dyDescent="0.4">
      <c r="B328"/>
      <c r="C328"/>
      <c r="D328"/>
      <c r="E328"/>
      <c r="F328"/>
      <c r="G328"/>
      <c r="H328"/>
      <c r="I328"/>
      <c r="J328"/>
      <c r="K328"/>
      <c r="L328"/>
      <c r="M328"/>
      <c r="N328"/>
      <c r="O328"/>
      <c r="P328"/>
      <c r="Q328"/>
      <c r="R328"/>
    </row>
    <row r="329" spans="2:18" ht="14.6" x14ac:dyDescent="0.4">
      <c r="B329"/>
      <c r="C329"/>
      <c r="D329"/>
      <c r="E329"/>
      <c r="F329"/>
      <c r="G329"/>
      <c r="H329"/>
      <c r="I329"/>
      <c r="J329"/>
      <c r="K329"/>
      <c r="L329"/>
      <c r="M329"/>
      <c r="N329"/>
      <c r="O329"/>
      <c r="P329"/>
      <c r="Q329"/>
      <c r="R329"/>
    </row>
    <row r="330" spans="2:18" ht="14.6" x14ac:dyDescent="0.4">
      <c r="B330"/>
      <c r="C330"/>
      <c r="D330"/>
      <c r="E330"/>
      <c r="F330"/>
      <c r="G330"/>
      <c r="H330"/>
      <c r="I330"/>
      <c r="J330"/>
      <c r="K330"/>
      <c r="L330"/>
      <c r="M330"/>
      <c r="N330"/>
      <c r="O330"/>
      <c r="P330"/>
      <c r="Q330"/>
      <c r="R330"/>
    </row>
    <row r="331" spans="2:18" ht="14.6" x14ac:dyDescent="0.4">
      <c r="B331"/>
      <c r="C331"/>
      <c r="D331"/>
      <c r="E331"/>
      <c r="F331"/>
      <c r="G331"/>
      <c r="H331"/>
      <c r="I331"/>
      <c r="J331"/>
      <c r="K331"/>
      <c r="L331"/>
      <c r="M331"/>
      <c r="N331"/>
      <c r="O331"/>
      <c r="P331"/>
      <c r="Q331"/>
      <c r="R331"/>
    </row>
    <row r="332" spans="2:18" ht="14.6" x14ac:dyDescent="0.4">
      <c r="B332"/>
      <c r="C332"/>
      <c r="D332"/>
      <c r="E332"/>
      <c r="F332"/>
      <c r="G332"/>
      <c r="H332"/>
      <c r="I332"/>
      <c r="J332"/>
      <c r="K332"/>
      <c r="L332"/>
      <c r="M332"/>
      <c r="N332"/>
      <c r="O332"/>
      <c r="P332"/>
      <c r="Q332"/>
      <c r="R332"/>
    </row>
    <row r="333" spans="2:18" ht="14.6" x14ac:dyDescent="0.4">
      <c r="B333"/>
      <c r="C333"/>
      <c r="D333"/>
      <c r="E333"/>
      <c r="F333"/>
      <c r="G333"/>
      <c r="H333"/>
      <c r="I333"/>
      <c r="J333"/>
      <c r="K333"/>
      <c r="L333"/>
      <c r="M333"/>
      <c r="N333"/>
      <c r="O333"/>
      <c r="P333"/>
      <c r="Q333"/>
      <c r="R333"/>
    </row>
    <row r="334" spans="2:18" ht="14.6" x14ac:dyDescent="0.4">
      <c r="B334"/>
      <c r="C334"/>
      <c r="D334"/>
      <c r="E334"/>
      <c r="F334"/>
      <c r="G334"/>
      <c r="H334"/>
      <c r="I334"/>
      <c r="J334"/>
      <c r="K334"/>
      <c r="L334"/>
      <c r="M334"/>
      <c r="N334"/>
      <c r="O334"/>
      <c r="P334"/>
      <c r="Q334"/>
      <c r="R334"/>
    </row>
    <row r="335" spans="2:18" ht="14.6" x14ac:dyDescent="0.4">
      <c r="B335"/>
      <c r="C335"/>
      <c r="D335"/>
      <c r="E335"/>
      <c r="F335"/>
      <c r="G335"/>
      <c r="H335"/>
      <c r="I335"/>
      <c r="J335"/>
      <c r="K335"/>
      <c r="L335"/>
      <c r="M335"/>
      <c r="N335"/>
      <c r="O335"/>
      <c r="P335"/>
      <c r="Q335"/>
      <c r="R335"/>
    </row>
    <row r="336" spans="2:18" ht="14.6" x14ac:dyDescent="0.4">
      <c r="B336"/>
      <c r="C336"/>
      <c r="D336"/>
      <c r="E336"/>
      <c r="F336"/>
      <c r="G336"/>
      <c r="H336"/>
      <c r="I336"/>
      <c r="J336"/>
      <c r="K336"/>
      <c r="L336"/>
      <c r="M336"/>
      <c r="N336"/>
      <c r="O336"/>
      <c r="P336"/>
      <c r="Q336"/>
      <c r="R336"/>
    </row>
    <row r="337" spans="2:18" ht="14.6" x14ac:dyDescent="0.4">
      <c r="B337"/>
      <c r="C337"/>
      <c r="D337"/>
      <c r="E337"/>
      <c r="F337"/>
      <c r="G337"/>
      <c r="H337"/>
      <c r="I337"/>
      <c r="J337"/>
      <c r="K337"/>
      <c r="L337"/>
      <c r="M337"/>
      <c r="N337"/>
      <c r="O337"/>
      <c r="P337"/>
      <c r="Q337"/>
      <c r="R337"/>
    </row>
    <row r="338" spans="2:18" ht="14.6" x14ac:dyDescent="0.4">
      <c r="B338"/>
      <c r="C338"/>
      <c r="D338"/>
      <c r="E338"/>
      <c r="F338"/>
      <c r="G338"/>
      <c r="H338"/>
      <c r="I338"/>
      <c r="J338"/>
      <c r="K338"/>
      <c r="L338"/>
      <c r="M338"/>
      <c r="N338"/>
      <c r="O338"/>
      <c r="P338"/>
      <c r="Q338"/>
      <c r="R338"/>
    </row>
    <row r="339" spans="2:18" ht="14.6" x14ac:dyDescent="0.4">
      <c r="B339"/>
      <c r="C339"/>
      <c r="D339"/>
      <c r="E339"/>
      <c r="F339"/>
      <c r="G339"/>
      <c r="H339"/>
      <c r="I339"/>
      <c r="J339"/>
      <c r="K339"/>
      <c r="L339"/>
      <c r="M339"/>
      <c r="N339"/>
      <c r="O339"/>
      <c r="P339"/>
      <c r="Q339"/>
      <c r="R339"/>
    </row>
    <row r="340" spans="2:18" ht="14.6" x14ac:dyDescent="0.4">
      <c r="B340"/>
      <c r="C340"/>
      <c r="D340"/>
      <c r="E340"/>
      <c r="F340"/>
      <c r="G340"/>
      <c r="H340"/>
      <c r="I340"/>
      <c r="J340"/>
      <c r="K340"/>
      <c r="L340"/>
      <c r="M340"/>
      <c r="N340"/>
      <c r="O340"/>
      <c r="P340"/>
      <c r="Q340"/>
      <c r="R340"/>
    </row>
    <row r="341" spans="2:18" ht="14.6" x14ac:dyDescent="0.4">
      <c r="B341"/>
      <c r="C341"/>
      <c r="D341"/>
      <c r="E341"/>
      <c r="F341"/>
      <c r="G341"/>
      <c r="H341"/>
      <c r="I341"/>
      <c r="J341"/>
      <c r="K341"/>
      <c r="L341"/>
      <c r="M341"/>
      <c r="N341"/>
      <c r="O341"/>
      <c r="P341"/>
      <c r="Q341"/>
      <c r="R341"/>
    </row>
    <row r="342" spans="2:18" ht="14.6" x14ac:dyDescent="0.4">
      <c r="B342"/>
      <c r="C342"/>
      <c r="D342"/>
      <c r="E342"/>
      <c r="F342"/>
      <c r="G342"/>
      <c r="H342"/>
      <c r="I342"/>
      <c r="J342"/>
      <c r="K342"/>
      <c r="L342"/>
      <c r="M342"/>
      <c r="N342"/>
      <c r="O342"/>
      <c r="P342"/>
      <c r="Q342"/>
      <c r="R342"/>
    </row>
    <row r="343" spans="2:18" ht="14.6" x14ac:dyDescent="0.4">
      <c r="B343"/>
      <c r="C343"/>
      <c r="D343"/>
      <c r="E343"/>
      <c r="F343"/>
      <c r="G343"/>
      <c r="H343"/>
      <c r="I343"/>
      <c r="J343"/>
      <c r="K343"/>
      <c r="L343"/>
      <c r="M343"/>
      <c r="N343"/>
      <c r="O343"/>
      <c r="P343"/>
      <c r="Q343"/>
      <c r="R343"/>
    </row>
    <row r="344" spans="2:18" ht="14.6" x14ac:dyDescent="0.4">
      <c r="B344"/>
      <c r="C344"/>
      <c r="D344"/>
      <c r="E344"/>
      <c r="F344"/>
      <c r="G344"/>
      <c r="H344"/>
      <c r="I344"/>
      <c r="J344"/>
      <c r="K344"/>
      <c r="L344"/>
      <c r="M344"/>
      <c r="N344"/>
      <c r="O344"/>
      <c r="P344"/>
      <c r="Q344"/>
      <c r="R344"/>
    </row>
    <row r="345" spans="2:18" ht="14.6" x14ac:dyDescent="0.4">
      <c r="B345"/>
      <c r="C345"/>
      <c r="D345"/>
      <c r="E345"/>
      <c r="F345"/>
      <c r="G345"/>
      <c r="H345"/>
      <c r="I345"/>
      <c r="J345"/>
      <c r="K345"/>
      <c r="L345"/>
      <c r="M345"/>
      <c r="N345"/>
      <c r="O345"/>
      <c r="P345"/>
      <c r="Q345"/>
      <c r="R345"/>
    </row>
    <row r="346" spans="2:18" ht="14.6" x14ac:dyDescent="0.4">
      <c r="B346"/>
      <c r="C346"/>
      <c r="D346"/>
      <c r="E346"/>
      <c r="F346"/>
      <c r="G346"/>
      <c r="H346"/>
      <c r="I346"/>
      <c r="J346"/>
      <c r="K346"/>
      <c r="L346"/>
      <c r="M346"/>
      <c r="N346"/>
      <c r="O346"/>
      <c r="P346"/>
      <c r="Q346"/>
      <c r="R346"/>
    </row>
    <row r="347" spans="2:18" ht="14.6" x14ac:dyDescent="0.4">
      <c r="B347"/>
      <c r="C347"/>
      <c r="D347"/>
      <c r="E347"/>
      <c r="F347"/>
      <c r="G347"/>
      <c r="H347"/>
      <c r="I347"/>
      <c r="J347"/>
      <c r="K347"/>
      <c r="L347"/>
      <c r="M347"/>
      <c r="N347"/>
      <c r="O347"/>
      <c r="P347"/>
      <c r="Q347"/>
      <c r="R347"/>
    </row>
    <row r="348" spans="2:18" ht="14.6" x14ac:dyDescent="0.4">
      <c r="B348"/>
      <c r="C348"/>
      <c r="D348"/>
      <c r="E348"/>
      <c r="F348"/>
      <c r="G348"/>
      <c r="H348"/>
      <c r="I348"/>
      <c r="J348"/>
      <c r="K348"/>
      <c r="L348"/>
      <c r="M348"/>
      <c r="N348"/>
      <c r="O348"/>
      <c r="P348"/>
      <c r="Q348"/>
      <c r="R348"/>
    </row>
    <row r="349" spans="2:18" ht="14.6" x14ac:dyDescent="0.4">
      <c r="B349"/>
      <c r="C349"/>
      <c r="D349"/>
      <c r="E349"/>
      <c r="F349"/>
      <c r="G349"/>
      <c r="H349"/>
      <c r="I349"/>
      <c r="J349"/>
      <c r="K349"/>
      <c r="L349"/>
      <c r="M349"/>
      <c r="N349"/>
      <c r="O349"/>
      <c r="P349"/>
      <c r="Q349"/>
      <c r="R349"/>
    </row>
    <row r="350" spans="2:18" ht="14.6" x14ac:dyDescent="0.4">
      <c r="B350"/>
      <c r="C350"/>
      <c r="D350"/>
      <c r="E350"/>
      <c r="F350"/>
      <c r="G350"/>
      <c r="H350"/>
      <c r="I350"/>
      <c r="J350"/>
      <c r="K350"/>
      <c r="L350"/>
      <c r="M350"/>
      <c r="N350"/>
      <c r="O350"/>
      <c r="P350"/>
      <c r="Q350"/>
      <c r="R350"/>
    </row>
    <row r="351" spans="2:18" ht="14.6" x14ac:dyDescent="0.4">
      <c r="B351"/>
      <c r="C351"/>
      <c r="D351"/>
      <c r="E351"/>
      <c r="F351"/>
      <c r="G351"/>
      <c r="H351"/>
      <c r="I351"/>
      <c r="J351"/>
      <c r="K351"/>
      <c r="L351"/>
      <c r="M351"/>
      <c r="N351"/>
      <c r="O351"/>
      <c r="P351"/>
      <c r="Q351"/>
      <c r="R351"/>
    </row>
    <row r="352" spans="2:18" ht="14.6" x14ac:dyDescent="0.4">
      <c r="B352"/>
      <c r="C352"/>
      <c r="D352"/>
      <c r="E352"/>
      <c r="F352"/>
      <c r="G352"/>
      <c r="H352"/>
      <c r="I352"/>
      <c r="J352"/>
      <c r="K352"/>
      <c r="L352"/>
      <c r="M352"/>
      <c r="N352"/>
      <c r="O352"/>
      <c r="P352"/>
      <c r="Q352"/>
      <c r="R352"/>
    </row>
    <row r="353" spans="2:18" ht="14.6" x14ac:dyDescent="0.4">
      <c r="B353"/>
      <c r="C353"/>
      <c r="D353"/>
      <c r="E353"/>
      <c r="F353"/>
      <c r="G353"/>
      <c r="H353"/>
      <c r="I353"/>
      <c r="J353"/>
      <c r="K353"/>
      <c r="L353"/>
      <c r="M353"/>
      <c r="N353"/>
      <c r="O353"/>
      <c r="P353"/>
      <c r="Q353"/>
      <c r="R353"/>
    </row>
    <row r="354" spans="2:18" ht="14.6" x14ac:dyDescent="0.4">
      <c r="B354"/>
      <c r="C354"/>
      <c r="D354"/>
      <c r="E354"/>
      <c r="F354"/>
      <c r="G354"/>
      <c r="H354"/>
      <c r="I354"/>
      <c r="J354"/>
      <c r="K354"/>
      <c r="L354"/>
      <c r="M354"/>
      <c r="N354"/>
      <c r="O354"/>
      <c r="P354"/>
      <c r="Q354"/>
      <c r="R354"/>
    </row>
    <row r="355" spans="2:18" ht="14.6" x14ac:dyDescent="0.4">
      <c r="B355"/>
      <c r="C355"/>
      <c r="D355"/>
      <c r="E355"/>
      <c r="F355"/>
      <c r="G355"/>
      <c r="H355"/>
      <c r="I355"/>
      <c r="J355"/>
      <c r="K355"/>
      <c r="L355"/>
      <c r="M355"/>
      <c r="N355"/>
      <c r="O355"/>
      <c r="P355"/>
      <c r="Q355"/>
      <c r="R355"/>
    </row>
    <row r="356" spans="2:18" ht="14.6" x14ac:dyDescent="0.4">
      <c r="B356"/>
      <c r="C356"/>
      <c r="D356"/>
      <c r="E356"/>
      <c r="F356"/>
      <c r="G356"/>
      <c r="H356"/>
      <c r="I356"/>
      <c r="J356"/>
      <c r="K356"/>
      <c r="L356"/>
      <c r="M356"/>
      <c r="N356"/>
      <c r="O356"/>
      <c r="P356"/>
      <c r="Q356"/>
      <c r="R356"/>
    </row>
    <row r="357" spans="2:18" ht="14.6" x14ac:dyDescent="0.4">
      <c r="B357"/>
      <c r="C357"/>
      <c r="D357"/>
      <c r="E357"/>
      <c r="F357"/>
      <c r="G357"/>
      <c r="H357"/>
      <c r="I357"/>
      <c r="J357"/>
      <c r="K357"/>
      <c r="L357"/>
      <c r="M357"/>
      <c r="N357"/>
      <c r="O357"/>
      <c r="P357"/>
      <c r="Q357"/>
      <c r="R357"/>
    </row>
    <row r="358" spans="2:18" ht="14.6" x14ac:dyDescent="0.4">
      <c r="B358"/>
      <c r="C358"/>
      <c r="D358"/>
      <c r="E358"/>
      <c r="F358"/>
      <c r="G358"/>
      <c r="H358"/>
      <c r="I358"/>
      <c r="J358"/>
      <c r="K358"/>
      <c r="L358"/>
      <c r="M358"/>
      <c r="N358"/>
      <c r="O358"/>
      <c r="P358"/>
      <c r="Q358"/>
      <c r="R358"/>
    </row>
    <row r="359" spans="2:18" ht="14.6" x14ac:dyDescent="0.4">
      <c r="B359"/>
      <c r="C359"/>
      <c r="D359"/>
      <c r="E359"/>
      <c r="F359"/>
      <c r="G359"/>
      <c r="H359"/>
      <c r="I359"/>
      <c r="J359"/>
      <c r="K359"/>
      <c r="L359"/>
      <c r="M359"/>
      <c r="N359"/>
      <c r="O359"/>
      <c r="P359"/>
      <c r="Q359"/>
      <c r="R359"/>
    </row>
    <row r="360" spans="2:18" ht="14.6" x14ac:dyDescent="0.4">
      <c r="B360"/>
      <c r="C360"/>
      <c r="D360"/>
      <c r="E360"/>
      <c r="F360"/>
      <c r="G360"/>
      <c r="H360"/>
      <c r="I360"/>
      <c r="J360"/>
      <c r="K360"/>
      <c r="L360"/>
      <c r="M360"/>
      <c r="N360"/>
      <c r="O360"/>
      <c r="P360"/>
      <c r="Q360"/>
      <c r="R360"/>
    </row>
    <row r="361" spans="2:18" ht="14.6" x14ac:dyDescent="0.4">
      <c r="B361"/>
      <c r="C361"/>
      <c r="D361"/>
      <c r="E361"/>
      <c r="F361"/>
      <c r="G361"/>
      <c r="H361"/>
      <c r="I361"/>
      <c r="J361"/>
      <c r="K361"/>
      <c r="L361"/>
      <c r="M361"/>
      <c r="N361"/>
      <c r="O361"/>
      <c r="P361"/>
      <c r="Q361"/>
      <c r="R361"/>
    </row>
    <row r="362" spans="2:18" ht="14.6" x14ac:dyDescent="0.4">
      <c r="B362"/>
      <c r="C362"/>
      <c r="D362"/>
      <c r="E362"/>
      <c r="F362"/>
      <c r="G362"/>
      <c r="H362"/>
      <c r="I362"/>
      <c r="J362"/>
      <c r="K362"/>
      <c r="L362"/>
      <c r="M362"/>
      <c r="N362"/>
      <c r="O362"/>
      <c r="P362"/>
      <c r="Q362"/>
      <c r="R362"/>
    </row>
    <row r="363" spans="2:18" ht="14.6" x14ac:dyDescent="0.4">
      <c r="B363"/>
      <c r="C363"/>
      <c r="D363"/>
      <c r="E363"/>
      <c r="F363"/>
      <c r="G363"/>
      <c r="H363"/>
      <c r="I363"/>
      <c r="J363"/>
      <c r="K363"/>
      <c r="L363"/>
      <c r="M363"/>
      <c r="N363"/>
      <c r="O363"/>
      <c r="P363"/>
      <c r="Q363"/>
      <c r="R363"/>
    </row>
    <row r="364" spans="2:18" ht="14.6" x14ac:dyDescent="0.4">
      <c r="B364"/>
      <c r="C364"/>
      <c r="D364"/>
      <c r="E364"/>
      <c r="F364"/>
      <c r="G364"/>
      <c r="H364"/>
      <c r="I364"/>
      <c r="J364"/>
      <c r="K364"/>
      <c r="L364"/>
      <c r="M364"/>
      <c r="N364"/>
      <c r="O364"/>
      <c r="P364"/>
      <c r="Q364"/>
      <c r="R364"/>
    </row>
    <row r="365" spans="2:18" ht="14.6" x14ac:dyDescent="0.4">
      <c r="B365"/>
      <c r="C365"/>
      <c r="D365"/>
      <c r="E365"/>
      <c r="F365"/>
      <c r="G365"/>
      <c r="H365"/>
      <c r="I365"/>
      <c r="J365"/>
      <c r="K365"/>
      <c r="L365"/>
      <c r="M365"/>
      <c r="N365"/>
      <c r="O365"/>
      <c r="P365"/>
      <c r="Q365"/>
      <c r="R365"/>
    </row>
    <row r="366" spans="2:18" ht="14.6" x14ac:dyDescent="0.4">
      <c r="B366"/>
      <c r="C366"/>
      <c r="D366"/>
      <c r="E366"/>
      <c r="F366"/>
      <c r="G366"/>
      <c r="H366"/>
      <c r="I366"/>
      <c r="J366"/>
      <c r="K366"/>
      <c r="L366"/>
      <c r="M366"/>
      <c r="N366"/>
      <c r="O366"/>
      <c r="P366"/>
      <c r="Q366"/>
      <c r="R366"/>
    </row>
    <row r="367" spans="2:18" ht="14.6" x14ac:dyDescent="0.4">
      <c r="B367"/>
      <c r="C367"/>
      <c r="D367"/>
      <c r="E367"/>
      <c r="F367"/>
      <c r="G367"/>
      <c r="H367"/>
      <c r="I367"/>
      <c r="J367"/>
      <c r="K367"/>
      <c r="L367"/>
      <c r="M367"/>
      <c r="N367"/>
      <c r="O367"/>
      <c r="P367"/>
      <c r="Q367"/>
      <c r="R367"/>
    </row>
    <row r="368" spans="2:18" ht="14.6" x14ac:dyDescent="0.4">
      <c r="B368"/>
      <c r="C368"/>
      <c r="D368"/>
      <c r="E368"/>
      <c r="F368"/>
      <c r="G368"/>
      <c r="H368"/>
      <c r="I368"/>
      <c r="J368"/>
      <c r="K368"/>
      <c r="L368"/>
      <c r="M368"/>
      <c r="N368"/>
      <c r="O368"/>
      <c r="P368"/>
      <c r="Q368"/>
      <c r="R368"/>
    </row>
    <row r="369" spans="2:18" ht="14.6" x14ac:dyDescent="0.4">
      <c r="B369"/>
      <c r="C369"/>
      <c r="D369"/>
      <c r="E369"/>
      <c r="F369"/>
      <c r="G369"/>
      <c r="H369"/>
      <c r="I369"/>
      <c r="J369"/>
      <c r="K369"/>
      <c r="L369"/>
      <c r="M369"/>
      <c r="N369"/>
      <c r="O369"/>
      <c r="P369"/>
      <c r="Q369"/>
      <c r="R369"/>
    </row>
    <row r="370" spans="2:18" ht="14.6" x14ac:dyDescent="0.4">
      <c r="B370"/>
      <c r="C370"/>
      <c r="D370"/>
      <c r="E370"/>
      <c r="F370"/>
      <c r="G370"/>
      <c r="H370"/>
      <c r="I370"/>
      <c r="J370"/>
      <c r="K370"/>
      <c r="L370"/>
      <c r="M370"/>
      <c r="N370"/>
      <c r="O370"/>
      <c r="P370"/>
      <c r="Q370"/>
      <c r="R370"/>
    </row>
    <row r="371" spans="2:18" ht="14.6" x14ac:dyDescent="0.4">
      <c r="B371"/>
      <c r="C371"/>
      <c r="D371"/>
      <c r="E371"/>
      <c r="F371"/>
      <c r="G371"/>
      <c r="H371"/>
      <c r="I371"/>
      <c r="J371"/>
      <c r="K371"/>
      <c r="L371"/>
      <c r="M371"/>
      <c r="N371"/>
      <c r="O371"/>
      <c r="P371"/>
      <c r="Q371"/>
      <c r="R371"/>
    </row>
    <row r="372" spans="2:18" ht="14.6" x14ac:dyDescent="0.4">
      <c r="B372"/>
      <c r="C372"/>
      <c r="D372"/>
      <c r="E372"/>
      <c r="F372"/>
      <c r="G372"/>
      <c r="H372"/>
      <c r="I372"/>
      <c r="J372"/>
      <c r="K372"/>
      <c r="L372"/>
      <c r="M372"/>
      <c r="N372"/>
      <c r="O372"/>
      <c r="P372"/>
      <c r="Q372"/>
      <c r="R372"/>
    </row>
    <row r="373" spans="2:18" ht="14.6" x14ac:dyDescent="0.4">
      <c r="B373"/>
      <c r="C373"/>
      <c r="D373"/>
      <c r="E373"/>
      <c r="F373"/>
      <c r="G373"/>
      <c r="H373"/>
      <c r="I373"/>
      <c r="J373"/>
      <c r="K373"/>
      <c r="L373"/>
      <c r="M373"/>
      <c r="N373"/>
      <c r="O373"/>
      <c r="P373"/>
      <c r="Q373"/>
      <c r="R373"/>
    </row>
    <row r="374" spans="2:18" ht="14.6" x14ac:dyDescent="0.4">
      <c r="B374"/>
      <c r="C374"/>
      <c r="D374"/>
      <c r="E374"/>
      <c r="F374"/>
      <c r="G374"/>
      <c r="H374"/>
      <c r="I374"/>
      <c r="J374"/>
      <c r="K374"/>
      <c r="L374"/>
      <c r="M374"/>
      <c r="N374"/>
      <c r="O374"/>
      <c r="P374"/>
      <c r="Q374"/>
      <c r="R374"/>
    </row>
    <row r="375" spans="2:18" ht="14.6" x14ac:dyDescent="0.4">
      <c r="B375"/>
      <c r="C375"/>
      <c r="D375"/>
      <c r="E375"/>
      <c r="F375"/>
      <c r="G375"/>
      <c r="H375"/>
      <c r="I375"/>
      <c r="J375"/>
      <c r="K375"/>
      <c r="L375"/>
      <c r="M375"/>
      <c r="N375"/>
      <c r="O375"/>
      <c r="P375"/>
      <c r="Q375"/>
      <c r="R375"/>
    </row>
    <row r="376" spans="2:18" ht="14.6" x14ac:dyDescent="0.4">
      <c r="B376"/>
      <c r="C376"/>
      <c r="D376"/>
      <c r="E376"/>
      <c r="F376"/>
      <c r="G376"/>
      <c r="H376"/>
      <c r="I376"/>
      <c r="J376"/>
      <c r="K376"/>
      <c r="L376"/>
      <c r="M376"/>
      <c r="N376"/>
      <c r="O376"/>
      <c r="P376"/>
      <c r="Q376"/>
      <c r="R376"/>
    </row>
    <row r="377" spans="2:18" ht="14.6" x14ac:dyDescent="0.4">
      <c r="B377"/>
      <c r="C377"/>
      <c r="D377"/>
      <c r="E377"/>
      <c r="F377"/>
      <c r="G377"/>
      <c r="H377"/>
      <c r="I377"/>
      <c r="J377"/>
      <c r="K377"/>
      <c r="L377"/>
      <c r="M377"/>
      <c r="N377"/>
      <c r="O377"/>
      <c r="P377"/>
      <c r="Q377"/>
      <c r="R377"/>
    </row>
    <row r="378" spans="2:18" ht="14.6" x14ac:dyDescent="0.4">
      <c r="B378"/>
      <c r="C378"/>
      <c r="D378"/>
      <c r="E378"/>
      <c r="F378"/>
      <c r="G378"/>
      <c r="H378"/>
      <c r="I378"/>
      <c r="J378"/>
      <c r="K378"/>
      <c r="L378"/>
      <c r="M378"/>
      <c r="N378"/>
      <c r="O378"/>
      <c r="P378"/>
      <c r="Q378"/>
      <c r="R378"/>
    </row>
    <row r="379" spans="2:18" ht="14.6" x14ac:dyDescent="0.4">
      <c r="B379"/>
      <c r="C379"/>
      <c r="D379"/>
      <c r="E379"/>
      <c r="F379"/>
      <c r="G379"/>
      <c r="H379"/>
      <c r="I379"/>
      <c r="J379"/>
      <c r="K379"/>
      <c r="L379"/>
      <c r="M379"/>
      <c r="N379"/>
      <c r="O379"/>
      <c r="P379"/>
      <c r="Q379"/>
      <c r="R379"/>
    </row>
    <row r="380" spans="2:18" ht="14.6" x14ac:dyDescent="0.4">
      <c r="B380"/>
      <c r="C380"/>
      <c r="D380"/>
      <c r="E380"/>
      <c r="F380"/>
      <c r="G380"/>
      <c r="H380"/>
      <c r="I380"/>
      <c r="J380"/>
      <c r="K380"/>
      <c r="L380"/>
      <c r="M380"/>
      <c r="N380"/>
      <c r="O380"/>
      <c r="P380"/>
      <c r="Q380"/>
      <c r="R380"/>
    </row>
    <row r="381" spans="2:18" ht="14.6" x14ac:dyDescent="0.4">
      <c r="B381"/>
      <c r="C381"/>
      <c r="D381"/>
      <c r="E381"/>
      <c r="F381"/>
      <c r="G381"/>
      <c r="H381"/>
      <c r="I381"/>
      <c r="J381"/>
      <c r="K381"/>
      <c r="L381"/>
      <c r="M381"/>
      <c r="N381"/>
      <c r="O381"/>
      <c r="P381"/>
      <c r="Q381"/>
      <c r="R381"/>
    </row>
    <row r="382" spans="2:18" ht="14.6" x14ac:dyDescent="0.4">
      <c r="B382"/>
      <c r="C382"/>
      <c r="D382"/>
      <c r="E382"/>
      <c r="F382"/>
      <c r="G382"/>
      <c r="H382"/>
      <c r="I382"/>
      <c r="J382"/>
      <c r="K382"/>
      <c r="L382"/>
      <c r="M382"/>
      <c r="N382"/>
      <c r="O382"/>
      <c r="P382"/>
      <c r="Q382"/>
      <c r="R382"/>
    </row>
    <row r="383" spans="2:18" ht="14.6" x14ac:dyDescent="0.4">
      <c r="B383"/>
      <c r="C383"/>
      <c r="D383"/>
      <c r="E383"/>
      <c r="F383"/>
      <c r="G383"/>
      <c r="H383"/>
      <c r="I383"/>
      <c r="J383"/>
      <c r="K383"/>
      <c r="L383"/>
      <c r="M383"/>
      <c r="N383"/>
      <c r="O383"/>
      <c r="P383"/>
      <c r="Q383"/>
      <c r="R383"/>
    </row>
    <row r="384" spans="2:18" ht="14.6" x14ac:dyDescent="0.4">
      <c r="B384"/>
      <c r="C384"/>
      <c r="D384"/>
      <c r="E384"/>
      <c r="F384"/>
      <c r="G384"/>
      <c r="H384"/>
      <c r="I384"/>
      <c r="J384"/>
      <c r="K384"/>
      <c r="L384"/>
      <c r="M384"/>
      <c r="N384"/>
      <c r="O384"/>
      <c r="P384"/>
      <c r="Q384"/>
      <c r="R384"/>
    </row>
    <row r="385" spans="2:18" ht="14.6" x14ac:dyDescent="0.4">
      <c r="B385"/>
      <c r="C385"/>
      <c r="D385"/>
      <c r="E385"/>
      <c r="F385"/>
      <c r="G385"/>
      <c r="H385"/>
      <c r="I385"/>
      <c r="J385"/>
      <c r="K385"/>
      <c r="L385"/>
      <c r="M385"/>
      <c r="N385"/>
      <c r="O385"/>
      <c r="P385"/>
      <c r="Q385"/>
      <c r="R385"/>
    </row>
    <row r="386" spans="2:18" ht="14.6" x14ac:dyDescent="0.4">
      <c r="B386"/>
      <c r="C386"/>
      <c r="D386"/>
      <c r="E386"/>
      <c r="F386"/>
      <c r="G386"/>
      <c r="H386"/>
      <c r="I386"/>
      <c r="J386"/>
      <c r="K386"/>
      <c r="L386"/>
      <c r="M386"/>
      <c r="N386"/>
      <c r="O386"/>
      <c r="P386"/>
      <c r="Q386"/>
      <c r="R386"/>
    </row>
    <row r="387" spans="2:18" ht="14.6" x14ac:dyDescent="0.4">
      <c r="B387"/>
      <c r="C387"/>
      <c r="D387"/>
      <c r="E387"/>
      <c r="F387"/>
      <c r="G387"/>
      <c r="H387"/>
      <c r="I387"/>
      <c r="J387"/>
      <c r="K387"/>
      <c r="L387"/>
      <c r="M387"/>
      <c r="N387"/>
      <c r="O387"/>
      <c r="P387"/>
      <c r="Q387"/>
      <c r="R387"/>
    </row>
    <row r="388" spans="2:18" ht="14.6" x14ac:dyDescent="0.4">
      <c r="B388"/>
      <c r="C388"/>
      <c r="D388"/>
      <c r="E388"/>
      <c r="F388"/>
      <c r="G388"/>
      <c r="H388"/>
      <c r="I388"/>
      <c r="J388"/>
      <c r="K388"/>
      <c r="L388"/>
      <c r="M388"/>
      <c r="N388"/>
      <c r="O388"/>
      <c r="P388"/>
      <c r="Q388"/>
      <c r="R388"/>
    </row>
    <row r="389" spans="2:18" ht="14.6" x14ac:dyDescent="0.4">
      <c r="B389"/>
      <c r="C389"/>
      <c r="D389"/>
      <c r="E389"/>
      <c r="F389"/>
      <c r="G389"/>
      <c r="H389"/>
      <c r="I389"/>
      <c r="J389"/>
      <c r="K389"/>
      <c r="L389"/>
      <c r="M389"/>
      <c r="N389"/>
      <c r="O389"/>
      <c r="P389"/>
      <c r="Q389"/>
      <c r="R389"/>
    </row>
    <row r="390" spans="2:18" ht="14.6" x14ac:dyDescent="0.4">
      <c r="B390"/>
      <c r="C390"/>
      <c r="D390"/>
      <c r="E390"/>
      <c r="F390"/>
      <c r="G390"/>
      <c r="H390"/>
      <c r="I390"/>
      <c r="J390"/>
      <c r="K390"/>
      <c r="L390"/>
      <c r="M390"/>
      <c r="N390"/>
      <c r="O390"/>
      <c r="P390"/>
      <c r="Q390"/>
      <c r="R390"/>
    </row>
    <row r="391" spans="2:18" ht="14.6" x14ac:dyDescent="0.4">
      <c r="B391"/>
      <c r="C391"/>
      <c r="D391"/>
      <c r="E391"/>
      <c r="F391"/>
      <c r="G391"/>
      <c r="H391"/>
      <c r="I391"/>
      <c r="J391"/>
      <c r="K391"/>
      <c r="L391"/>
      <c r="M391"/>
      <c r="N391"/>
      <c r="O391"/>
      <c r="P391"/>
      <c r="Q391"/>
      <c r="R391"/>
    </row>
    <row r="392" spans="2:18" ht="14.6" x14ac:dyDescent="0.4">
      <c r="B392"/>
      <c r="C392"/>
      <c r="D392"/>
      <c r="E392"/>
      <c r="F392"/>
      <c r="G392"/>
      <c r="H392"/>
      <c r="I392"/>
      <c r="J392"/>
      <c r="K392"/>
      <c r="L392"/>
      <c r="M392"/>
      <c r="N392"/>
      <c r="O392"/>
      <c r="P392"/>
      <c r="Q392"/>
      <c r="R392"/>
    </row>
    <row r="393" spans="2:18" ht="14.6" x14ac:dyDescent="0.4">
      <c r="B393"/>
      <c r="C393"/>
      <c r="D393"/>
      <c r="E393"/>
      <c r="F393"/>
      <c r="G393"/>
      <c r="H393"/>
      <c r="I393"/>
      <c r="J393"/>
      <c r="K393"/>
      <c r="L393"/>
      <c r="M393"/>
      <c r="N393"/>
      <c r="O393"/>
      <c r="P393"/>
      <c r="Q393"/>
      <c r="R393"/>
    </row>
    <row r="394" spans="2:18" ht="14.6" x14ac:dyDescent="0.4">
      <c r="B394"/>
      <c r="C394"/>
      <c r="D394"/>
      <c r="E394"/>
      <c r="F394"/>
      <c r="G394"/>
      <c r="H394"/>
      <c r="I394"/>
      <c r="J394"/>
      <c r="K394"/>
      <c r="L394"/>
      <c r="M394"/>
      <c r="N394"/>
      <c r="O394"/>
      <c r="P394"/>
      <c r="Q394"/>
      <c r="R394"/>
    </row>
    <row r="395" spans="2:18" ht="14.6" x14ac:dyDescent="0.4">
      <c r="B395"/>
      <c r="C395"/>
      <c r="D395"/>
      <c r="E395"/>
      <c r="F395"/>
      <c r="G395"/>
      <c r="H395"/>
      <c r="I395"/>
      <c r="J395"/>
      <c r="K395"/>
      <c r="L395"/>
      <c r="M395"/>
      <c r="N395"/>
      <c r="O395"/>
      <c r="P395"/>
      <c r="Q395"/>
      <c r="R395"/>
    </row>
    <row r="396" spans="2:18" ht="14.6" x14ac:dyDescent="0.4">
      <c r="B396"/>
      <c r="C396"/>
      <c r="D396"/>
      <c r="E396"/>
      <c r="F396"/>
      <c r="G396"/>
      <c r="H396"/>
      <c r="I396"/>
      <c r="J396"/>
      <c r="K396"/>
      <c r="L396"/>
      <c r="M396"/>
      <c r="N396"/>
      <c r="O396"/>
      <c r="P396"/>
      <c r="Q396"/>
      <c r="R396"/>
    </row>
    <row r="397" spans="2:18" ht="14.6" x14ac:dyDescent="0.4">
      <c r="B397"/>
      <c r="C397"/>
      <c r="D397"/>
      <c r="E397"/>
      <c r="F397"/>
      <c r="G397"/>
      <c r="H397"/>
      <c r="I397"/>
      <c r="J397"/>
      <c r="K397"/>
      <c r="L397"/>
      <c r="M397"/>
      <c r="N397"/>
      <c r="O397"/>
      <c r="P397"/>
      <c r="Q397"/>
      <c r="R397"/>
    </row>
    <row r="398" spans="2:18" ht="14.6" x14ac:dyDescent="0.4">
      <c r="B398"/>
      <c r="C398"/>
      <c r="D398"/>
      <c r="E398"/>
      <c r="F398"/>
      <c r="G398"/>
      <c r="H398"/>
      <c r="I398"/>
      <c r="J398"/>
      <c r="K398"/>
      <c r="L398"/>
      <c r="M398"/>
      <c r="N398"/>
      <c r="O398"/>
      <c r="P398"/>
      <c r="Q398"/>
      <c r="R398"/>
    </row>
    <row r="399" spans="2:18" ht="14.6" x14ac:dyDescent="0.4">
      <c r="B399"/>
      <c r="C399"/>
      <c r="D399"/>
      <c r="E399"/>
      <c r="F399"/>
      <c r="G399"/>
      <c r="H399"/>
      <c r="I399"/>
      <c r="J399"/>
      <c r="K399"/>
      <c r="L399"/>
      <c r="M399"/>
      <c r="N399"/>
      <c r="O399"/>
      <c r="P399"/>
      <c r="Q399"/>
      <c r="R399"/>
    </row>
    <row r="400" spans="2:18" ht="14.6" x14ac:dyDescent="0.4">
      <c r="B400"/>
      <c r="C400"/>
      <c r="D400"/>
      <c r="E400"/>
      <c r="F400"/>
      <c r="G400"/>
      <c r="H400"/>
      <c r="I400"/>
      <c r="J400"/>
      <c r="K400"/>
      <c r="L400"/>
      <c r="M400"/>
      <c r="N400"/>
      <c r="O400"/>
      <c r="P400"/>
      <c r="Q400"/>
      <c r="R400"/>
    </row>
    <row r="401" spans="2:18" ht="14.6" x14ac:dyDescent="0.4">
      <c r="B401"/>
      <c r="C401"/>
      <c r="D401"/>
      <c r="E401"/>
      <c r="F401"/>
      <c r="G401"/>
      <c r="H401"/>
      <c r="I401"/>
      <c r="J401"/>
      <c r="K401"/>
      <c r="L401"/>
      <c r="M401"/>
      <c r="N401"/>
      <c r="O401"/>
      <c r="P401"/>
      <c r="Q401"/>
      <c r="R401"/>
    </row>
    <row r="402" spans="2:18" ht="14.6" x14ac:dyDescent="0.4">
      <c r="B402"/>
      <c r="C402"/>
      <c r="D402"/>
      <c r="E402"/>
      <c r="F402"/>
      <c r="G402"/>
      <c r="H402"/>
      <c r="I402"/>
      <c r="J402"/>
      <c r="K402"/>
      <c r="L402"/>
      <c r="M402"/>
      <c r="N402"/>
      <c r="O402"/>
      <c r="P402"/>
      <c r="Q402"/>
      <c r="R402"/>
    </row>
    <row r="403" spans="2:18" ht="14.6" x14ac:dyDescent="0.4">
      <c r="B403"/>
      <c r="C403"/>
      <c r="D403"/>
      <c r="E403"/>
      <c r="F403"/>
      <c r="G403"/>
      <c r="H403"/>
      <c r="I403"/>
      <c r="J403"/>
      <c r="K403"/>
      <c r="L403"/>
      <c r="M403"/>
      <c r="N403"/>
      <c r="O403"/>
      <c r="P403"/>
      <c r="Q403"/>
      <c r="R403"/>
    </row>
    <row r="404" spans="2:18" ht="14.6" x14ac:dyDescent="0.4">
      <c r="B404"/>
      <c r="C404"/>
      <c r="D404"/>
      <c r="E404"/>
      <c r="F404"/>
      <c r="G404"/>
      <c r="H404"/>
      <c r="I404"/>
      <c r="J404"/>
      <c r="K404"/>
      <c r="L404"/>
      <c r="M404"/>
      <c r="N404"/>
      <c r="O404"/>
      <c r="P404"/>
      <c r="Q404"/>
      <c r="R404"/>
    </row>
    <row r="405" spans="2:18" ht="14.6" x14ac:dyDescent="0.4">
      <c r="B405"/>
      <c r="C405"/>
      <c r="D405"/>
      <c r="E405"/>
      <c r="F405"/>
      <c r="G405"/>
      <c r="H405"/>
      <c r="I405"/>
      <c r="J405"/>
      <c r="K405"/>
      <c r="L405"/>
      <c r="M405"/>
      <c r="N405"/>
      <c r="O405"/>
      <c r="P405"/>
      <c r="Q405"/>
      <c r="R405"/>
    </row>
    <row r="406" spans="2:18" ht="14.6" x14ac:dyDescent="0.4">
      <c r="B406"/>
      <c r="C406"/>
      <c r="D406"/>
      <c r="E406"/>
      <c r="F406"/>
      <c r="G406"/>
      <c r="H406"/>
      <c r="I406"/>
      <c r="J406"/>
      <c r="K406"/>
      <c r="L406"/>
      <c r="M406"/>
      <c r="N406"/>
      <c r="O406"/>
      <c r="P406"/>
      <c r="Q406"/>
      <c r="R406"/>
    </row>
    <row r="407" spans="2:18" ht="14.6" x14ac:dyDescent="0.4">
      <c r="B407"/>
      <c r="C407"/>
      <c r="D407"/>
      <c r="E407"/>
      <c r="F407"/>
      <c r="G407"/>
      <c r="H407"/>
      <c r="I407"/>
      <c r="J407"/>
      <c r="K407"/>
      <c r="L407"/>
      <c r="M407"/>
      <c r="N407"/>
      <c r="O407"/>
      <c r="P407"/>
      <c r="Q407"/>
      <c r="R407"/>
    </row>
    <row r="408" spans="2:18" ht="14.6" x14ac:dyDescent="0.4">
      <c r="B408"/>
      <c r="C408"/>
      <c r="D408"/>
      <c r="E408"/>
      <c r="F408"/>
      <c r="G408"/>
      <c r="H408"/>
      <c r="I408"/>
      <c r="J408"/>
      <c r="K408"/>
      <c r="L408"/>
      <c r="M408"/>
      <c r="N408"/>
      <c r="O408"/>
      <c r="P408"/>
      <c r="Q408"/>
      <c r="R408"/>
    </row>
    <row r="409" spans="2:18" ht="14.6" x14ac:dyDescent="0.4">
      <c r="B409"/>
      <c r="C409"/>
      <c r="D409"/>
      <c r="E409"/>
      <c r="F409"/>
      <c r="G409"/>
      <c r="H409"/>
      <c r="I409"/>
      <c r="J409"/>
      <c r="K409"/>
      <c r="L409"/>
      <c r="M409"/>
      <c r="N409"/>
      <c r="O409"/>
      <c r="P409"/>
      <c r="Q409"/>
      <c r="R409"/>
    </row>
    <row r="410" spans="2:18" ht="14.6" x14ac:dyDescent="0.4">
      <c r="B410"/>
      <c r="C410"/>
      <c r="D410"/>
      <c r="E410"/>
      <c r="F410"/>
      <c r="G410"/>
      <c r="H410"/>
      <c r="I410"/>
      <c r="J410"/>
      <c r="K410"/>
      <c r="L410"/>
      <c r="M410"/>
      <c r="N410"/>
      <c r="O410"/>
      <c r="P410"/>
      <c r="Q410"/>
      <c r="R410"/>
    </row>
    <row r="411" spans="2:18" ht="14.6" x14ac:dyDescent="0.4">
      <c r="B411"/>
      <c r="C411"/>
      <c r="D411"/>
      <c r="E411"/>
      <c r="F411"/>
      <c r="G411"/>
      <c r="H411"/>
      <c r="I411"/>
      <c r="J411"/>
      <c r="K411"/>
      <c r="L411"/>
      <c r="M411"/>
      <c r="N411"/>
      <c r="O411"/>
      <c r="P411"/>
      <c r="Q411"/>
      <c r="R411"/>
    </row>
    <row r="412" spans="2:18" ht="14.6" x14ac:dyDescent="0.4">
      <c r="B412"/>
      <c r="C412"/>
      <c r="D412"/>
      <c r="E412"/>
      <c r="F412"/>
      <c r="G412"/>
      <c r="H412"/>
      <c r="I412"/>
      <c r="J412"/>
      <c r="K412"/>
      <c r="L412"/>
      <c r="M412"/>
      <c r="N412"/>
      <c r="O412"/>
      <c r="P412"/>
      <c r="Q412"/>
      <c r="R412"/>
    </row>
    <row r="413" spans="2:18" ht="14.6" x14ac:dyDescent="0.4">
      <c r="B413"/>
      <c r="C413"/>
      <c r="D413"/>
      <c r="E413"/>
      <c r="F413"/>
      <c r="G413"/>
      <c r="H413"/>
      <c r="I413"/>
      <c r="J413"/>
      <c r="K413"/>
      <c r="L413"/>
      <c r="M413"/>
      <c r="N413"/>
      <c r="O413"/>
      <c r="P413"/>
      <c r="Q413"/>
      <c r="R413"/>
    </row>
    <row r="414" spans="2:18" ht="14.6" x14ac:dyDescent="0.4">
      <c r="B414"/>
      <c r="C414"/>
      <c r="D414"/>
      <c r="E414"/>
      <c r="F414"/>
      <c r="G414"/>
      <c r="H414"/>
      <c r="I414"/>
      <c r="J414"/>
      <c r="K414"/>
      <c r="L414"/>
      <c r="M414"/>
      <c r="N414"/>
      <c r="O414"/>
      <c r="P414"/>
      <c r="Q414"/>
      <c r="R414"/>
    </row>
    <row r="415" spans="2:18" ht="14.6" x14ac:dyDescent="0.4">
      <c r="B415"/>
      <c r="C415"/>
      <c r="D415"/>
      <c r="E415"/>
      <c r="F415"/>
      <c r="G415"/>
      <c r="H415"/>
      <c r="I415"/>
      <c r="J415"/>
      <c r="K415"/>
      <c r="L415"/>
      <c r="M415"/>
      <c r="N415"/>
      <c r="O415"/>
      <c r="P415"/>
      <c r="Q415"/>
      <c r="R415"/>
    </row>
    <row r="416" spans="2:18" ht="14.6" x14ac:dyDescent="0.4">
      <c r="B416"/>
      <c r="C416"/>
      <c r="D416"/>
      <c r="E416"/>
      <c r="F416"/>
      <c r="G416"/>
      <c r="H416"/>
      <c r="I416"/>
      <c r="J416"/>
      <c r="K416"/>
      <c r="L416"/>
      <c r="M416"/>
      <c r="N416"/>
      <c r="O416"/>
      <c r="P416"/>
      <c r="Q416"/>
      <c r="R416"/>
    </row>
    <row r="417" spans="2:18" ht="14.6" x14ac:dyDescent="0.4">
      <c r="B417"/>
      <c r="C417"/>
      <c r="D417"/>
      <c r="E417"/>
      <c r="F417"/>
      <c r="G417"/>
      <c r="H417"/>
      <c r="I417"/>
      <c r="J417"/>
      <c r="K417"/>
      <c r="L417"/>
      <c r="M417"/>
      <c r="N417"/>
      <c r="O417"/>
      <c r="P417"/>
      <c r="Q417"/>
      <c r="R417"/>
    </row>
    <row r="418" spans="2:18" ht="14.6" x14ac:dyDescent="0.4">
      <c r="B418"/>
      <c r="C418"/>
      <c r="D418"/>
      <c r="E418"/>
      <c r="F418"/>
      <c r="G418"/>
      <c r="H418"/>
      <c r="I418"/>
      <c r="J418"/>
      <c r="K418"/>
      <c r="L418"/>
      <c r="M418"/>
      <c r="N418"/>
      <c r="O418"/>
      <c r="P418"/>
      <c r="Q418"/>
      <c r="R418"/>
    </row>
    <row r="419" spans="2:18" ht="14.6" x14ac:dyDescent="0.4">
      <c r="B419"/>
      <c r="C419"/>
      <c r="D419"/>
      <c r="E419"/>
      <c r="F419"/>
      <c r="G419"/>
      <c r="H419"/>
      <c r="I419"/>
      <c r="J419"/>
      <c r="K419"/>
      <c r="L419"/>
      <c r="M419"/>
      <c r="N419"/>
      <c r="O419"/>
      <c r="P419"/>
      <c r="Q419"/>
      <c r="R419"/>
    </row>
    <row r="420" spans="2:18" ht="14.6" x14ac:dyDescent="0.4">
      <c r="B420"/>
      <c r="C420"/>
      <c r="D420"/>
      <c r="E420"/>
      <c r="F420"/>
      <c r="G420"/>
      <c r="H420"/>
      <c r="I420"/>
      <c r="J420"/>
      <c r="K420"/>
      <c r="L420"/>
      <c r="M420"/>
      <c r="N420"/>
      <c r="O420"/>
      <c r="P420"/>
      <c r="Q420"/>
      <c r="R420"/>
    </row>
    <row r="421" spans="2:18" ht="14.6" x14ac:dyDescent="0.4">
      <c r="B421"/>
      <c r="C421"/>
      <c r="D421"/>
      <c r="E421"/>
      <c r="F421"/>
      <c r="G421"/>
      <c r="H421"/>
      <c r="I421"/>
      <c r="J421"/>
      <c r="K421"/>
      <c r="L421"/>
      <c r="M421"/>
      <c r="N421"/>
      <c r="O421"/>
      <c r="P421"/>
      <c r="Q421"/>
      <c r="R421"/>
    </row>
    <row r="422" spans="2:18" ht="14.6" x14ac:dyDescent="0.4">
      <c r="B422"/>
      <c r="C422"/>
      <c r="D422"/>
      <c r="E422"/>
      <c r="F422"/>
      <c r="G422"/>
      <c r="H422"/>
      <c r="I422"/>
      <c r="J422"/>
      <c r="K422"/>
      <c r="L422"/>
      <c r="M422"/>
      <c r="N422"/>
      <c r="O422"/>
      <c r="P422"/>
      <c r="Q422"/>
      <c r="R422"/>
    </row>
    <row r="423" spans="2:18" ht="14.6" x14ac:dyDescent="0.4">
      <c r="B423"/>
      <c r="C423"/>
      <c r="D423"/>
      <c r="E423"/>
      <c r="F423"/>
      <c r="G423"/>
      <c r="H423"/>
      <c r="I423"/>
      <c r="J423"/>
      <c r="K423"/>
      <c r="L423"/>
      <c r="M423"/>
      <c r="N423"/>
      <c r="O423"/>
      <c r="P423"/>
      <c r="Q423"/>
      <c r="R423"/>
    </row>
    <row r="424" spans="2:18" ht="14.6" x14ac:dyDescent="0.4">
      <c r="B424"/>
      <c r="C424"/>
      <c r="D424"/>
      <c r="E424"/>
      <c r="F424"/>
      <c r="G424"/>
      <c r="H424"/>
      <c r="I424"/>
      <c r="J424"/>
      <c r="K424"/>
      <c r="L424"/>
      <c r="M424"/>
      <c r="N424"/>
      <c r="O424"/>
      <c r="P424"/>
      <c r="Q424"/>
      <c r="R424"/>
    </row>
    <row r="425" spans="2:18" ht="14.6" x14ac:dyDescent="0.4">
      <c r="B425"/>
      <c r="C425"/>
      <c r="D425"/>
      <c r="E425"/>
      <c r="F425"/>
      <c r="G425"/>
      <c r="H425"/>
      <c r="I425"/>
      <c r="J425"/>
      <c r="K425"/>
      <c r="L425"/>
      <c r="M425"/>
      <c r="N425"/>
      <c r="O425"/>
      <c r="P425"/>
      <c r="Q425"/>
      <c r="R425"/>
    </row>
    <row r="426" spans="2:18" ht="14.6" x14ac:dyDescent="0.4">
      <c r="B426"/>
      <c r="C426"/>
      <c r="D426"/>
      <c r="E426"/>
      <c r="F426"/>
      <c r="G426"/>
      <c r="H426"/>
      <c r="I426"/>
      <c r="J426"/>
      <c r="K426"/>
      <c r="L426"/>
      <c r="M426"/>
      <c r="N426"/>
      <c r="O426"/>
      <c r="P426"/>
      <c r="Q426"/>
      <c r="R426"/>
    </row>
    <row r="427" spans="2:18" ht="14.6" x14ac:dyDescent="0.4">
      <c r="B427"/>
      <c r="C427"/>
      <c r="D427"/>
      <c r="E427"/>
      <c r="F427"/>
      <c r="G427"/>
      <c r="H427"/>
      <c r="I427"/>
      <c r="J427"/>
      <c r="K427"/>
      <c r="L427"/>
      <c r="M427"/>
      <c r="N427"/>
      <c r="O427"/>
      <c r="P427"/>
      <c r="Q427"/>
      <c r="R427"/>
    </row>
    <row r="428" spans="2:18" ht="14.6" x14ac:dyDescent="0.4">
      <c r="B428"/>
      <c r="C428"/>
      <c r="D428"/>
      <c r="E428"/>
      <c r="F428"/>
      <c r="G428"/>
      <c r="H428"/>
      <c r="I428"/>
      <c r="J428"/>
      <c r="K428"/>
      <c r="L428"/>
      <c r="M428"/>
      <c r="N428"/>
      <c r="O428"/>
      <c r="P428"/>
      <c r="Q428"/>
      <c r="R428"/>
    </row>
    <row r="429" spans="2:18" ht="14.6" x14ac:dyDescent="0.4">
      <c r="B429"/>
      <c r="C429"/>
      <c r="D429"/>
      <c r="E429"/>
      <c r="F429"/>
      <c r="G429"/>
      <c r="H429"/>
      <c r="I429"/>
      <c r="J429"/>
      <c r="K429"/>
      <c r="L429"/>
      <c r="M429"/>
      <c r="N429"/>
      <c r="O429"/>
      <c r="P429"/>
      <c r="Q429"/>
      <c r="R429"/>
    </row>
    <row r="430" spans="2:18" ht="14.6" x14ac:dyDescent="0.4">
      <c r="B430"/>
      <c r="C430"/>
      <c r="D430"/>
      <c r="E430"/>
      <c r="F430"/>
      <c r="G430"/>
      <c r="H430"/>
      <c r="I430"/>
      <c r="J430"/>
      <c r="K430"/>
      <c r="L430"/>
      <c r="M430"/>
      <c r="N430"/>
      <c r="O430"/>
      <c r="P430"/>
      <c r="Q430"/>
      <c r="R430"/>
    </row>
    <row r="431" spans="2:18" ht="14.6" x14ac:dyDescent="0.4">
      <c r="B431"/>
      <c r="C431"/>
      <c r="D431"/>
      <c r="E431"/>
      <c r="F431"/>
      <c r="G431"/>
      <c r="H431"/>
      <c r="I431"/>
      <c r="J431"/>
      <c r="K431"/>
      <c r="L431"/>
      <c r="M431"/>
      <c r="N431"/>
      <c r="O431"/>
      <c r="P431"/>
      <c r="Q431"/>
      <c r="R431"/>
    </row>
    <row r="432" spans="2:18" ht="14.6" x14ac:dyDescent="0.4">
      <c r="B432"/>
      <c r="C432"/>
      <c r="D432"/>
      <c r="E432"/>
      <c r="F432"/>
      <c r="G432"/>
      <c r="H432"/>
      <c r="I432"/>
      <c r="J432"/>
      <c r="K432"/>
      <c r="L432"/>
      <c r="M432"/>
      <c r="N432"/>
      <c r="O432"/>
      <c r="P432"/>
      <c r="Q432"/>
      <c r="R432"/>
    </row>
    <row r="433" spans="2:18" ht="14.6" x14ac:dyDescent="0.4">
      <c r="B433"/>
      <c r="C433"/>
      <c r="D433"/>
      <c r="E433"/>
      <c r="F433"/>
      <c r="G433"/>
      <c r="H433"/>
      <c r="I433"/>
      <c r="J433"/>
      <c r="K433"/>
      <c r="L433"/>
      <c r="M433"/>
      <c r="N433"/>
      <c r="O433"/>
      <c r="P433"/>
      <c r="Q433"/>
      <c r="R433"/>
    </row>
    <row r="434" spans="2:18" ht="14.6" x14ac:dyDescent="0.4">
      <c r="B434"/>
      <c r="C434"/>
      <c r="D434"/>
      <c r="E434"/>
      <c r="F434"/>
      <c r="G434"/>
      <c r="H434"/>
      <c r="I434"/>
      <c r="J434"/>
      <c r="K434"/>
      <c r="L434"/>
      <c r="M434"/>
      <c r="N434"/>
      <c r="O434"/>
      <c r="P434"/>
      <c r="Q434"/>
      <c r="R434"/>
    </row>
    <row r="435" spans="2:18" ht="14.6" x14ac:dyDescent="0.4">
      <c r="B435"/>
      <c r="C435"/>
      <c r="D435"/>
      <c r="E435"/>
      <c r="F435"/>
      <c r="G435"/>
      <c r="H435"/>
      <c r="I435"/>
      <c r="J435"/>
      <c r="K435"/>
      <c r="L435"/>
      <c r="M435"/>
      <c r="N435"/>
      <c r="O435"/>
      <c r="P435"/>
      <c r="Q435"/>
      <c r="R435"/>
    </row>
    <row r="436" spans="2:18" ht="14.6" x14ac:dyDescent="0.4">
      <c r="B436"/>
      <c r="C436"/>
      <c r="D436"/>
      <c r="E436"/>
      <c r="F436"/>
      <c r="G436"/>
      <c r="H436"/>
      <c r="I436"/>
      <c r="J436"/>
      <c r="K436"/>
      <c r="L436"/>
      <c r="M436"/>
      <c r="N436"/>
      <c r="O436"/>
      <c r="P436"/>
      <c r="Q436"/>
      <c r="R436"/>
    </row>
    <row r="437" spans="2:18" ht="14.6" x14ac:dyDescent="0.4">
      <c r="B437"/>
      <c r="C437"/>
      <c r="D437"/>
      <c r="E437"/>
      <c r="F437"/>
      <c r="G437"/>
      <c r="H437"/>
      <c r="I437"/>
      <c r="J437"/>
      <c r="K437"/>
      <c r="L437"/>
      <c r="M437"/>
      <c r="N437"/>
      <c r="O437"/>
      <c r="P437"/>
      <c r="Q437"/>
      <c r="R437"/>
    </row>
    <row r="438" spans="2:18" ht="14.6" x14ac:dyDescent="0.4">
      <c r="B438"/>
      <c r="C438"/>
      <c r="D438"/>
      <c r="E438"/>
      <c r="F438"/>
      <c r="G438"/>
      <c r="H438"/>
      <c r="I438"/>
      <c r="J438"/>
      <c r="K438"/>
      <c r="L438"/>
      <c r="M438"/>
      <c r="N438"/>
      <c r="O438"/>
      <c r="P438"/>
      <c r="Q438"/>
      <c r="R438"/>
    </row>
    <row r="439" spans="2:18" ht="14.6" x14ac:dyDescent="0.4">
      <c r="B439"/>
      <c r="C439"/>
      <c r="D439"/>
      <c r="E439"/>
      <c r="F439"/>
      <c r="G439"/>
      <c r="H439"/>
      <c r="I439"/>
      <c r="J439"/>
      <c r="K439"/>
      <c r="L439"/>
      <c r="M439"/>
      <c r="N439"/>
      <c r="O439"/>
      <c r="P439"/>
      <c r="Q439"/>
      <c r="R439"/>
    </row>
    <row r="440" spans="2:18" ht="14.6" x14ac:dyDescent="0.4">
      <c r="B440"/>
      <c r="C440"/>
      <c r="D440"/>
      <c r="E440"/>
      <c r="F440"/>
      <c r="G440"/>
      <c r="H440"/>
      <c r="I440"/>
      <c r="J440"/>
      <c r="K440"/>
      <c r="L440"/>
      <c r="M440"/>
      <c r="N440"/>
      <c r="O440"/>
      <c r="P440"/>
      <c r="Q440"/>
      <c r="R440"/>
    </row>
    <row r="441" spans="2:18" ht="14.6" x14ac:dyDescent="0.4">
      <c r="B441"/>
      <c r="C441"/>
      <c r="D441"/>
      <c r="E441"/>
      <c r="F441"/>
      <c r="G441"/>
      <c r="H441"/>
      <c r="I441"/>
      <c r="J441"/>
      <c r="K441"/>
      <c r="L441"/>
      <c r="M441"/>
      <c r="N441"/>
      <c r="O441"/>
      <c r="P441"/>
      <c r="Q441"/>
      <c r="R441"/>
    </row>
    <row r="442" spans="2:18" ht="14.6" x14ac:dyDescent="0.4">
      <c r="B442"/>
      <c r="C442"/>
      <c r="D442"/>
      <c r="E442"/>
      <c r="F442"/>
      <c r="G442"/>
      <c r="H442"/>
      <c r="I442"/>
      <c r="J442"/>
      <c r="K442"/>
      <c r="L442"/>
      <c r="M442"/>
      <c r="N442"/>
      <c r="O442"/>
      <c r="P442"/>
      <c r="Q442"/>
      <c r="R442"/>
    </row>
    <row r="443" spans="2:18" ht="14.6" x14ac:dyDescent="0.4">
      <c r="B443"/>
      <c r="C443"/>
      <c r="D443"/>
      <c r="E443"/>
      <c r="F443"/>
      <c r="G443"/>
      <c r="H443"/>
      <c r="I443"/>
      <c r="J443"/>
      <c r="K443"/>
      <c r="L443"/>
      <c r="M443"/>
      <c r="N443"/>
      <c r="O443"/>
      <c r="P443"/>
      <c r="Q443"/>
      <c r="R443"/>
    </row>
    <row r="444" spans="2:18" ht="14.6" x14ac:dyDescent="0.4">
      <c r="B444"/>
      <c r="C444"/>
      <c r="D444"/>
      <c r="E444"/>
      <c r="F444"/>
      <c r="G444"/>
      <c r="H444"/>
      <c r="I444"/>
      <c r="J444"/>
      <c r="K444"/>
      <c r="L444"/>
      <c r="M444"/>
      <c r="N444"/>
      <c r="O444"/>
      <c r="P444"/>
      <c r="Q444"/>
      <c r="R444"/>
    </row>
    <row r="445" spans="2:18" ht="14.6" x14ac:dyDescent="0.4">
      <c r="B445"/>
      <c r="C445"/>
      <c r="D445"/>
      <c r="E445"/>
      <c r="F445"/>
      <c r="G445"/>
      <c r="H445"/>
      <c r="I445"/>
      <c r="J445"/>
      <c r="K445"/>
      <c r="L445"/>
      <c r="M445"/>
      <c r="N445"/>
      <c r="O445"/>
      <c r="P445"/>
      <c r="Q445"/>
      <c r="R445"/>
    </row>
    <row r="446" spans="2:18" ht="14.6" x14ac:dyDescent="0.4">
      <c r="B446"/>
      <c r="C446"/>
      <c r="D446"/>
      <c r="E446"/>
      <c r="F446"/>
      <c r="G446"/>
      <c r="H446"/>
      <c r="I446"/>
      <c r="J446"/>
      <c r="K446"/>
      <c r="L446"/>
      <c r="M446"/>
      <c r="N446"/>
      <c r="O446"/>
      <c r="P446"/>
      <c r="Q446"/>
      <c r="R446"/>
    </row>
    <row r="447" spans="2:18" ht="14.6" x14ac:dyDescent="0.4">
      <c r="B447"/>
      <c r="C447"/>
      <c r="D447"/>
      <c r="E447"/>
      <c r="F447"/>
      <c r="G447"/>
      <c r="H447"/>
      <c r="I447"/>
      <c r="J447"/>
      <c r="K447"/>
      <c r="L447"/>
      <c r="M447"/>
      <c r="N447"/>
      <c r="O447"/>
      <c r="P447"/>
      <c r="Q447"/>
      <c r="R447"/>
    </row>
    <row r="448" spans="2:18" ht="14.6" x14ac:dyDescent="0.4">
      <c r="B448"/>
      <c r="C448"/>
      <c r="D448"/>
      <c r="E448"/>
      <c r="F448"/>
      <c r="G448"/>
      <c r="H448"/>
      <c r="I448"/>
      <c r="J448"/>
      <c r="K448"/>
      <c r="L448"/>
      <c r="M448"/>
      <c r="N448"/>
      <c r="O448"/>
      <c r="P448"/>
      <c r="Q448"/>
      <c r="R448"/>
    </row>
    <row r="449" spans="2:18" ht="14.6" x14ac:dyDescent="0.4">
      <c r="B449"/>
      <c r="C449"/>
      <c r="D449"/>
      <c r="E449"/>
      <c r="F449"/>
      <c r="G449"/>
      <c r="H449"/>
      <c r="I449"/>
      <c r="J449"/>
      <c r="K449"/>
      <c r="L449"/>
      <c r="M449"/>
      <c r="N449"/>
      <c r="O449"/>
      <c r="P449"/>
      <c r="Q449"/>
      <c r="R449"/>
    </row>
    <row r="450" spans="2:18" ht="14.6" x14ac:dyDescent="0.4">
      <c r="B450"/>
      <c r="C450"/>
      <c r="D450"/>
      <c r="E450"/>
      <c r="F450"/>
      <c r="G450"/>
      <c r="H450"/>
      <c r="I450"/>
      <c r="J450"/>
      <c r="K450"/>
      <c r="L450"/>
      <c r="M450"/>
      <c r="N450"/>
      <c r="O450"/>
      <c r="P450"/>
      <c r="Q450"/>
      <c r="R450"/>
    </row>
    <row r="451" spans="2:18" ht="14.6" x14ac:dyDescent="0.4">
      <c r="B451"/>
      <c r="C451"/>
      <c r="D451"/>
      <c r="E451"/>
      <c r="F451"/>
      <c r="G451"/>
      <c r="H451"/>
      <c r="I451"/>
      <c r="J451"/>
      <c r="K451"/>
      <c r="L451"/>
      <c r="M451"/>
      <c r="N451"/>
      <c r="O451"/>
      <c r="P451"/>
      <c r="Q451"/>
      <c r="R451"/>
    </row>
    <row r="452" spans="2:18" ht="14.6" x14ac:dyDescent="0.4">
      <c r="B452"/>
      <c r="C452"/>
      <c r="D452"/>
      <c r="E452"/>
      <c r="F452"/>
      <c r="G452"/>
      <c r="H452"/>
      <c r="I452"/>
      <c r="J452"/>
      <c r="K452"/>
      <c r="L452"/>
      <c r="M452"/>
      <c r="N452"/>
      <c r="O452"/>
      <c r="P452"/>
      <c r="Q452"/>
      <c r="R452"/>
    </row>
    <row r="453" spans="2:18" ht="14.6" x14ac:dyDescent="0.4">
      <c r="B453"/>
      <c r="C453"/>
      <c r="D453"/>
      <c r="E453"/>
      <c r="F453"/>
      <c r="G453"/>
      <c r="H453"/>
      <c r="I453"/>
      <c r="J453"/>
      <c r="K453"/>
      <c r="L453"/>
      <c r="M453"/>
      <c r="N453"/>
      <c r="O453"/>
      <c r="P453"/>
      <c r="Q453"/>
      <c r="R453"/>
    </row>
    <row r="454" spans="2:18" ht="14.6" x14ac:dyDescent="0.4">
      <c r="B454"/>
      <c r="C454"/>
      <c r="D454"/>
      <c r="E454"/>
      <c r="F454"/>
      <c r="G454"/>
      <c r="H454"/>
      <c r="I454"/>
      <c r="J454"/>
      <c r="K454"/>
      <c r="L454"/>
      <c r="M454"/>
      <c r="N454"/>
      <c r="O454"/>
      <c r="P454"/>
      <c r="Q454"/>
      <c r="R454"/>
    </row>
    <row r="455" spans="2:18" ht="14.6" x14ac:dyDescent="0.4">
      <c r="B455"/>
      <c r="C455"/>
      <c r="D455"/>
      <c r="E455"/>
      <c r="F455"/>
      <c r="G455"/>
      <c r="H455"/>
      <c r="I455"/>
      <c r="J455"/>
      <c r="K455"/>
      <c r="L455"/>
      <c r="M455"/>
      <c r="N455"/>
      <c r="O455"/>
      <c r="P455"/>
      <c r="Q455"/>
      <c r="R455"/>
    </row>
    <row r="456" spans="2:18" ht="14.6" x14ac:dyDescent="0.4">
      <c r="B456"/>
      <c r="C456"/>
      <c r="D456"/>
      <c r="E456"/>
      <c r="F456"/>
      <c r="G456"/>
      <c r="H456"/>
      <c r="I456"/>
      <c r="J456"/>
      <c r="K456"/>
      <c r="L456"/>
      <c r="M456"/>
      <c r="N456"/>
      <c r="O456"/>
      <c r="P456"/>
      <c r="Q456"/>
      <c r="R456"/>
    </row>
    <row r="457" spans="2:18" ht="14.6" x14ac:dyDescent="0.4">
      <c r="B457"/>
      <c r="C457"/>
      <c r="D457"/>
      <c r="E457"/>
      <c r="F457"/>
      <c r="G457"/>
      <c r="H457"/>
      <c r="I457"/>
      <c r="J457"/>
      <c r="K457"/>
      <c r="L457"/>
      <c r="M457"/>
      <c r="N457"/>
      <c r="O457"/>
      <c r="P457"/>
      <c r="Q457"/>
      <c r="R457"/>
    </row>
    <row r="458" spans="2:18" ht="14.6" x14ac:dyDescent="0.4">
      <c r="B458"/>
      <c r="C458"/>
      <c r="D458"/>
      <c r="E458"/>
      <c r="F458"/>
      <c r="G458"/>
      <c r="H458"/>
      <c r="I458"/>
      <c r="J458"/>
      <c r="K458"/>
      <c r="L458"/>
      <c r="M458"/>
      <c r="N458"/>
      <c r="O458"/>
      <c r="P458"/>
      <c r="Q458"/>
      <c r="R458"/>
    </row>
    <row r="459" spans="2:18" ht="14.6" x14ac:dyDescent="0.4">
      <c r="B459"/>
      <c r="C459"/>
      <c r="D459"/>
      <c r="E459"/>
      <c r="F459"/>
      <c r="G459"/>
      <c r="H459"/>
      <c r="I459"/>
      <c r="J459"/>
      <c r="K459"/>
      <c r="L459"/>
      <c r="M459"/>
      <c r="N459"/>
      <c r="O459"/>
      <c r="P459"/>
      <c r="Q459"/>
      <c r="R459"/>
    </row>
    <row r="460" spans="2:18" ht="14.6" x14ac:dyDescent="0.4">
      <c r="B460"/>
      <c r="C460"/>
      <c r="D460"/>
      <c r="E460"/>
      <c r="F460"/>
      <c r="G460"/>
      <c r="H460"/>
      <c r="I460"/>
      <c r="J460"/>
      <c r="K460"/>
      <c r="L460"/>
      <c r="M460"/>
      <c r="N460"/>
      <c r="O460"/>
      <c r="P460"/>
      <c r="Q460"/>
      <c r="R460"/>
    </row>
    <row r="461" spans="2:18" ht="14.6" x14ac:dyDescent="0.4">
      <c r="B461"/>
      <c r="C461"/>
      <c r="D461"/>
      <c r="E461"/>
      <c r="F461"/>
      <c r="G461"/>
      <c r="H461"/>
      <c r="I461"/>
      <c r="J461"/>
      <c r="K461"/>
      <c r="L461"/>
      <c r="M461"/>
      <c r="N461"/>
      <c r="O461"/>
      <c r="P461"/>
      <c r="Q461"/>
      <c r="R461"/>
    </row>
    <row r="462" spans="2:18" ht="14.6" x14ac:dyDescent="0.4">
      <c r="B462"/>
      <c r="C462"/>
      <c r="D462"/>
      <c r="E462"/>
      <c r="F462"/>
      <c r="G462"/>
      <c r="H462"/>
      <c r="I462"/>
      <c r="J462"/>
      <c r="K462"/>
      <c r="L462"/>
      <c r="M462"/>
      <c r="N462"/>
      <c r="O462"/>
      <c r="P462"/>
      <c r="Q462"/>
      <c r="R462"/>
    </row>
    <row r="463" spans="2:18" ht="14.6" x14ac:dyDescent="0.4">
      <c r="B463"/>
      <c r="C463"/>
      <c r="D463"/>
      <c r="E463"/>
      <c r="F463"/>
      <c r="G463"/>
      <c r="H463"/>
      <c r="I463"/>
      <c r="J463"/>
      <c r="K463"/>
      <c r="L463"/>
      <c r="M463"/>
      <c r="N463"/>
      <c r="O463"/>
      <c r="P463"/>
      <c r="Q463"/>
      <c r="R463"/>
    </row>
    <row r="464" spans="2:18" ht="14.6" x14ac:dyDescent="0.4">
      <c r="B464"/>
      <c r="C464"/>
      <c r="D464"/>
      <c r="E464"/>
      <c r="F464"/>
      <c r="G464"/>
      <c r="H464"/>
      <c r="I464"/>
      <c r="J464"/>
      <c r="K464"/>
      <c r="L464"/>
      <c r="M464"/>
      <c r="N464"/>
      <c r="O464"/>
      <c r="P464"/>
      <c r="Q464"/>
      <c r="R464"/>
    </row>
    <row r="465" spans="2:18" ht="14.6" x14ac:dyDescent="0.4">
      <c r="B465"/>
      <c r="C465"/>
      <c r="D465"/>
      <c r="E465"/>
      <c r="F465"/>
      <c r="G465"/>
      <c r="H465"/>
      <c r="I465"/>
      <c r="J465"/>
      <c r="K465"/>
      <c r="L465"/>
      <c r="M465"/>
      <c r="N465"/>
      <c r="O465"/>
      <c r="P465"/>
      <c r="Q465"/>
      <c r="R465"/>
    </row>
    <row r="466" spans="2:18" ht="14.6" x14ac:dyDescent="0.4">
      <c r="B466"/>
      <c r="C466"/>
      <c r="D466"/>
      <c r="E466"/>
      <c r="F466"/>
      <c r="G466"/>
      <c r="H466"/>
      <c r="I466"/>
      <c r="J466"/>
      <c r="K466"/>
      <c r="L466"/>
      <c r="M466"/>
      <c r="N466"/>
      <c r="O466"/>
      <c r="P466"/>
      <c r="Q466"/>
      <c r="R466"/>
    </row>
    <row r="467" spans="2:18" ht="14.6" x14ac:dyDescent="0.4">
      <c r="B467"/>
      <c r="C467"/>
      <c r="D467"/>
      <c r="E467"/>
      <c r="F467"/>
      <c r="G467"/>
      <c r="H467"/>
      <c r="I467"/>
      <c r="J467"/>
      <c r="K467"/>
      <c r="L467"/>
      <c r="M467"/>
      <c r="N467"/>
      <c r="O467"/>
      <c r="P467"/>
      <c r="Q467"/>
      <c r="R467"/>
    </row>
    <row r="468" spans="2:18" ht="14.6" x14ac:dyDescent="0.4">
      <c r="B468"/>
      <c r="C468"/>
      <c r="D468"/>
      <c r="E468"/>
      <c r="F468"/>
      <c r="G468"/>
      <c r="H468"/>
      <c r="I468"/>
      <c r="J468"/>
      <c r="K468"/>
      <c r="L468"/>
      <c r="M468"/>
      <c r="N468"/>
      <c r="O468"/>
      <c r="P468"/>
      <c r="Q468"/>
      <c r="R468"/>
    </row>
    <row r="469" spans="2:18" ht="14.6" x14ac:dyDescent="0.4">
      <c r="B469"/>
      <c r="C469"/>
      <c r="D469"/>
      <c r="E469"/>
      <c r="F469"/>
      <c r="G469"/>
      <c r="H469"/>
      <c r="I469"/>
      <c r="J469"/>
      <c r="K469"/>
      <c r="L469"/>
      <c r="M469"/>
      <c r="N469"/>
      <c r="O469"/>
      <c r="P469"/>
      <c r="Q469"/>
      <c r="R469"/>
    </row>
    <row r="470" spans="2:18" ht="14.6" x14ac:dyDescent="0.4">
      <c r="B470"/>
      <c r="C470"/>
      <c r="D470"/>
      <c r="E470"/>
      <c r="F470"/>
      <c r="G470"/>
      <c r="H470"/>
      <c r="I470"/>
      <c r="J470"/>
      <c r="K470"/>
      <c r="L470"/>
      <c r="M470"/>
      <c r="N470"/>
      <c r="O470"/>
      <c r="P470"/>
      <c r="Q470"/>
      <c r="R470"/>
    </row>
    <row r="471" spans="2:18" ht="14.6" x14ac:dyDescent="0.4">
      <c r="B471"/>
      <c r="C471"/>
      <c r="D471"/>
      <c r="E471"/>
      <c r="F471"/>
      <c r="G471"/>
      <c r="H471"/>
      <c r="I471"/>
      <c r="J471"/>
      <c r="K471"/>
      <c r="L471"/>
      <c r="M471"/>
      <c r="N471"/>
      <c r="O471"/>
      <c r="P471"/>
      <c r="Q471"/>
      <c r="R471"/>
    </row>
    <row r="472" spans="2:18" ht="14.6" x14ac:dyDescent="0.4">
      <c r="B472"/>
      <c r="C472"/>
      <c r="D472"/>
      <c r="E472"/>
      <c r="F472"/>
      <c r="G472"/>
      <c r="H472"/>
      <c r="I472"/>
      <c r="J472"/>
      <c r="K472"/>
      <c r="L472"/>
      <c r="M472"/>
      <c r="N472"/>
      <c r="O472"/>
      <c r="P472"/>
      <c r="Q472"/>
      <c r="R472"/>
    </row>
    <row r="473" spans="2:18" ht="14.6" x14ac:dyDescent="0.4">
      <c r="B473"/>
      <c r="C473"/>
      <c r="D473"/>
      <c r="E473"/>
      <c r="F473"/>
      <c r="G473"/>
      <c r="H473"/>
      <c r="I473"/>
      <c r="J473"/>
      <c r="K473"/>
      <c r="L473"/>
      <c r="M473"/>
      <c r="N473"/>
      <c r="O473"/>
      <c r="P473"/>
      <c r="Q473"/>
      <c r="R473"/>
    </row>
    <row r="474" spans="2:18" ht="14.6" x14ac:dyDescent="0.4">
      <c r="B474"/>
      <c r="C474"/>
      <c r="D474"/>
      <c r="E474"/>
      <c r="F474"/>
      <c r="G474"/>
      <c r="H474"/>
      <c r="I474"/>
      <c r="J474"/>
      <c r="K474"/>
      <c r="L474"/>
      <c r="M474"/>
      <c r="N474"/>
      <c r="O474"/>
      <c r="P474"/>
      <c r="Q474"/>
      <c r="R474"/>
    </row>
    <row r="475" spans="2:18" ht="14.6" x14ac:dyDescent="0.4">
      <c r="B475"/>
      <c r="C475"/>
      <c r="D475"/>
      <c r="E475"/>
      <c r="F475"/>
      <c r="G475"/>
      <c r="H475"/>
      <c r="I475"/>
      <c r="J475"/>
      <c r="K475"/>
      <c r="L475"/>
      <c r="M475"/>
      <c r="N475"/>
      <c r="O475"/>
      <c r="P475"/>
      <c r="Q475"/>
      <c r="R475"/>
    </row>
    <row r="476" spans="2:18" ht="14.6" x14ac:dyDescent="0.4">
      <c r="B476"/>
      <c r="C476"/>
      <c r="D476"/>
      <c r="E476"/>
      <c r="F476"/>
      <c r="G476"/>
      <c r="H476"/>
      <c r="I476"/>
      <c r="J476"/>
      <c r="K476"/>
      <c r="L476"/>
      <c r="M476"/>
      <c r="N476"/>
      <c r="O476"/>
      <c r="P476"/>
      <c r="Q476"/>
      <c r="R476"/>
    </row>
    <row r="477" spans="2:18" ht="14.6" x14ac:dyDescent="0.4">
      <c r="B477"/>
      <c r="C477"/>
      <c r="D477"/>
      <c r="E477"/>
      <c r="F477"/>
      <c r="G477"/>
      <c r="H477"/>
      <c r="I477"/>
      <c r="J477"/>
      <c r="K477"/>
      <c r="L477"/>
      <c r="M477"/>
      <c r="N477"/>
      <c r="O477"/>
      <c r="P477"/>
      <c r="Q477"/>
      <c r="R477"/>
    </row>
    <row r="478" spans="2:18" ht="14.6" x14ac:dyDescent="0.4">
      <c r="B478"/>
      <c r="C478"/>
      <c r="D478"/>
      <c r="E478"/>
      <c r="F478"/>
      <c r="G478"/>
      <c r="H478"/>
      <c r="I478"/>
      <c r="J478"/>
      <c r="K478"/>
      <c r="L478"/>
      <c r="M478"/>
      <c r="N478"/>
      <c r="O478"/>
      <c r="P478"/>
      <c r="Q478"/>
      <c r="R478"/>
    </row>
    <row r="479" spans="2:18" ht="14.6" x14ac:dyDescent="0.4">
      <c r="B479"/>
      <c r="C479"/>
      <c r="D479"/>
      <c r="E479"/>
      <c r="F479"/>
      <c r="G479"/>
      <c r="H479"/>
      <c r="I479"/>
      <c r="J479"/>
      <c r="K479"/>
      <c r="L479"/>
      <c r="M479"/>
      <c r="N479"/>
      <c r="O479"/>
      <c r="P479"/>
      <c r="Q479"/>
      <c r="R479"/>
    </row>
    <row r="480" spans="2:18" ht="14.6" x14ac:dyDescent="0.4">
      <c r="B480"/>
      <c r="C480"/>
      <c r="D480"/>
      <c r="E480"/>
      <c r="F480"/>
      <c r="G480"/>
      <c r="H480"/>
      <c r="I480"/>
      <c r="J480"/>
      <c r="K480"/>
      <c r="L480"/>
      <c r="M480"/>
      <c r="N480"/>
      <c r="O480"/>
      <c r="P480"/>
      <c r="Q480"/>
      <c r="R480"/>
    </row>
    <row r="481" spans="2:18" ht="14.6" x14ac:dyDescent="0.4">
      <c r="B481"/>
      <c r="C481"/>
      <c r="D481"/>
      <c r="E481"/>
      <c r="F481"/>
      <c r="G481"/>
      <c r="H481"/>
      <c r="I481"/>
      <c r="J481"/>
      <c r="K481"/>
      <c r="L481"/>
      <c r="M481"/>
      <c r="N481"/>
      <c r="O481"/>
      <c r="P481"/>
      <c r="Q481"/>
      <c r="R481"/>
    </row>
    <row r="482" spans="2:18" ht="14.6" x14ac:dyDescent="0.4">
      <c r="B482"/>
      <c r="C482"/>
      <c r="D482"/>
      <c r="E482"/>
      <c r="F482"/>
      <c r="G482"/>
      <c r="H482"/>
      <c r="I482"/>
      <c r="J482"/>
      <c r="K482"/>
      <c r="L482"/>
      <c r="M482"/>
      <c r="N482"/>
      <c r="O482"/>
      <c r="P482"/>
      <c r="Q482"/>
      <c r="R482"/>
    </row>
    <row r="483" spans="2:18" ht="14.6" x14ac:dyDescent="0.4">
      <c r="B483"/>
      <c r="C483"/>
      <c r="D483"/>
      <c r="E483"/>
      <c r="F483"/>
      <c r="G483"/>
      <c r="H483"/>
      <c r="I483"/>
      <c r="J483"/>
      <c r="K483"/>
      <c r="L483"/>
      <c r="M483"/>
      <c r="N483"/>
      <c r="O483"/>
      <c r="P483"/>
      <c r="Q483"/>
      <c r="R483"/>
    </row>
    <row r="484" spans="2:18" ht="14.6" x14ac:dyDescent="0.4">
      <c r="B484"/>
      <c r="C484"/>
      <c r="D484"/>
      <c r="E484"/>
      <c r="F484"/>
      <c r="G484"/>
      <c r="H484"/>
      <c r="I484"/>
      <c r="J484"/>
      <c r="K484"/>
      <c r="L484"/>
      <c r="M484"/>
      <c r="N484"/>
      <c r="O484"/>
      <c r="P484"/>
      <c r="Q484"/>
      <c r="R484"/>
    </row>
    <row r="485" spans="2:18" ht="14.6" x14ac:dyDescent="0.4">
      <c r="B485"/>
      <c r="C485"/>
      <c r="D485"/>
      <c r="E485"/>
      <c r="F485"/>
      <c r="G485"/>
      <c r="H485"/>
      <c r="I485"/>
      <c r="J485"/>
      <c r="K485"/>
      <c r="L485"/>
      <c r="M485"/>
      <c r="N485"/>
      <c r="O485"/>
      <c r="P485"/>
      <c r="Q485"/>
      <c r="R485"/>
    </row>
    <row r="486" spans="2:18" ht="14.6" x14ac:dyDescent="0.4">
      <c r="B486"/>
      <c r="C486"/>
      <c r="D486"/>
      <c r="E486"/>
      <c r="F486"/>
      <c r="G486"/>
      <c r="H486"/>
      <c r="I486"/>
      <c r="J486"/>
      <c r="K486"/>
      <c r="L486"/>
      <c r="M486"/>
      <c r="N486"/>
      <c r="O486"/>
      <c r="P486"/>
      <c r="Q486"/>
      <c r="R486"/>
    </row>
    <row r="487" spans="2:18" ht="14.6" x14ac:dyDescent="0.4">
      <c r="B487"/>
      <c r="C487"/>
      <c r="D487"/>
      <c r="E487"/>
      <c r="F487"/>
      <c r="G487"/>
      <c r="H487"/>
      <c r="I487"/>
      <c r="J487"/>
      <c r="K487"/>
      <c r="L487"/>
      <c r="M487"/>
      <c r="N487"/>
      <c r="O487"/>
      <c r="P487"/>
      <c r="Q487"/>
      <c r="R487"/>
    </row>
    <row r="488" spans="2:18" ht="14.6" x14ac:dyDescent="0.4">
      <c r="B488"/>
      <c r="C488"/>
      <c r="D488"/>
      <c r="E488"/>
      <c r="F488"/>
      <c r="G488"/>
      <c r="H488"/>
      <c r="I488"/>
      <c r="J488"/>
      <c r="K488"/>
      <c r="L488"/>
      <c r="M488"/>
      <c r="N488"/>
      <c r="O488"/>
      <c r="P488"/>
      <c r="Q488"/>
      <c r="R488"/>
    </row>
    <row r="489" spans="2:18" ht="14.6" x14ac:dyDescent="0.4">
      <c r="B489"/>
      <c r="C489"/>
      <c r="D489"/>
      <c r="E489"/>
      <c r="F489"/>
      <c r="G489"/>
      <c r="H489"/>
      <c r="I489"/>
      <c r="J489"/>
      <c r="K489"/>
      <c r="L489"/>
      <c r="M489"/>
      <c r="N489"/>
      <c r="O489"/>
      <c r="P489"/>
      <c r="Q489"/>
      <c r="R489"/>
    </row>
    <row r="490" spans="2:18" ht="14.6" x14ac:dyDescent="0.4">
      <c r="B490"/>
      <c r="C490"/>
      <c r="D490"/>
      <c r="E490"/>
      <c r="F490"/>
      <c r="G490"/>
      <c r="H490"/>
      <c r="I490"/>
      <c r="J490"/>
      <c r="K490"/>
      <c r="L490"/>
      <c r="M490"/>
      <c r="N490"/>
      <c r="O490"/>
      <c r="P490"/>
      <c r="Q490"/>
      <c r="R490"/>
    </row>
    <row r="491" spans="2:18" ht="14.6" x14ac:dyDescent="0.4">
      <c r="B491"/>
      <c r="C491"/>
      <c r="D491"/>
      <c r="E491"/>
      <c r="F491"/>
      <c r="G491"/>
      <c r="H491"/>
      <c r="I491"/>
      <c r="J491"/>
      <c r="K491"/>
      <c r="L491"/>
      <c r="M491"/>
      <c r="N491"/>
      <c r="O491"/>
      <c r="P491"/>
      <c r="Q491"/>
      <c r="R491"/>
    </row>
    <row r="492" spans="2:18" ht="14.6" x14ac:dyDescent="0.4">
      <c r="B492"/>
      <c r="C492"/>
      <c r="D492"/>
      <c r="E492"/>
      <c r="F492"/>
      <c r="G492"/>
      <c r="H492"/>
      <c r="I492"/>
      <c r="J492"/>
      <c r="K492"/>
      <c r="L492"/>
      <c r="M492"/>
      <c r="N492"/>
      <c r="O492"/>
      <c r="P492"/>
      <c r="Q492"/>
      <c r="R492"/>
    </row>
    <row r="493" spans="2:18" ht="14.6" x14ac:dyDescent="0.4">
      <c r="B493"/>
      <c r="C493"/>
      <c r="D493"/>
      <c r="E493"/>
      <c r="F493"/>
      <c r="G493"/>
      <c r="H493"/>
      <c r="I493"/>
      <c r="J493"/>
      <c r="K493"/>
      <c r="L493"/>
      <c r="M493"/>
      <c r="N493"/>
      <c r="O493"/>
      <c r="P493"/>
      <c r="Q493"/>
      <c r="R493"/>
    </row>
    <row r="494" spans="2:18" ht="14.6" x14ac:dyDescent="0.4">
      <c r="B494"/>
      <c r="C494"/>
      <c r="D494"/>
      <c r="E494"/>
      <c r="F494"/>
      <c r="G494"/>
      <c r="H494"/>
      <c r="I494"/>
      <c r="J494"/>
      <c r="K494"/>
      <c r="L494"/>
      <c r="M494"/>
      <c r="N494"/>
      <c r="O494"/>
      <c r="P494"/>
      <c r="Q494"/>
      <c r="R494"/>
    </row>
    <row r="495" spans="2:18" ht="14.6" x14ac:dyDescent="0.4">
      <c r="B495"/>
      <c r="C495"/>
      <c r="D495"/>
      <c r="E495"/>
      <c r="F495"/>
      <c r="G495"/>
      <c r="H495"/>
      <c r="I495"/>
      <c r="J495"/>
      <c r="K495"/>
      <c r="L495"/>
      <c r="M495"/>
      <c r="N495"/>
      <c r="O495"/>
      <c r="P495"/>
      <c r="Q495"/>
      <c r="R495"/>
    </row>
    <row r="496" spans="2:18" ht="14.6" x14ac:dyDescent="0.4">
      <c r="B496"/>
      <c r="C496"/>
      <c r="D496"/>
      <c r="E496"/>
      <c r="F496"/>
      <c r="G496"/>
      <c r="H496"/>
      <c r="I496"/>
      <c r="J496"/>
      <c r="K496"/>
      <c r="L496"/>
      <c r="M496"/>
      <c r="N496"/>
      <c r="O496"/>
      <c r="P496"/>
      <c r="Q496"/>
      <c r="R496"/>
    </row>
    <row r="497" spans="2:18" ht="14.6" x14ac:dyDescent="0.4">
      <c r="B497"/>
      <c r="C497"/>
      <c r="D497"/>
      <c r="E497"/>
      <c r="F497"/>
      <c r="G497"/>
      <c r="H497"/>
      <c r="I497"/>
      <c r="J497"/>
      <c r="K497"/>
      <c r="L497"/>
      <c r="M497"/>
      <c r="N497"/>
      <c r="O497"/>
      <c r="P497"/>
      <c r="Q497"/>
      <c r="R497"/>
    </row>
    <row r="498" spans="2:18" ht="14.6" x14ac:dyDescent="0.4">
      <c r="B498"/>
      <c r="C498"/>
      <c r="D498"/>
      <c r="E498"/>
      <c r="F498"/>
      <c r="G498"/>
      <c r="H498"/>
      <c r="I498"/>
      <c r="J498"/>
      <c r="K498"/>
      <c r="L498"/>
      <c r="M498"/>
      <c r="N498"/>
      <c r="O498"/>
      <c r="P498"/>
      <c r="Q498"/>
      <c r="R498"/>
    </row>
    <row r="499" spans="2:18" ht="14.6" x14ac:dyDescent="0.4">
      <c r="B499"/>
      <c r="C499"/>
      <c r="D499"/>
      <c r="E499"/>
      <c r="F499"/>
      <c r="G499"/>
      <c r="H499"/>
      <c r="I499"/>
      <c r="J499"/>
      <c r="K499"/>
      <c r="L499"/>
      <c r="M499"/>
      <c r="N499"/>
      <c r="O499"/>
      <c r="P499"/>
      <c r="Q499"/>
      <c r="R499"/>
    </row>
    <row r="500" spans="2:18" ht="14.6" x14ac:dyDescent="0.4">
      <c r="B500"/>
      <c r="C500"/>
      <c r="D500"/>
      <c r="E500"/>
      <c r="F500"/>
      <c r="G500"/>
      <c r="H500"/>
      <c r="I500"/>
      <c r="J500"/>
      <c r="K500"/>
      <c r="L500"/>
      <c r="M500"/>
      <c r="N500"/>
      <c r="O500"/>
      <c r="P500"/>
      <c r="Q500"/>
      <c r="R500"/>
    </row>
    <row r="501" spans="2:18" ht="14.6" x14ac:dyDescent="0.4">
      <c r="B501"/>
      <c r="C501"/>
      <c r="D501"/>
      <c r="E501"/>
      <c r="F501"/>
      <c r="G501"/>
      <c r="H501"/>
      <c r="I501"/>
      <c r="J501"/>
      <c r="K501"/>
      <c r="L501"/>
      <c r="M501"/>
      <c r="N501"/>
      <c r="O501"/>
      <c r="P501"/>
      <c r="Q501"/>
      <c r="R501"/>
    </row>
    <row r="502" spans="2:18" ht="14.6" x14ac:dyDescent="0.4">
      <c r="B502"/>
      <c r="C502"/>
      <c r="D502"/>
      <c r="E502"/>
      <c r="F502"/>
      <c r="G502"/>
      <c r="H502"/>
      <c r="I502"/>
      <c r="J502"/>
      <c r="K502"/>
      <c r="L502"/>
      <c r="M502"/>
      <c r="N502"/>
      <c r="O502"/>
      <c r="P502"/>
      <c r="Q502"/>
      <c r="R502"/>
    </row>
    <row r="503" spans="2:18" ht="14.6" x14ac:dyDescent="0.4">
      <c r="B503"/>
      <c r="C503"/>
      <c r="D503"/>
      <c r="E503"/>
      <c r="F503"/>
      <c r="G503"/>
      <c r="H503"/>
      <c r="I503"/>
      <c r="J503"/>
      <c r="K503"/>
      <c r="L503"/>
      <c r="M503"/>
      <c r="N503"/>
      <c r="O503"/>
      <c r="P503"/>
      <c r="Q503"/>
      <c r="R503"/>
    </row>
    <row r="504" spans="2:18" ht="14.6" x14ac:dyDescent="0.4">
      <c r="B504"/>
      <c r="C504"/>
      <c r="D504"/>
      <c r="E504"/>
      <c r="F504"/>
      <c r="G504"/>
      <c r="H504"/>
      <c r="I504"/>
      <c r="J504"/>
      <c r="K504"/>
      <c r="L504"/>
      <c r="M504"/>
      <c r="N504"/>
      <c r="O504"/>
      <c r="P504"/>
      <c r="Q504"/>
      <c r="R504"/>
    </row>
    <row r="505" spans="2:18" ht="14.6" x14ac:dyDescent="0.4">
      <c r="B505"/>
      <c r="C505"/>
      <c r="D505"/>
      <c r="E505"/>
      <c r="F505"/>
      <c r="G505"/>
      <c r="H505"/>
      <c r="I505"/>
      <c r="J505"/>
      <c r="K505"/>
      <c r="L505"/>
      <c r="M505"/>
      <c r="N505"/>
      <c r="O505"/>
      <c r="P505"/>
      <c r="Q505"/>
      <c r="R505"/>
    </row>
    <row r="506" spans="2:18" ht="14.6" x14ac:dyDescent="0.4">
      <c r="B506"/>
      <c r="C506"/>
      <c r="D506"/>
      <c r="E506"/>
      <c r="F506"/>
      <c r="G506"/>
      <c r="H506"/>
      <c r="I506"/>
      <c r="J506"/>
      <c r="K506"/>
      <c r="L506"/>
      <c r="M506"/>
      <c r="N506"/>
      <c r="O506"/>
      <c r="P506"/>
      <c r="Q506"/>
      <c r="R506"/>
    </row>
    <row r="507" spans="2:18" ht="14.6" x14ac:dyDescent="0.4">
      <c r="B507"/>
      <c r="C507"/>
      <c r="D507"/>
      <c r="E507"/>
      <c r="F507"/>
      <c r="G507"/>
      <c r="H507"/>
      <c r="I507"/>
      <c r="J507"/>
      <c r="K507"/>
      <c r="L507"/>
      <c r="M507"/>
      <c r="N507"/>
      <c r="O507"/>
      <c r="P507"/>
      <c r="Q507"/>
      <c r="R507"/>
    </row>
    <row r="508" spans="2:18" ht="14.6" x14ac:dyDescent="0.4">
      <c r="B508"/>
      <c r="C508"/>
      <c r="D508"/>
      <c r="E508"/>
      <c r="F508"/>
      <c r="G508"/>
      <c r="H508"/>
      <c r="I508"/>
      <c r="J508"/>
      <c r="K508"/>
      <c r="L508"/>
      <c r="M508"/>
      <c r="N508"/>
      <c r="O508"/>
      <c r="P508"/>
      <c r="Q508"/>
      <c r="R508"/>
    </row>
    <row r="509" spans="2:18" ht="14.6" x14ac:dyDescent="0.4">
      <c r="B509"/>
      <c r="C509"/>
      <c r="D509"/>
      <c r="E509"/>
      <c r="F509"/>
      <c r="G509"/>
      <c r="H509"/>
      <c r="I509"/>
      <c r="J509"/>
      <c r="K509"/>
      <c r="L509"/>
      <c r="M509"/>
      <c r="N509"/>
      <c r="O509"/>
      <c r="P509"/>
      <c r="Q509"/>
      <c r="R509"/>
    </row>
    <row r="510" spans="2:18" ht="14.6" x14ac:dyDescent="0.4">
      <c r="B510"/>
      <c r="C510"/>
      <c r="D510"/>
      <c r="E510"/>
      <c r="F510"/>
      <c r="G510"/>
      <c r="H510"/>
      <c r="I510"/>
      <c r="J510"/>
      <c r="K510"/>
      <c r="L510"/>
      <c r="M510"/>
      <c r="N510"/>
      <c r="O510"/>
      <c r="P510"/>
      <c r="Q510"/>
      <c r="R510"/>
    </row>
    <row r="511" spans="2:18" ht="14.6" x14ac:dyDescent="0.4">
      <c r="B511"/>
      <c r="C511"/>
      <c r="D511"/>
      <c r="E511"/>
      <c r="F511"/>
      <c r="G511"/>
      <c r="H511"/>
      <c r="I511"/>
      <c r="J511"/>
      <c r="K511"/>
      <c r="L511"/>
      <c r="M511"/>
      <c r="N511"/>
      <c r="O511"/>
      <c r="P511"/>
      <c r="Q511"/>
      <c r="R511"/>
    </row>
    <row r="512" spans="2:18" ht="14.6" x14ac:dyDescent="0.4">
      <c r="B512"/>
      <c r="C512"/>
      <c r="D512"/>
      <c r="E512"/>
      <c r="F512"/>
      <c r="G512"/>
      <c r="H512"/>
      <c r="I512"/>
      <c r="J512"/>
      <c r="K512"/>
      <c r="L512"/>
      <c r="M512"/>
      <c r="N512"/>
      <c r="O512"/>
      <c r="P512"/>
      <c r="Q512"/>
      <c r="R512"/>
    </row>
    <row r="513" spans="2:18" ht="14.6" x14ac:dyDescent="0.4">
      <c r="B513"/>
      <c r="C513"/>
      <c r="D513"/>
      <c r="E513"/>
      <c r="F513"/>
      <c r="G513"/>
      <c r="H513"/>
      <c r="I513"/>
      <c r="J513"/>
      <c r="K513"/>
      <c r="L513"/>
      <c r="M513"/>
      <c r="N513"/>
      <c r="O513"/>
      <c r="P513"/>
      <c r="Q513"/>
      <c r="R513"/>
    </row>
    <row r="514" spans="2:18" ht="14.6" x14ac:dyDescent="0.4">
      <c r="B514"/>
      <c r="C514"/>
      <c r="D514"/>
      <c r="E514"/>
      <c r="F514"/>
      <c r="G514"/>
      <c r="H514"/>
      <c r="I514"/>
      <c r="J514"/>
      <c r="K514"/>
      <c r="L514"/>
      <c r="M514"/>
      <c r="N514"/>
      <c r="O514"/>
      <c r="P514"/>
      <c r="Q514"/>
      <c r="R514"/>
    </row>
    <row r="515" spans="2:18" ht="14.6" x14ac:dyDescent="0.4">
      <c r="B515"/>
      <c r="C515"/>
      <c r="D515"/>
      <c r="E515"/>
      <c r="F515"/>
      <c r="G515"/>
      <c r="H515"/>
      <c r="I515"/>
      <c r="J515"/>
      <c r="K515"/>
      <c r="L515"/>
      <c r="M515"/>
      <c r="N515"/>
      <c r="O515"/>
      <c r="P515"/>
      <c r="Q515"/>
      <c r="R515"/>
    </row>
    <row r="516" spans="2:18" ht="14.6" x14ac:dyDescent="0.4">
      <c r="B516"/>
      <c r="C516"/>
      <c r="D516"/>
      <c r="E516"/>
      <c r="F516"/>
      <c r="G516"/>
      <c r="H516"/>
      <c r="I516"/>
      <c r="J516"/>
      <c r="K516"/>
      <c r="L516"/>
      <c r="M516"/>
      <c r="N516"/>
      <c r="O516"/>
      <c r="P516"/>
      <c r="Q516"/>
      <c r="R516"/>
    </row>
    <row r="517" spans="2:18" ht="14.6" x14ac:dyDescent="0.4">
      <c r="B517"/>
      <c r="C517"/>
      <c r="D517"/>
      <c r="E517"/>
      <c r="F517"/>
      <c r="G517"/>
      <c r="H517"/>
      <c r="I517"/>
      <c r="J517"/>
      <c r="K517"/>
      <c r="L517"/>
      <c r="M517"/>
      <c r="N517"/>
      <c r="O517"/>
      <c r="P517"/>
      <c r="Q517"/>
      <c r="R517"/>
    </row>
    <row r="518" spans="2:18" ht="14.6" x14ac:dyDescent="0.4">
      <c r="B518"/>
      <c r="C518"/>
      <c r="D518"/>
      <c r="E518"/>
      <c r="F518"/>
      <c r="G518"/>
      <c r="H518"/>
      <c r="I518"/>
      <c r="J518"/>
      <c r="K518"/>
      <c r="L518"/>
      <c r="M518"/>
      <c r="N518"/>
      <c r="O518"/>
      <c r="P518"/>
      <c r="Q518"/>
      <c r="R518"/>
    </row>
    <row r="519" spans="2:18" ht="14.6" x14ac:dyDescent="0.4">
      <c r="B519"/>
      <c r="C519"/>
      <c r="D519"/>
      <c r="E519"/>
      <c r="F519"/>
      <c r="G519"/>
      <c r="H519"/>
      <c r="I519"/>
      <c r="J519"/>
      <c r="K519"/>
      <c r="L519"/>
      <c r="M519"/>
      <c r="N519"/>
      <c r="O519"/>
      <c r="P519"/>
      <c r="Q519"/>
      <c r="R519"/>
    </row>
    <row r="520" spans="2:18" ht="14.6" x14ac:dyDescent="0.4">
      <c r="B520"/>
      <c r="C520"/>
      <c r="D520"/>
      <c r="E520"/>
      <c r="F520"/>
      <c r="G520"/>
      <c r="H520"/>
      <c r="I520"/>
      <c r="J520"/>
      <c r="K520"/>
      <c r="L520"/>
      <c r="M520"/>
      <c r="N520"/>
      <c r="O520"/>
      <c r="P520"/>
      <c r="Q520"/>
      <c r="R520"/>
    </row>
    <row r="521" spans="2:18" ht="14.6" x14ac:dyDescent="0.4">
      <c r="B521"/>
      <c r="C521"/>
      <c r="D521"/>
      <c r="E521"/>
      <c r="F521"/>
      <c r="G521"/>
      <c r="H521"/>
      <c r="I521"/>
      <c r="J521"/>
      <c r="K521"/>
      <c r="L521"/>
      <c r="M521"/>
      <c r="N521"/>
      <c r="O521"/>
      <c r="P521"/>
      <c r="Q521"/>
      <c r="R521"/>
    </row>
    <row r="522" spans="2:18" ht="14.6" x14ac:dyDescent="0.4">
      <c r="B522"/>
      <c r="C522"/>
      <c r="D522"/>
      <c r="E522"/>
      <c r="F522"/>
      <c r="G522"/>
      <c r="H522"/>
      <c r="I522"/>
      <c r="J522"/>
      <c r="K522"/>
      <c r="L522"/>
      <c r="M522"/>
      <c r="N522"/>
      <c r="O522"/>
      <c r="P522"/>
      <c r="Q522"/>
      <c r="R522"/>
    </row>
    <row r="523" spans="2:18" ht="14.6" x14ac:dyDescent="0.4">
      <c r="B523"/>
      <c r="C523"/>
      <c r="D523"/>
      <c r="E523"/>
      <c r="F523"/>
      <c r="G523"/>
      <c r="H523"/>
      <c r="I523"/>
      <c r="J523"/>
      <c r="K523"/>
      <c r="L523"/>
      <c r="M523"/>
      <c r="N523"/>
      <c r="O523"/>
      <c r="P523"/>
      <c r="Q523"/>
      <c r="R523"/>
    </row>
    <row r="524" spans="2:18" ht="14.6" x14ac:dyDescent="0.4">
      <c r="B524"/>
      <c r="C524"/>
      <c r="D524"/>
      <c r="E524"/>
      <c r="F524"/>
      <c r="G524"/>
      <c r="H524"/>
      <c r="I524"/>
      <c r="J524"/>
      <c r="K524"/>
      <c r="L524"/>
      <c r="M524"/>
      <c r="N524"/>
      <c r="O524"/>
      <c r="P524"/>
      <c r="Q524"/>
      <c r="R524"/>
    </row>
    <row r="525" spans="2:18" ht="14.6" x14ac:dyDescent="0.4">
      <c r="B525"/>
      <c r="C525"/>
      <c r="D525"/>
      <c r="E525"/>
      <c r="F525"/>
      <c r="G525"/>
      <c r="H525"/>
      <c r="I525"/>
      <c r="J525"/>
      <c r="K525"/>
      <c r="L525"/>
      <c r="M525"/>
      <c r="N525"/>
      <c r="O525"/>
      <c r="P525"/>
      <c r="Q525"/>
      <c r="R525"/>
    </row>
    <row r="526" spans="2:18" ht="14.6" x14ac:dyDescent="0.4">
      <c r="B526"/>
      <c r="C526"/>
      <c r="D526"/>
      <c r="E526"/>
      <c r="F526"/>
      <c r="G526"/>
      <c r="H526"/>
      <c r="I526"/>
      <c r="J526"/>
      <c r="K526"/>
      <c r="L526"/>
      <c r="M526"/>
      <c r="N526"/>
      <c r="O526"/>
      <c r="P526"/>
      <c r="Q526"/>
      <c r="R526"/>
    </row>
    <row r="527" spans="2:18" ht="14.6" x14ac:dyDescent="0.4">
      <c r="B527"/>
      <c r="C527"/>
      <c r="D527"/>
      <c r="E527"/>
      <c r="F527"/>
      <c r="G527"/>
      <c r="H527"/>
      <c r="I527"/>
      <c r="J527"/>
      <c r="K527"/>
      <c r="L527"/>
      <c r="M527"/>
      <c r="N527"/>
      <c r="O527"/>
      <c r="P527"/>
      <c r="Q527"/>
      <c r="R527"/>
    </row>
    <row r="528" spans="2:18" ht="14.6" x14ac:dyDescent="0.4">
      <c r="B528"/>
      <c r="C528"/>
      <c r="D528"/>
      <c r="E528"/>
      <c r="F528"/>
      <c r="G528"/>
      <c r="H528"/>
      <c r="I528"/>
      <c r="J528"/>
      <c r="K528"/>
      <c r="L528"/>
      <c r="M528"/>
      <c r="N528"/>
      <c r="O528"/>
      <c r="P528"/>
      <c r="Q528"/>
      <c r="R528"/>
    </row>
    <row r="529" spans="2:18" ht="14.6" x14ac:dyDescent="0.4">
      <c r="B529"/>
      <c r="C529"/>
      <c r="D529"/>
      <c r="E529"/>
      <c r="F529"/>
      <c r="G529"/>
      <c r="H529"/>
      <c r="I529"/>
      <c r="J529"/>
      <c r="K529"/>
      <c r="L529"/>
      <c r="M529"/>
      <c r="N529"/>
      <c r="O529"/>
      <c r="P529"/>
      <c r="Q529"/>
      <c r="R529"/>
    </row>
    <row r="530" spans="2:18" ht="14.6" x14ac:dyDescent="0.4">
      <c r="B530"/>
      <c r="C530"/>
      <c r="D530"/>
      <c r="E530"/>
      <c r="F530"/>
      <c r="G530"/>
      <c r="H530"/>
      <c r="I530"/>
      <c r="J530"/>
      <c r="K530"/>
      <c r="L530"/>
      <c r="M530"/>
      <c r="N530"/>
      <c r="O530"/>
      <c r="P530"/>
      <c r="Q530"/>
      <c r="R530"/>
    </row>
    <row r="531" spans="2:18" ht="14.6" x14ac:dyDescent="0.4">
      <c r="B531"/>
      <c r="C531"/>
      <c r="D531"/>
      <c r="E531"/>
      <c r="F531"/>
      <c r="G531"/>
      <c r="H531"/>
      <c r="I531"/>
      <c r="J531"/>
      <c r="K531"/>
      <c r="L531"/>
      <c r="M531"/>
      <c r="N531"/>
      <c r="O531"/>
      <c r="P531"/>
      <c r="Q531"/>
      <c r="R531"/>
    </row>
    <row r="532" spans="2:18" ht="14.6" x14ac:dyDescent="0.4">
      <c r="B532"/>
      <c r="C532"/>
      <c r="D532"/>
      <c r="E532"/>
      <c r="F532"/>
      <c r="G532"/>
      <c r="H532"/>
      <c r="I532"/>
      <c r="J532"/>
      <c r="K532"/>
      <c r="L532"/>
      <c r="M532"/>
      <c r="N532"/>
      <c r="O532"/>
      <c r="P532"/>
      <c r="Q532"/>
      <c r="R532"/>
    </row>
    <row r="533" spans="2:18" ht="14.6" x14ac:dyDescent="0.4">
      <c r="B533"/>
      <c r="C533"/>
      <c r="D533"/>
      <c r="E533"/>
      <c r="F533"/>
      <c r="G533"/>
      <c r="H533"/>
      <c r="I533"/>
      <c r="J533"/>
      <c r="K533"/>
      <c r="L533"/>
      <c r="M533"/>
      <c r="N533"/>
      <c r="O533"/>
      <c r="P533"/>
      <c r="Q533"/>
      <c r="R533"/>
    </row>
    <row r="534" spans="2:18" ht="14.6" x14ac:dyDescent="0.4">
      <c r="B534"/>
      <c r="C534"/>
      <c r="D534"/>
      <c r="E534"/>
      <c r="F534"/>
      <c r="G534"/>
      <c r="H534"/>
      <c r="I534"/>
      <c r="J534"/>
      <c r="K534"/>
      <c r="L534"/>
      <c r="M534"/>
      <c r="N534"/>
      <c r="O534"/>
      <c r="P534"/>
      <c r="Q534"/>
      <c r="R534"/>
    </row>
    <row r="535" spans="2:18" ht="14.6" x14ac:dyDescent="0.4">
      <c r="B535"/>
      <c r="C535"/>
      <c r="D535"/>
      <c r="E535"/>
      <c r="F535"/>
      <c r="G535"/>
      <c r="H535"/>
      <c r="I535"/>
      <c r="J535"/>
      <c r="K535"/>
      <c r="L535"/>
      <c r="M535"/>
      <c r="N535"/>
      <c r="O535"/>
      <c r="P535"/>
      <c r="Q535"/>
      <c r="R535"/>
    </row>
    <row r="536" spans="2:18" ht="14.6" x14ac:dyDescent="0.4">
      <c r="B536"/>
      <c r="C536"/>
      <c r="D536"/>
      <c r="E536"/>
      <c r="F536"/>
      <c r="G536"/>
      <c r="H536"/>
      <c r="I536"/>
      <c r="J536"/>
      <c r="K536"/>
      <c r="L536"/>
      <c r="M536"/>
      <c r="N536"/>
      <c r="O536"/>
      <c r="P536"/>
      <c r="Q536"/>
      <c r="R536"/>
    </row>
    <row r="537" spans="2:18" ht="14.6" x14ac:dyDescent="0.4">
      <c r="B537"/>
      <c r="C537"/>
      <c r="D537"/>
      <c r="E537"/>
      <c r="F537"/>
      <c r="G537"/>
      <c r="H537"/>
      <c r="I537"/>
      <c r="J537"/>
      <c r="K537"/>
      <c r="L537"/>
      <c r="M537"/>
      <c r="N537"/>
      <c r="O537"/>
      <c r="P537"/>
      <c r="Q537"/>
      <c r="R537"/>
    </row>
    <row r="538" spans="2:18" ht="14.6" x14ac:dyDescent="0.4">
      <c r="B538"/>
      <c r="C538"/>
      <c r="D538"/>
      <c r="E538"/>
      <c r="F538"/>
      <c r="G538"/>
      <c r="H538"/>
      <c r="I538"/>
      <c r="J538"/>
      <c r="K538"/>
      <c r="L538"/>
      <c r="M538"/>
      <c r="N538"/>
      <c r="O538"/>
      <c r="P538"/>
      <c r="Q538"/>
      <c r="R538"/>
    </row>
    <row r="539" spans="2:18" ht="14.6" x14ac:dyDescent="0.4">
      <c r="B539"/>
      <c r="C539"/>
      <c r="D539"/>
      <c r="E539"/>
      <c r="F539"/>
      <c r="G539"/>
      <c r="H539"/>
      <c r="I539"/>
      <c r="J539"/>
      <c r="K539"/>
      <c r="L539"/>
      <c r="M539"/>
      <c r="N539"/>
      <c r="O539"/>
      <c r="P539"/>
      <c r="Q539"/>
      <c r="R539"/>
    </row>
    <row r="540" spans="2:18" ht="14.6" x14ac:dyDescent="0.4">
      <c r="B540"/>
      <c r="C540"/>
      <c r="D540"/>
      <c r="E540"/>
      <c r="F540"/>
      <c r="G540"/>
      <c r="H540"/>
      <c r="I540"/>
      <c r="J540"/>
      <c r="K540"/>
      <c r="L540"/>
      <c r="M540"/>
      <c r="N540"/>
      <c r="O540"/>
      <c r="P540"/>
      <c r="Q540"/>
      <c r="R540"/>
    </row>
    <row r="541" spans="2:18" ht="14.6" x14ac:dyDescent="0.4">
      <c r="B541"/>
      <c r="C541"/>
      <c r="D541"/>
      <c r="E541"/>
      <c r="F541"/>
      <c r="G541"/>
      <c r="H541"/>
      <c r="I541"/>
      <c r="J541"/>
      <c r="K541"/>
      <c r="L541"/>
      <c r="M541"/>
      <c r="N541"/>
      <c r="O541"/>
      <c r="P541"/>
      <c r="Q541"/>
      <c r="R541"/>
    </row>
    <row r="542" spans="2:18" ht="14.6" x14ac:dyDescent="0.4">
      <c r="B542"/>
      <c r="C542"/>
      <c r="D542"/>
      <c r="E542"/>
      <c r="F542"/>
      <c r="G542"/>
      <c r="H542"/>
      <c r="I542"/>
      <c r="J542"/>
      <c r="K542"/>
      <c r="L542"/>
      <c r="M542"/>
      <c r="N542"/>
      <c r="O542"/>
      <c r="P542"/>
      <c r="Q542"/>
      <c r="R542"/>
    </row>
    <row r="543" spans="2:18" ht="14.6" x14ac:dyDescent="0.4">
      <c r="B543"/>
      <c r="C543"/>
      <c r="D543"/>
      <c r="E543"/>
      <c r="F543"/>
      <c r="G543"/>
      <c r="H543"/>
      <c r="I543"/>
      <c r="J543"/>
      <c r="K543"/>
      <c r="L543"/>
      <c r="M543"/>
      <c r="N543"/>
      <c r="O543"/>
      <c r="P543"/>
      <c r="Q543"/>
      <c r="R543"/>
    </row>
    <row r="544" spans="2:18" ht="14.6" x14ac:dyDescent="0.4">
      <c r="B544"/>
      <c r="C544"/>
      <c r="D544"/>
      <c r="E544"/>
      <c r="F544"/>
      <c r="G544"/>
      <c r="H544"/>
      <c r="I544"/>
      <c r="J544"/>
      <c r="K544"/>
      <c r="L544"/>
      <c r="M544"/>
      <c r="N544"/>
      <c r="O544"/>
      <c r="P544"/>
      <c r="Q544"/>
      <c r="R544"/>
    </row>
    <row r="545" spans="2:18" ht="14.6" x14ac:dyDescent="0.4">
      <c r="B545"/>
      <c r="C545"/>
      <c r="D545"/>
      <c r="E545"/>
      <c r="F545"/>
      <c r="G545"/>
      <c r="H545"/>
      <c r="I545"/>
      <c r="J545"/>
      <c r="K545"/>
      <c r="L545"/>
      <c r="M545"/>
      <c r="N545"/>
      <c r="O545"/>
      <c r="P545"/>
      <c r="Q545"/>
      <c r="R545"/>
    </row>
    <row r="546" spans="2:18" ht="14.6" x14ac:dyDescent="0.4">
      <c r="B546"/>
      <c r="C546"/>
      <c r="D546"/>
      <c r="E546"/>
      <c r="F546"/>
      <c r="G546"/>
      <c r="H546"/>
      <c r="I546"/>
      <c r="J546"/>
      <c r="K546"/>
      <c r="L546"/>
      <c r="M546"/>
      <c r="N546"/>
      <c r="O546"/>
      <c r="P546"/>
      <c r="Q546"/>
      <c r="R546"/>
    </row>
    <row r="547" spans="2:18" ht="14.6" x14ac:dyDescent="0.4">
      <c r="B547"/>
      <c r="C547"/>
      <c r="D547"/>
      <c r="E547"/>
      <c r="F547"/>
      <c r="G547"/>
      <c r="H547"/>
      <c r="I547"/>
      <c r="J547"/>
      <c r="K547"/>
      <c r="L547"/>
      <c r="M547"/>
      <c r="N547"/>
      <c r="O547"/>
      <c r="P547"/>
      <c r="Q547"/>
      <c r="R547"/>
    </row>
    <row r="548" spans="2:18" ht="14.6" x14ac:dyDescent="0.4">
      <c r="B548"/>
      <c r="C548"/>
      <c r="D548"/>
      <c r="E548"/>
      <c r="F548"/>
      <c r="G548"/>
      <c r="H548"/>
      <c r="I548"/>
      <c r="J548"/>
      <c r="K548"/>
      <c r="L548"/>
      <c r="M548"/>
      <c r="N548"/>
      <c r="O548"/>
      <c r="P548"/>
      <c r="Q548"/>
      <c r="R548"/>
    </row>
    <row r="549" spans="2:18" ht="14.6" x14ac:dyDescent="0.4">
      <c r="B549"/>
      <c r="C549"/>
      <c r="D549"/>
      <c r="E549"/>
      <c r="F549"/>
      <c r="G549"/>
      <c r="H549"/>
      <c r="I549"/>
      <c r="J549"/>
      <c r="K549"/>
      <c r="L549"/>
      <c r="M549"/>
      <c r="N549"/>
      <c r="O549"/>
      <c r="P549"/>
      <c r="Q549"/>
      <c r="R549"/>
    </row>
    <row r="550" spans="2:18" ht="14.6" x14ac:dyDescent="0.4">
      <c r="B550"/>
      <c r="C550"/>
      <c r="D550"/>
      <c r="E550"/>
      <c r="F550"/>
      <c r="G550"/>
      <c r="H550"/>
      <c r="I550"/>
      <c r="J550"/>
      <c r="K550"/>
      <c r="L550"/>
      <c r="M550"/>
      <c r="N550"/>
      <c r="O550"/>
      <c r="P550"/>
      <c r="Q550"/>
      <c r="R550"/>
    </row>
    <row r="551" spans="2:18" ht="14.6" x14ac:dyDescent="0.4">
      <c r="B551"/>
      <c r="C551"/>
      <c r="D551"/>
      <c r="E551"/>
      <c r="F551"/>
      <c r="G551"/>
      <c r="H551"/>
      <c r="I551"/>
      <c r="J551"/>
      <c r="K551"/>
      <c r="L551"/>
      <c r="M551"/>
      <c r="N551"/>
      <c r="O551"/>
      <c r="P551"/>
      <c r="Q551"/>
      <c r="R551"/>
    </row>
    <row r="552" spans="2:18" ht="14.6" x14ac:dyDescent="0.4">
      <c r="B552"/>
      <c r="C552"/>
      <c r="D552"/>
      <c r="E552"/>
      <c r="F552"/>
      <c r="G552"/>
      <c r="H552"/>
      <c r="I552"/>
      <c r="J552"/>
      <c r="K552"/>
      <c r="L552"/>
      <c r="M552"/>
      <c r="N552"/>
      <c r="O552"/>
      <c r="P552"/>
      <c r="Q552"/>
      <c r="R552"/>
    </row>
    <row r="553" spans="2:18" ht="14.6" x14ac:dyDescent="0.4">
      <c r="B553"/>
      <c r="C553"/>
      <c r="D553"/>
      <c r="E553"/>
      <c r="F553"/>
      <c r="G553"/>
      <c r="H553"/>
      <c r="I553"/>
      <c r="J553"/>
      <c r="K553"/>
      <c r="L553"/>
      <c r="M553"/>
      <c r="N553"/>
      <c r="O553"/>
      <c r="P553"/>
      <c r="Q553"/>
      <c r="R553"/>
    </row>
    <row r="554" spans="2:18" ht="14.6" x14ac:dyDescent="0.4">
      <c r="B554"/>
      <c r="C554"/>
      <c r="D554"/>
      <c r="E554"/>
      <c r="F554"/>
      <c r="G554"/>
      <c r="H554"/>
      <c r="I554"/>
      <c r="J554"/>
      <c r="K554"/>
      <c r="L554"/>
      <c r="M554"/>
      <c r="N554"/>
      <c r="O554"/>
      <c r="P554"/>
      <c r="Q554"/>
      <c r="R554"/>
    </row>
    <row r="555" spans="2:18" ht="14.6" x14ac:dyDescent="0.4">
      <c r="B555"/>
      <c r="C555"/>
      <c r="D555"/>
      <c r="E555"/>
      <c r="F555"/>
      <c r="G555"/>
      <c r="H555"/>
      <c r="I555"/>
      <c r="J555"/>
      <c r="K555"/>
      <c r="L555"/>
      <c r="M555"/>
      <c r="N555"/>
      <c r="O555"/>
      <c r="P555"/>
      <c r="Q555"/>
      <c r="R555"/>
    </row>
    <row r="556" spans="2:18" ht="14.6" x14ac:dyDescent="0.4">
      <c r="B556"/>
      <c r="C556"/>
      <c r="D556"/>
      <c r="E556"/>
      <c r="F556"/>
      <c r="G556"/>
      <c r="H556"/>
      <c r="I556"/>
      <c r="J556"/>
      <c r="K556"/>
      <c r="L556"/>
      <c r="M556"/>
      <c r="N556"/>
      <c r="O556"/>
      <c r="P556"/>
      <c r="Q556"/>
      <c r="R556"/>
    </row>
    <row r="557" spans="2:18" ht="14.6" x14ac:dyDescent="0.4">
      <c r="B557"/>
      <c r="C557"/>
      <c r="D557"/>
      <c r="E557"/>
      <c r="F557"/>
      <c r="G557"/>
      <c r="H557"/>
      <c r="I557"/>
      <c r="J557"/>
      <c r="K557"/>
      <c r="L557"/>
      <c r="M557"/>
      <c r="N557"/>
      <c r="O557"/>
      <c r="P557"/>
      <c r="Q557"/>
      <c r="R557"/>
    </row>
    <row r="558" spans="2:18" ht="14.6" x14ac:dyDescent="0.4">
      <c r="B558"/>
      <c r="C558"/>
      <c r="D558"/>
      <c r="E558"/>
      <c r="F558"/>
      <c r="G558"/>
      <c r="H558"/>
      <c r="I558"/>
      <c r="J558"/>
      <c r="K558"/>
      <c r="L558"/>
      <c r="M558"/>
      <c r="N558"/>
      <c r="O558"/>
      <c r="P558"/>
      <c r="Q558"/>
      <c r="R558"/>
    </row>
    <row r="559" spans="2:18" ht="14.6" x14ac:dyDescent="0.4">
      <c r="B559"/>
      <c r="C559"/>
      <c r="D559"/>
      <c r="E559"/>
      <c r="F559"/>
      <c r="G559"/>
      <c r="H559"/>
      <c r="I559"/>
      <c r="J559"/>
      <c r="K559"/>
      <c r="L559"/>
      <c r="M559"/>
      <c r="N559"/>
      <c r="O559"/>
      <c r="P559"/>
      <c r="Q559"/>
      <c r="R559"/>
    </row>
    <row r="560" spans="2:18" ht="14.6" x14ac:dyDescent="0.4">
      <c r="B560"/>
      <c r="C560"/>
      <c r="D560"/>
      <c r="E560"/>
      <c r="F560"/>
      <c r="G560"/>
      <c r="H560"/>
      <c r="I560"/>
      <c r="J560"/>
      <c r="K560"/>
      <c r="L560"/>
      <c r="M560"/>
      <c r="N560"/>
      <c r="O560"/>
      <c r="P560"/>
      <c r="Q560"/>
      <c r="R560"/>
    </row>
    <row r="561" spans="2:18" ht="14.6" x14ac:dyDescent="0.4">
      <c r="B561"/>
      <c r="C561"/>
      <c r="D561"/>
      <c r="E561"/>
      <c r="F561"/>
      <c r="G561"/>
      <c r="H561"/>
      <c r="I561"/>
      <c r="J561"/>
      <c r="K561"/>
      <c r="L561"/>
      <c r="M561"/>
      <c r="N561"/>
      <c r="O561"/>
      <c r="P561"/>
      <c r="Q561"/>
      <c r="R561"/>
    </row>
    <row r="562" spans="2:18" ht="14.6" x14ac:dyDescent="0.4">
      <c r="B562"/>
      <c r="C562"/>
      <c r="D562"/>
      <c r="E562"/>
      <c r="F562"/>
      <c r="G562"/>
      <c r="H562"/>
      <c r="I562"/>
      <c r="J562"/>
      <c r="K562"/>
      <c r="L562"/>
      <c r="M562"/>
      <c r="N562"/>
      <c r="O562"/>
      <c r="P562"/>
      <c r="Q562"/>
      <c r="R562"/>
    </row>
    <row r="563" spans="2:18" ht="14.6" x14ac:dyDescent="0.4">
      <c r="B563"/>
      <c r="C563"/>
      <c r="D563"/>
      <c r="E563"/>
      <c r="F563"/>
      <c r="G563"/>
      <c r="H563"/>
      <c r="I563"/>
      <c r="J563"/>
      <c r="K563"/>
      <c r="L563"/>
      <c r="M563"/>
      <c r="N563"/>
      <c r="O563"/>
      <c r="P563"/>
      <c r="Q563"/>
      <c r="R563"/>
    </row>
    <row r="564" spans="2:18" ht="14.6" x14ac:dyDescent="0.4">
      <c r="B564"/>
      <c r="C564"/>
      <c r="D564"/>
      <c r="E564"/>
      <c r="F564"/>
      <c r="G564"/>
      <c r="H564"/>
      <c r="I564"/>
      <c r="J564"/>
      <c r="K564"/>
      <c r="L564"/>
      <c r="M564"/>
      <c r="N564"/>
      <c r="O564"/>
      <c r="P564"/>
      <c r="Q564"/>
      <c r="R564"/>
    </row>
    <row r="565" spans="2:18" ht="14.6" x14ac:dyDescent="0.4">
      <c r="B565"/>
      <c r="C565"/>
      <c r="D565"/>
      <c r="E565"/>
      <c r="F565"/>
      <c r="G565"/>
      <c r="H565"/>
      <c r="I565"/>
      <c r="J565"/>
      <c r="K565"/>
      <c r="L565"/>
      <c r="M565"/>
      <c r="N565"/>
      <c r="O565"/>
      <c r="P565"/>
      <c r="Q565"/>
      <c r="R565"/>
    </row>
    <row r="566" spans="2:18" ht="14.6" x14ac:dyDescent="0.4">
      <c r="B566"/>
      <c r="C566"/>
      <c r="D566"/>
      <c r="E566"/>
      <c r="F566"/>
      <c r="G566"/>
      <c r="H566"/>
      <c r="I566"/>
      <c r="J566"/>
      <c r="K566"/>
      <c r="L566"/>
      <c r="M566"/>
      <c r="N566"/>
      <c r="O566"/>
      <c r="P566"/>
      <c r="Q566"/>
      <c r="R566"/>
    </row>
    <row r="567" spans="2:18" ht="14.6" x14ac:dyDescent="0.4">
      <c r="B567"/>
      <c r="C567"/>
      <c r="D567"/>
      <c r="E567"/>
      <c r="F567"/>
      <c r="G567"/>
      <c r="H567"/>
      <c r="I567"/>
      <c r="J567"/>
      <c r="K567"/>
      <c r="L567"/>
      <c r="M567"/>
      <c r="N567"/>
      <c r="O567"/>
      <c r="P567"/>
      <c r="Q567"/>
      <c r="R567"/>
    </row>
    <row r="568" spans="2:18" ht="14.6" x14ac:dyDescent="0.4">
      <c r="B568"/>
      <c r="C568"/>
      <c r="D568"/>
      <c r="E568"/>
      <c r="F568"/>
      <c r="G568"/>
      <c r="H568"/>
      <c r="I568"/>
      <c r="J568"/>
      <c r="K568"/>
      <c r="L568"/>
      <c r="M568"/>
      <c r="N568"/>
      <c r="O568"/>
      <c r="P568"/>
      <c r="Q568"/>
      <c r="R568"/>
    </row>
    <row r="569" spans="2:18" ht="14.6" x14ac:dyDescent="0.4">
      <c r="B569"/>
      <c r="C569"/>
      <c r="D569"/>
      <c r="E569"/>
      <c r="F569"/>
      <c r="G569"/>
      <c r="H569"/>
      <c r="I569"/>
      <c r="J569"/>
      <c r="K569"/>
      <c r="L569"/>
      <c r="M569"/>
      <c r="N569"/>
      <c r="O569"/>
      <c r="P569"/>
      <c r="Q569"/>
      <c r="R569"/>
    </row>
    <row r="570" spans="2:18" ht="14.6" x14ac:dyDescent="0.4">
      <c r="B570"/>
      <c r="C570"/>
      <c r="D570"/>
      <c r="E570"/>
      <c r="F570"/>
      <c r="G570"/>
      <c r="H570"/>
      <c r="I570"/>
      <c r="J570"/>
      <c r="K570"/>
      <c r="L570"/>
      <c r="M570"/>
      <c r="N570"/>
      <c r="O570"/>
      <c r="P570"/>
      <c r="Q570"/>
      <c r="R570"/>
    </row>
    <row r="571" spans="2:18" ht="14.6" x14ac:dyDescent="0.4">
      <c r="B571"/>
      <c r="C571"/>
      <c r="D571"/>
      <c r="E571"/>
      <c r="F571"/>
      <c r="G571"/>
      <c r="H571"/>
      <c r="I571"/>
      <c r="J571"/>
      <c r="K571"/>
      <c r="L571"/>
      <c r="M571"/>
      <c r="N571"/>
      <c r="O571"/>
      <c r="P571"/>
      <c r="Q571"/>
      <c r="R571"/>
    </row>
    <row r="572" spans="2:18" ht="14.6" x14ac:dyDescent="0.4">
      <c r="B572"/>
      <c r="C572"/>
      <c r="D572"/>
      <c r="E572"/>
      <c r="F572"/>
      <c r="G572"/>
      <c r="H572"/>
      <c r="I572"/>
      <c r="J572"/>
      <c r="K572"/>
      <c r="L572"/>
      <c r="M572"/>
      <c r="N572"/>
      <c r="O572"/>
      <c r="P572"/>
      <c r="Q572"/>
      <c r="R572"/>
    </row>
    <row r="573" spans="2:18" ht="14.6" x14ac:dyDescent="0.4">
      <c r="B573"/>
      <c r="C573"/>
      <c r="D573"/>
      <c r="E573"/>
      <c r="F573"/>
      <c r="G573"/>
      <c r="H573"/>
      <c r="I573"/>
      <c r="J573"/>
      <c r="K573"/>
      <c r="L573"/>
      <c r="M573"/>
      <c r="N573"/>
      <c r="O573"/>
      <c r="P573"/>
      <c r="Q573"/>
      <c r="R573"/>
    </row>
    <row r="574" spans="2:18" ht="14.6" x14ac:dyDescent="0.4">
      <c r="B574"/>
      <c r="C574"/>
      <c r="D574"/>
      <c r="E574"/>
      <c r="F574"/>
      <c r="G574"/>
      <c r="H574"/>
      <c r="I574"/>
      <c r="J574"/>
      <c r="K574"/>
      <c r="L574"/>
      <c r="M574"/>
      <c r="N574"/>
      <c r="O574"/>
      <c r="P574"/>
      <c r="Q574"/>
      <c r="R574"/>
    </row>
    <row r="575" spans="2:18" ht="14.6" x14ac:dyDescent="0.4">
      <c r="B575"/>
      <c r="C575"/>
      <c r="D575"/>
      <c r="E575"/>
      <c r="F575"/>
      <c r="G575"/>
      <c r="H575"/>
      <c r="I575"/>
      <c r="J575"/>
      <c r="K575"/>
      <c r="L575"/>
      <c r="M575"/>
      <c r="N575"/>
      <c r="O575"/>
      <c r="P575"/>
      <c r="Q575"/>
      <c r="R575"/>
    </row>
    <row r="576" spans="2:18" ht="14.6" x14ac:dyDescent="0.4">
      <c r="B576"/>
      <c r="C576"/>
      <c r="D576"/>
      <c r="E576"/>
      <c r="F576"/>
      <c r="G576"/>
      <c r="H576"/>
      <c r="I576"/>
      <c r="J576"/>
      <c r="K576"/>
      <c r="L576"/>
      <c r="M576"/>
      <c r="N576"/>
      <c r="O576"/>
      <c r="P576"/>
      <c r="Q576"/>
      <c r="R576"/>
    </row>
    <row r="577" spans="2:18" ht="14.6" x14ac:dyDescent="0.4">
      <c r="B577"/>
      <c r="C577"/>
      <c r="D577"/>
      <c r="E577"/>
      <c r="F577"/>
      <c r="G577"/>
      <c r="H577"/>
      <c r="I577"/>
      <c r="J577"/>
      <c r="K577"/>
      <c r="L577"/>
      <c r="M577"/>
      <c r="N577"/>
      <c r="O577"/>
      <c r="P577"/>
      <c r="Q577"/>
      <c r="R577"/>
    </row>
    <row r="578" spans="2:18" ht="14.6" x14ac:dyDescent="0.4">
      <c r="B578"/>
      <c r="C578"/>
      <c r="D578"/>
      <c r="E578"/>
      <c r="F578"/>
      <c r="G578"/>
      <c r="H578"/>
      <c r="I578"/>
      <c r="J578"/>
      <c r="K578"/>
      <c r="L578"/>
      <c r="M578"/>
      <c r="N578"/>
      <c r="O578"/>
      <c r="P578"/>
      <c r="Q578"/>
      <c r="R578"/>
    </row>
    <row r="579" spans="2:18" ht="14.6" x14ac:dyDescent="0.4">
      <c r="B579"/>
      <c r="C579"/>
      <c r="D579"/>
      <c r="E579"/>
      <c r="F579"/>
      <c r="G579"/>
      <c r="H579"/>
      <c r="I579"/>
      <c r="J579"/>
      <c r="K579"/>
      <c r="L579"/>
      <c r="M579"/>
      <c r="N579"/>
      <c r="O579"/>
      <c r="P579"/>
      <c r="Q579"/>
      <c r="R579"/>
    </row>
    <row r="580" spans="2:18" ht="14.6" x14ac:dyDescent="0.4">
      <c r="B580"/>
      <c r="C580"/>
      <c r="D580"/>
      <c r="E580"/>
      <c r="F580"/>
      <c r="G580"/>
      <c r="H580"/>
      <c r="I580"/>
      <c r="J580"/>
      <c r="K580"/>
      <c r="L580"/>
      <c r="M580"/>
      <c r="N580"/>
      <c r="O580"/>
      <c r="P580"/>
      <c r="Q580"/>
      <c r="R580"/>
    </row>
    <row r="581" spans="2:18" ht="14.6" x14ac:dyDescent="0.4">
      <c r="B581"/>
      <c r="C581"/>
      <c r="D581"/>
      <c r="E581"/>
      <c r="F581"/>
      <c r="G581"/>
      <c r="H581"/>
      <c r="I581"/>
      <c r="J581"/>
      <c r="K581"/>
      <c r="L581"/>
      <c r="M581"/>
      <c r="N581"/>
      <c r="O581"/>
      <c r="P581"/>
      <c r="Q581"/>
      <c r="R581"/>
    </row>
    <row r="582" spans="2:18" ht="14.6" x14ac:dyDescent="0.4">
      <c r="B582"/>
      <c r="C582"/>
      <c r="D582"/>
      <c r="E582"/>
      <c r="F582"/>
      <c r="G582"/>
      <c r="H582"/>
      <c r="I582"/>
      <c r="J582"/>
      <c r="K582"/>
      <c r="L582"/>
      <c r="M582"/>
      <c r="N582"/>
      <c r="O582"/>
      <c r="P582"/>
      <c r="Q582"/>
      <c r="R582"/>
    </row>
    <row r="583" spans="2:18" ht="14.6" x14ac:dyDescent="0.4">
      <c r="B583"/>
      <c r="C583"/>
      <c r="D583"/>
      <c r="E583"/>
      <c r="F583"/>
      <c r="G583"/>
      <c r="H583"/>
      <c r="I583"/>
      <c r="J583"/>
      <c r="K583"/>
      <c r="L583"/>
      <c r="M583"/>
      <c r="N583"/>
      <c r="O583"/>
      <c r="P583"/>
      <c r="Q583"/>
      <c r="R583"/>
    </row>
    <row r="584" spans="2:18" ht="14.6" x14ac:dyDescent="0.4">
      <c r="B584"/>
      <c r="C584"/>
      <c r="D584"/>
      <c r="E584"/>
      <c r="F584"/>
      <c r="G584"/>
      <c r="H584"/>
      <c r="I584"/>
      <c r="J584"/>
      <c r="K584"/>
      <c r="L584"/>
      <c r="M584"/>
      <c r="N584"/>
      <c r="O584"/>
      <c r="P584"/>
      <c r="Q584"/>
      <c r="R584"/>
    </row>
    <row r="585" spans="2:18" ht="14.6" x14ac:dyDescent="0.4">
      <c r="B585"/>
      <c r="C585"/>
      <c r="D585"/>
      <c r="E585"/>
      <c r="F585"/>
      <c r="G585"/>
      <c r="H585"/>
      <c r="I585"/>
      <c r="J585"/>
      <c r="K585"/>
      <c r="L585"/>
      <c r="M585"/>
      <c r="N585"/>
      <c r="O585"/>
      <c r="P585"/>
      <c r="Q585"/>
      <c r="R585"/>
    </row>
    <row r="586" spans="2:18" ht="14.6" x14ac:dyDescent="0.4">
      <c r="B586"/>
      <c r="C586"/>
      <c r="D586"/>
      <c r="E586"/>
      <c r="F586"/>
      <c r="G586"/>
      <c r="H586"/>
      <c r="I586"/>
      <c r="J586"/>
      <c r="K586"/>
      <c r="L586"/>
      <c r="M586"/>
      <c r="N586"/>
      <c r="O586"/>
      <c r="P586"/>
      <c r="Q586"/>
      <c r="R586"/>
    </row>
    <row r="587" spans="2:18" ht="14.6" x14ac:dyDescent="0.4">
      <c r="B587"/>
      <c r="C587"/>
      <c r="D587"/>
      <c r="E587"/>
      <c r="F587"/>
      <c r="G587"/>
      <c r="H587"/>
      <c r="I587"/>
      <c r="J587"/>
      <c r="K587"/>
      <c r="L587"/>
      <c r="M587"/>
      <c r="N587"/>
      <c r="O587"/>
      <c r="P587"/>
      <c r="Q587"/>
      <c r="R587"/>
    </row>
    <row r="588" spans="2:18" ht="14.6" x14ac:dyDescent="0.4">
      <c r="B588"/>
      <c r="C588"/>
      <c r="D588"/>
      <c r="E588"/>
      <c r="F588"/>
      <c r="G588"/>
      <c r="H588"/>
      <c r="I588"/>
      <c r="J588"/>
      <c r="K588"/>
      <c r="L588"/>
      <c r="M588"/>
      <c r="N588"/>
      <c r="O588"/>
      <c r="P588"/>
      <c r="Q588"/>
      <c r="R588"/>
    </row>
    <row r="589" spans="2:18" ht="14.6" x14ac:dyDescent="0.4">
      <c r="B589"/>
      <c r="C589"/>
      <c r="D589"/>
      <c r="E589"/>
      <c r="F589"/>
      <c r="G589"/>
      <c r="H589"/>
      <c r="I589"/>
      <c r="J589"/>
      <c r="K589"/>
      <c r="L589"/>
      <c r="M589"/>
      <c r="N589"/>
      <c r="O589"/>
      <c r="P589"/>
      <c r="Q589"/>
      <c r="R589"/>
    </row>
    <row r="590" spans="2:18" ht="14.6" x14ac:dyDescent="0.4">
      <c r="B590"/>
      <c r="C590"/>
      <c r="D590"/>
      <c r="E590"/>
      <c r="F590"/>
      <c r="G590"/>
      <c r="H590"/>
      <c r="I590"/>
      <c r="J590"/>
      <c r="K590"/>
      <c r="L590"/>
      <c r="M590"/>
      <c r="N590"/>
      <c r="O590"/>
      <c r="P590"/>
      <c r="Q590"/>
      <c r="R590"/>
    </row>
    <row r="591" spans="2:18" ht="14.6" x14ac:dyDescent="0.4">
      <c r="B591"/>
      <c r="C591"/>
      <c r="D591"/>
      <c r="E591"/>
      <c r="F591"/>
      <c r="G591"/>
      <c r="H591"/>
      <c r="I591"/>
      <c r="J591"/>
      <c r="K591"/>
      <c r="L591"/>
      <c r="M591"/>
      <c r="N591"/>
      <c r="O591"/>
      <c r="P591"/>
      <c r="Q591"/>
      <c r="R591"/>
    </row>
    <row r="592" spans="2:18" ht="14.6" x14ac:dyDescent="0.4">
      <c r="B592"/>
      <c r="C592"/>
      <c r="D592"/>
      <c r="E592"/>
      <c r="F592"/>
      <c r="G592"/>
      <c r="H592"/>
      <c r="I592"/>
      <c r="J592"/>
      <c r="K592"/>
      <c r="L592"/>
      <c r="M592"/>
      <c r="N592"/>
      <c r="O592"/>
      <c r="P592"/>
      <c r="Q592"/>
      <c r="R592"/>
    </row>
    <row r="593" spans="2:18" ht="14.6" x14ac:dyDescent="0.4">
      <c r="B593"/>
      <c r="C593"/>
      <c r="D593"/>
      <c r="E593"/>
      <c r="F593"/>
      <c r="G593"/>
      <c r="H593"/>
      <c r="I593"/>
      <c r="J593"/>
      <c r="K593"/>
      <c r="L593"/>
      <c r="M593"/>
      <c r="N593"/>
      <c r="O593"/>
      <c r="P593"/>
      <c r="Q593"/>
      <c r="R593"/>
    </row>
    <row r="594" spans="2:18" ht="14.6" x14ac:dyDescent="0.4">
      <c r="B594"/>
      <c r="C594"/>
      <c r="D594"/>
      <c r="E594"/>
      <c r="F594"/>
      <c r="G594"/>
      <c r="H594"/>
      <c r="I594"/>
      <c r="J594"/>
      <c r="K594"/>
      <c r="L594"/>
      <c r="M594"/>
      <c r="N594"/>
      <c r="O594"/>
      <c r="P594"/>
      <c r="Q594"/>
      <c r="R594"/>
    </row>
    <row r="595" spans="2:18" ht="14.6" x14ac:dyDescent="0.4">
      <c r="B595"/>
      <c r="C595"/>
      <c r="D595"/>
      <c r="E595"/>
      <c r="F595"/>
      <c r="G595"/>
      <c r="H595"/>
      <c r="I595"/>
      <c r="J595"/>
      <c r="K595"/>
      <c r="L595"/>
      <c r="M595"/>
      <c r="N595"/>
      <c r="O595"/>
      <c r="P595"/>
      <c r="Q595"/>
      <c r="R595"/>
    </row>
    <row r="596" spans="2:18" ht="14.6" x14ac:dyDescent="0.4">
      <c r="B596"/>
      <c r="C596"/>
      <c r="D596"/>
      <c r="E596"/>
      <c r="F596"/>
      <c r="G596"/>
      <c r="H596"/>
      <c r="I596"/>
      <c r="J596"/>
      <c r="K596"/>
      <c r="L596"/>
      <c r="M596"/>
      <c r="N596"/>
      <c r="O596"/>
      <c r="P596"/>
      <c r="Q596"/>
      <c r="R596"/>
    </row>
    <row r="597" spans="2:18" ht="14.6" x14ac:dyDescent="0.4">
      <c r="B597"/>
      <c r="C597"/>
      <c r="D597"/>
      <c r="E597"/>
      <c r="F597"/>
      <c r="G597"/>
      <c r="H597"/>
      <c r="I597"/>
      <c r="J597"/>
      <c r="K597"/>
      <c r="L597"/>
      <c r="M597"/>
      <c r="N597"/>
      <c r="O597"/>
      <c r="P597"/>
      <c r="Q597"/>
      <c r="R597"/>
    </row>
    <row r="598" spans="2:18" ht="14.6" x14ac:dyDescent="0.4">
      <c r="B598"/>
      <c r="C598"/>
      <c r="D598"/>
      <c r="E598"/>
      <c r="F598"/>
      <c r="G598"/>
      <c r="H598"/>
      <c r="I598"/>
      <c r="J598"/>
      <c r="K598"/>
      <c r="L598"/>
      <c r="M598"/>
      <c r="N598"/>
      <c r="O598"/>
      <c r="P598"/>
      <c r="Q598"/>
      <c r="R598"/>
    </row>
    <row r="599" spans="2:18" ht="14.6" x14ac:dyDescent="0.4">
      <c r="B599"/>
      <c r="C599"/>
      <c r="D599"/>
      <c r="E599"/>
      <c r="F599"/>
      <c r="G599"/>
      <c r="H599"/>
      <c r="I599"/>
      <c r="J599"/>
      <c r="K599"/>
      <c r="L599"/>
      <c r="M599"/>
      <c r="N599"/>
      <c r="O599"/>
      <c r="P599"/>
      <c r="Q599"/>
      <c r="R599"/>
    </row>
    <row r="600" spans="2:18" ht="14.6" x14ac:dyDescent="0.4">
      <c r="B600"/>
      <c r="C600"/>
      <c r="D600"/>
      <c r="E600"/>
      <c r="F600"/>
      <c r="G600"/>
      <c r="H600"/>
      <c r="I600"/>
      <c r="J600"/>
      <c r="K600"/>
      <c r="L600"/>
      <c r="M600"/>
      <c r="N600"/>
      <c r="O600"/>
      <c r="P600"/>
      <c r="Q600"/>
      <c r="R600"/>
    </row>
    <row r="601" spans="2:18" ht="14.6" x14ac:dyDescent="0.4">
      <c r="B601"/>
      <c r="C601"/>
      <c r="D601"/>
      <c r="E601"/>
      <c r="F601"/>
      <c r="G601"/>
      <c r="H601"/>
      <c r="I601"/>
      <c r="J601"/>
      <c r="K601"/>
      <c r="L601"/>
      <c r="M601"/>
      <c r="N601"/>
      <c r="O601"/>
      <c r="P601"/>
      <c r="Q601"/>
      <c r="R601"/>
    </row>
    <row r="602" spans="2:18" ht="14.6" x14ac:dyDescent="0.4">
      <c r="B602"/>
      <c r="C602"/>
      <c r="D602"/>
      <c r="E602"/>
      <c r="F602"/>
      <c r="G602"/>
      <c r="H602"/>
      <c r="I602"/>
      <c r="J602"/>
      <c r="K602"/>
      <c r="L602"/>
      <c r="M602"/>
      <c r="N602"/>
      <c r="O602"/>
      <c r="P602"/>
      <c r="Q602"/>
      <c r="R602"/>
    </row>
    <row r="603" spans="2:18" ht="14.6" x14ac:dyDescent="0.4">
      <c r="B603"/>
      <c r="C603"/>
      <c r="D603"/>
      <c r="E603"/>
      <c r="F603"/>
      <c r="G603"/>
      <c r="H603"/>
      <c r="I603"/>
      <c r="J603"/>
      <c r="K603"/>
      <c r="L603"/>
      <c r="M603"/>
      <c r="N603"/>
      <c r="O603"/>
      <c r="P603"/>
      <c r="Q603"/>
      <c r="R603"/>
    </row>
    <row r="604" spans="2:18" ht="14.6" x14ac:dyDescent="0.4">
      <c r="B604"/>
      <c r="C604"/>
      <c r="D604"/>
      <c r="E604"/>
      <c r="F604"/>
      <c r="G604"/>
      <c r="H604"/>
      <c r="I604"/>
      <c r="J604"/>
      <c r="K604"/>
      <c r="L604"/>
      <c r="M604"/>
      <c r="N604"/>
      <c r="O604"/>
      <c r="P604"/>
      <c r="Q604"/>
      <c r="R604"/>
    </row>
    <row r="605" spans="2:18" ht="14.6" x14ac:dyDescent="0.4">
      <c r="B605"/>
      <c r="C605"/>
      <c r="D605"/>
      <c r="E605"/>
      <c r="F605"/>
      <c r="G605"/>
      <c r="H605"/>
      <c r="I605"/>
      <c r="J605"/>
      <c r="K605"/>
      <c r="L605"/>
      <c r="M605"/>
      <c r="N605"/>
      <c r="O605"/>
      <c r="P605"/>
      <c r="Q605"/>
      <c r="R605"/>
    </row>
    <row r="606" spans="2:18" ht="14.6" x14ac:dyDescent="0.4">
      <c r="B606"/>
      <c r="C606"/>
      <c r="D606"/>
      <c r="E606"/>
      <c r="F606"/>
      <c r="G606"/>
      <c r="H606"/>
      <c r="I606"/>
      <c r="J606"/>
      <c r="K606"/>
      <c r="L606"/>
      <c r="M606"/>
      <c r="N606"/>
      <c r="O606"/>
      <c r="P606"/>
      <c r="Q606"/>
      <c r="R606"/>
    </row>
    <row r="607" spans="2:18" ht="14.6" x14ac:dyDescent="0.4">
      <c r="B607"/>
      <c r="C607"/>
      <c r="D607"/>
      <c r="E607"/>
      <c r="F607"/>
      <c r="G607"/>
      <c r="H607"/>
      <c r="I607"/>
      <c r="J607"/>
      <c r="K607"/>
      <c r="L607"/>
      <c r="M607"/>
      <c r="N607"/>
      <c r="O607"/>
      <c r="P607"/>
      <c r="Q607"/>
      <c r="R607"/>
    </row>
    <row r="608" spans="2:18" ht="14.6" x14ac:dyDescent="0.4">
      <c r="B608"/>
      <c r="C608"/>
      <c r="D608"/>
      <c r="E608"/>
      <c r="F608"/>
      <c r="G608"/>
      <c r="H608"/>
      <c r="I608"/>
      <c r="J608"/>
      <c r="K608"/>
      <c r="L608"/>
      <c r="M608"/>
      <c r="N608"/>
      <c r="O608"/>
      <c r="P608"/>
      <c r="Q608"/>
      <c r="R608"/>
    </row>
    <row r="609" spans="2:18" ht="14.6" x14ac:dyDescent="0.4">
      <c r="B609"/>
      <c r="C609"/>
      <c r="D609"/>
      <c r="E609"/>
      <c r="F609"/>
      <c r="G609"/>
      <c r="H609"/>
      <c r="I609"/>
      <c r="J609"/>
      <c r="K609"/>
      <c r="L609"/>
      <c r="M609"/>
      <c r="N609"/>
      <c r="O609"/>
      <c r="P609"/>
      <c r="Q609"/>
      <c r="R609"/>
    </row>
    <row r="610" spans="2:18" ht="14.6" x14ac:dyDescent="0.4">
      <c r="B610"/>
      <c r="C610"/>
      <c r="D610"/>
      <c r="E610"/>
      <c r="F610"/>
      <c r="G610"/>
      <c r="H610"/>
      <c r="I610"/>
      <c r="J610"/>
      <c r="K610"/>
      <c r="L610"/>
      <c r="M610"/>
      <c r="N610"/>
      <c r="O610"/>
      <c r="P610"/>
      <c r="Q610"/>
      <c r="R610"/>
    </row>
    <row r="611" spans="2:18" ht="14.6" x14ac:dyDescent="0.4">
      <c r="B611"/>
      <c r="C611"/>
      <c r="D611"/>
      <c r="E611"/>
      <c r="F611"/>
      <c r="G611"/>
      <c r="H611"/>
      <c r="I611"/>
      <c r="J611"/>
      <c r="K611"/>
      <c r="L611"/>
      <c r="M611"/>
      <c r="N611"/>
      <c r="O611"/>
      <c r="P611"/>
      <c r="Q611"/>
      <c r="R611"/>
    </row>
    <row r="612" spans="2:18" ht="14.6" x14ac:dyDescent="0.4">
      <c r="B612"/>
      <c r="C612"/>
      <c r="D612"/>
      <c r="E612"/>
      <c r="F612"/>
      <c r="G612"/>
      <c r="H612"/>
      <c r="I612"/>
      <c r="J612"/>
      <c r="K612"/>
      <c r="L612"/>
      <c r="M612"/>
      <c r="N612"/>
      <c r="O612"/>
      <c r="P612"/>
      <c r="Q612"/>
      <c r="R612"/>
    </row>
    <row r="613" spans="2:18" ht="14.6" x14ac:dyDescent="0.4">
      <c r="B613"/>
      <c r="C613"/>
      <c r="D613"/>
      <c r="E613"/>
      <c r="F613"/>
      <c r="G613"/>
      <c r="H613"/>
      <c r="I613"/>
      <c r="J613"/>
      <c r="K613"/>
      <c r="L613"/>
      <c r="M613"/>
      <c r="N613"/>
      <c r="O613"/>
      <c r="P613"/>
      <c r="Q613"/>
      <c r="R613"/>
    </row>
    <row r="614" spans="2:18" ht="14.6" x14ac:dyDescent="0.4">
      <c r="B614"/>
      <c r="C614"/>
      <c r="D614"/>
      <c r="E614"/>
      <c r="F614"/>
      <c r="G614"/>
      <c r="H614"/>
      <c r="I614"/>
      <c r="J614"/>
      <c r="K614"/>
      <c r="L614"/>
      <c r="M614"/>
      <c r="N614"/>
      <c r="O614"/>
      <c r="P614"/>
      <c r="Q614"/>
      <c r="R614"/>
    </row>
    <row r="615" spans="2:18" ht="14.6" x14ac:dyDescent="0.4">
      <c r="B615"/>
      <c r="C615"/>
      <c r="D615"/>
      <c r="E615"/>
      <c r="F615"/>
      <c r="G615"/>
      <c r="H615"/>
      <c r="I615"/>
      <c r="J615"/>
      <c r="K615"/>
      <c r="L615"/>
      <c r="M615"/>
      <c r="N615"/>
      <c r="O615"/>
      <c r="P615"/>
      <c r="Q615"/>
      <c r="R615"/>
    </row>
    <row r="616" spans="2:18" ht="14.6" x14ac:dyDescent="0.4">
      <c r="B616"/>
      <c r="C616"/>
      <c r="D616"/>
      <c r="E616"/>
      <c r="F616"/>
      <c r="G616"/>
      <c r="H616"/>
      <c r="I616"/>
      <c r="J616"/>
      <c r="K616"/>
      <c r="L616"/>
      <c r="M616"/>
      <c r="N616"/>
      <c r="O616"/>
      <c r="P616"/>
      <c r="Q616"/>
      <c r="R616"/>
    </row>
    <row r="617" spans="2:18" ht="14.6" x14ac:dyDescent="0.4">
      <c r="B617"/>
      <c r="C617"/>
      <c r="D617"/>
      <c r="E617"/>
      <c r="F617"/>
      <c r="G617"/>
      <c r="H617"/>
      <c r="I617"/>
      <c r="J617"/>
      <c r="K617"/>
      <c r="L617"/>
      <c r="M617"/>
      <c r="N617"/>
      <c r="O617"/>
      <c r="P617"/>
      <c r="Q617"/>
      <c r="R617"/>
    </row>
    <row r="618" spans="2:18" ht="14.6" x14ac:dyDescent="0.4">
      <c r="B618"/>
      <c r="C618"/>
      <c r="D618"/>
      <c r="E618"/>
      <c r="F618"/>
      <c r="G618"/>
      <c r="H618"/>
      <c r="I618"/>
      <c r="J618"/>
      <c r="K618"/>
      <c r="L618"/>
      <c r="M618"/>
      <c r="N618"/>
      <c r="O618"/>
      <c r="P618"/>
      <c r="Q618"/>
      <c r="R618"/>
    </row>
    <row r="619" spans="2:18" ht="14.6" x14ac:dyDescent="0.4">
      <c r="B619"/>
      <c r="C619"/>
      <c r="D619"/>
      <c r="E619"/>
      <c r="F619"/>
      <c r="G619"/>
      <c r="H619"/>
      <c r="I619"/>
      <c r="J619"/>
      <c r="K619"/>
      <c r="L619"/>
      <c r="M619"/>
      <c r="N619"/>
      <c r="O619"/>
      <c r="P619"/>
      <c r="Q619"/>
      <c r="R619"/>
    </row>
    <row r="620" spans="2:18" ht="14.6" x14ac:dyDescent="0.4">
      <c r="B620"/>
      <c r="C620"/>
      <c r="D620"/>
      <c r="E620"/>
      <c r="F620"/>
      <c r="G620"/>
      <c r="H620"/>
      <c r="I620"/>
      <c r="J620"/>
      <c r="K620"/>
      <c r="L620"/>
      <c r="M620"/>
      <c r="N620"/>
      <c r="O620"/>
      <c r="P620"/>
      <c r="Q620"/>
      <c r="R620"/>
    </row>
    <row r="621" spans="2:18" ht="14.6" x14ac:dyDescent="0.4">
      <c r="B621"/>
      <c r="C621"/>
      <c r="D621"/>
      <c r="E621"/>
      <c r="F621"/>
      <c r="G621"/>
      <c r="H621"/>
      <c r="I621"/>
      <c r="J621"/>
      <c r="K621"/>
      <c r="L621"/>
      <c r="M621"/>
      <c r="N621"/>
      <c r="O621"/>
      <c r="P621"/>
      <c r="Q621"/>
      <c r="R621"/>
    </row>
    <row r="622" spans="2:18" ht="14.6" x14ac:dyDescent="0.4">
      <c r="B622"/>
      <c r="C622"/>
      <c r="D622"/>
      <c r="E622"/>
      <c r="F622"/>
      <c r="G622"/>
      <c r="H622"/>
      <c r="I622"/>
      <c r="J622"/>
      <c r="K622"/>
      <c r="L622"/>
      <c r="M622"/>
      <c r="N622"/>
      <c r="O622"/>
      <c r="P622"/>
      <c r="Q622"/>
      <c r="R622"/>
    </row>
    <row r="623" spans="2:18" ht="14.6" x14ac:dyDescent="0.4">
      <c r="B623"/>
      <c r="C623"/>
      <c r="D623"/>
      <c r="E623"/>
      <c r="F623"/>
      <c r="G623"/>
      <c r="H623"/>
      <c r="I623"/>
      <c r="J623"/>
      <c r="K623"/>
      <c r="L623"/>
      <c r="M623"/>
      <c r="N623"/>
      <c r="O623"/>
      <c r="P623"/>
      <c r="Q623"/>
      <c r="R623"/>
    </row>
    <row r="624" spans="2:18" ht="14.6" x14ac:dyDescent="0.4">
      <c r="B624"/>
      <c r="C624"/>
      <c r="D624"/>
      <c r="E624"/>
      <c r="F624"/>
      <c r="G624"/>
      <c r="H624"/>
      <c r="I624"/>
      <c r="J624"/>
      <c r="K624"/>
      <c r="L624"/>
      <c r="M624"/>
      <c r="N624"/>
      <c r="O624"/>
      <c r="P624"/>
      <c r="Q624"/>
      <c r="R624"/>
    </row>
    <row r="625" spans="2:18" ht="14.6" x14ac:dyDescent="0.4">
      <c r="B625"/>
      <c r="C625"/>
      <c r="D625"/>
      <c r="E625"/>
      <c r="F625"/>
      <c r="G625"/>
      <c r="H625"/>
      <c r="I625"/>
      <c r="J625"/>
      <c r="K625"/>
      <c r="L625"/>
      <c r="M625"/>
      <c r="N625"/>
      <c r="O625"/>
      <c r="P625"/>
      <c r="Q625"/>
      <c r="R625"/>
    </row>
    <row r="626" spans="2:18" ht="14.6" x14ac:dyDescent="0.4">
      <c r="B626"/>
      <c r="C626"/>
      <c r="D626"/>
      <c r="E626"/>
      <c r="F626"/>
      <c r="G626"/>
      <c r="H626"/>
      <c r="I626"/>
      <c r="J626"/>
      <c r="K626"/>
      <c r="L626"/>
      <c r="M626"/>
      <c r="N626"/>
      <c r="O626"/>
      <c r="P626"/>
      <c r="Q626"/>
      <c r="R626"/>
    </row>
    <row r="627" spans="2:18" ht="14.6" x14ac:dyDescent="0.4">
      <c r="B627"/>
      <c r="C627"/>
      <c r="D627"/>
      <c r="E627"/>
      <c r="F627"/>
      <c r="G627"/>
      <c r="H627"/>
      <c r="I627"/>
      <c r="J627"/>
      <c r="K627"/>
      <c r="L627"/>
      <c r="M627"/>
      <c r="N627"/>
      <c r="O627"/>
      <c r="P627"/>
      <c r="Q627"/>
      <c r="R627"/>
    </row>
    <row r="628" spans="2:18" ht="14.6" x14ac:dyDescent="0.4">
      <c r="B628"/>
      <c r="C628"/>
      <c r="D628"/>
      <c r="E628"/>
      <c r="F628"/>
      <c r="G628"/>
      <c r="H628"/>
      <c r="I628"/>
      <c r="J628"/>
      <c r="K628"/>
      <c r="L628"/>
      <c r="M628"/>
      <c r="N628"/>
      <c r="O628"/>
      <c r="P628"/>
      <c r="Q628"/>
      <c r="R628"/>
    </row>
    <row r="629" spans="2:18" ht="14.6" x14ac:dyDescent="0.4">
      <c r="B629"/>
      <c r="C629"/>
      <c r="D629"/>
      <c r="E629"/>
      <c r="F629"/>
      <c r="G629"/>
      <c r="H629"/>
      <c r="I629"/>
      <c r="J629"/>
      <c r="K629"/>
      <c r="L629"/>
      <c r="M629"/>
      <c r="N629"/>
      <c r="O629"/>
      <c r="P629"/>
      <c r="Q629"/>
      <c r="R629"/>
    </row>
    <row r="630" spans="2:18" ht="14.6" x14ac:dyDescent="0.4">
      <c r="B630"/>
      <c r="C630"/>
      <c r="D630"/>
      <c r="E630"/>
      <c r="F630"/>
      <c r="G630"/>
      <c r="H630"/>
      <c r="I630"/>
      <c r="J630"/>
      <c r="K630"/>
      <c r="L630"/>
      <c r="M630"/>
      <c r="N630"/>
      <c r="O630"/>
      <c r="P630"/>
      <c r="Q630"/>
      <c r="R630"/>
    </row>
    <row r="631" spans="2:18" ht="14.6" x14ac:dyDescent="0.4">
      <c r="B631"/>
      <c r="C631"/>
      <c r="D631"/>
      <c r="E631"/>
      <c r="F631"/>
      <c r="G631"/>
      <c r="H631"/>
      <c r="I631"/>
      <c r="J631"/>
      <c r="K631"/>
      <c r="L631"/>
      <c r="M631"/>
      <c r="N631"/>
      <c r="O631"/>
      <c r="P631"/>
      <c r="Q631"/>
      <c r="R631"/>
    </row>
    <row r="632" spans="2:18" ht="14.6" x14ac:dyDescent="0.4">
      <c r="B632"/>
      <c r="C632"/>
      <c r="D632"/>
      <c r="E632"/>
      <c r="F632"/>
      <c r="G632"/>
      <c r="H632"/>
      <c r="I632"/>
      <c r="J632"/>
      <c r="K632"/>
      <c r="L632"/>
      <c r="M632"/>
      <c r="N632"/>
      <c r="O632"/>
      <c r="P632"/>
      <c r="Q632"/>
      <c r="R632"/>
    </row>
    <row r="633" spans="2:18" ht="14.6" x14ac:dyDescent="0.4">
      <c r="B633"/>
      <c r="C633"/>
      <c r="D633"/>
      <c r="E633"/>
      <c r="F633"/>
      <c r="G633"/>
      <c r="H633"/>
      <c r="I633"/>
      <c r="J633"/>
      <c r="K633"/>
      <c r="L633"/>
      <c r="M633"/>
      <c r="N633"/>
      <c r="O633"/>
      <c r="P633"/>
      <c r="Q633"/>
      <c r="R633"/>
    </row>
    <row r="634" spans="2:18" ht="14.6" x14ac:dyDescent="0.4">
      <c r="B634"/>
      <c r="C634"/>
      <c r="D634"/>
      <c r="E634"/>
      <c r="F634"/>
      <c r="G634"/>
      <c r="H634"/>
      <c r="I634"/>
      <c r="J634"/>
      <c r="K634"/>
      <c r="L634"/>
      <c r="M634"/>
      <c r="N634"/>
      <c r="O634"/>
      <c r="P634"/>
      <c r="Q634"/>
      <c r="R634"/>
    </row>
    <row r="635" spans="2:18" ht="14.6" x14ac:dyDescent="0.4">
      <c r="B635"/>
      <c r="C635"/>
      <c r="D635"/>
      <c r="E635"/>
      <c r="F635"/>
      <c r="G635"/>
      <c r="H635"/>
      <c r="I635"/>
      <c r="J635"/>
      <c r="K635"/>
      <c r="L635"/>
      <c r="M635"/>
      <c r="N635"/>
      <c r="O635"/>
      <c r="P635"/>
      <c r="Q635"/>
      <c r="R635"/>
    </row>
    <row r="636" spans="2:18" ht="14.6" x14ac:dyDescent="0.4">
      <c r="B636"/>
      <c r="C636"/>
      <c r="D636"/>
      <c r="E636"/>
      <c r="F636"/>
      <c r="G636"/>
      <c r="H636"/>
      <c r="I636"/>
      <c r="J636"/>
      <c r="K636"/>
      <c r="L636"/>
      <c r="M636"/>
      <c r="N636"/>
      <c r="O636"/>
      <c r="P636"/>
      <c r="Q636"/>
      <c r="R636"/>
    </row>
    <row r="637" spans="2:18" ht="14.6" x14ac:dyDescent="0.4">
      <c r="B637"/>
      <c r="C637"/>
      <c r="D637"/>
      <c r="E637"/>
      <c r="F637"/>
      <c r="G637"/>
      <c r="H637"/>
      <c r="I637"/>
      <c r="J637"/>
      <c r="K637"/>
      <c r="L637"/>
      <c r="M637"/>
      <c r="N637"/>
      <c r="O637"/>
      <c r="P637"/>
      <c r="Q637"/>
      <c r="R637"/>
    </row>
    <row r="638" spans="2:18" ht="14.6" x14ac:dyDescent="0.4">
      <c r="B638"/>
      <c r="C638"/>
      <c r="D638"/>
      <c r="E638"/>
      <c r="F638"/>
      <c r="G638"/>
      <c r="H638"/>
      <c r="I638"/>
      <c r="J638"/>
      <c r="K638"/>
      <c r="L638"/>
      <c r="M638"/>
      <c r="N638"/>
      <c r="O638"/>
      <c r="P638"/>
      <c r="Q638"/>
      <c r="R638"/>
    </row>
    <row r="639" spans="2:18" ht="14.6" x14ac:dyDescent="0.4">
      <c r="B639"/>
      <c r="C639"/>
      <c r="D639"/>
      <c r="E639"/>
      <c r="F639"/>
      <c r="G639"/>
      <c r="H639"/>
      <c r="I639"/>
      <c r="J639"/>
      <c r="K639"/>
      <c r="L639"/>
      <c r="M639"/>
      <c r="N639"/>
      <c r="O639"/>
      <c r="P639"/>
      <c r="Q639"/>
      <c r="R639"/>
    </row>
    <row r="640" spans="2:18" ht="14.6" x14ac:dyDescent="0.4">
      <c r="B640"/>
      <c r="C640"/>
      <c r="D640"/>
      <c r="E640"/>
      <c r="F640"/>
      <c r="G640"/>
      <c r="H640"/>
      <c r="I640"/>
      <c r="J640"/>
      <c r="K640"/>
      <c r="L640"/>
      <c r="M640"/>
      <c r="N640"/>
      <c r="O640"/>
      <c r="P640"/>
      <c r="Q640"/>
      <c r="R640"/>
    </row>
    <row r="641" spans="2:18" ht="14.6" x14ac:dyDescent="0.4">
      <c r="B641"/>
      <c r="C641"/>
      <c r="D641"/>
      <c r="E641"/>
      <c r="F641"/>
      <c r="G641"/>
      <c r="H641"/>
      <c r="I641"/>
      <c r="J641"/>
      <c r="K641"/>
      <c r="L641"/>
      <c r="M641"/>
      <c r="N641"/>
      <c r="O641"/>
      <c r="P641"/>
      <c r="Q641"/>
      <c r="R641"/>
    </row>
    <row r="642" spans="2:18" ht="14.6" x14ac:dyDescent="0.4">
      <c r="B642"/>
      <c r="C642"/>
      <c r="D642"/>
      <c r="E642"/>
      <c r="F642"/>
      <c r="G642"/>
      <c r="H642"/>
      <c r="I642"/>
      <c r="J642"/>
      <c r="K642"/>
      <c r="L642"/>
      <c r="M642"/>
      <c r="N642"/>
      <c r="O642"/>
      <c r="P642"/>
      <c r="Q642"/>
      <c r="R642"/>
    </row>
    <row r="643" spans="2:18" ht="14.6" x14ac:dyDescent="0.4">
      <c r="B643"/>
      <c r="C643"/>
      <c r="D643"/>
      <c r="E643"/>
      <c r="F643"/>
      <c r="G643"/>
      <c r="H643"/>
      <c r="I643"/>
      <c r="J643"/>
      <c r="K643"/>
      <c r="L643"/>
      <c r="M643"/>
      <c r="N643"/>
      <c r="O643"/>
      <c r="P643"/>
      <c r="Q643"/>
      <c r="R643"/>
    </row>
    <row r="644" spans="2:18" ht="14.6" x14ac:dyDescent="0.4">
      <c r="B644"/>
      <c r="C644"/>
      <c r="D644"/>
      <c r="E644"/>
      <c r="F644"/>
      <c r="G644"/>
      <c r="H644"/>
      <c r="I644"/>
      <c r="J644"/>
      <c r="K644"/>
      <c r="L644"/>
      <c r="M644"/>
      <c r="N644"/>
      <c r="O644"/>
      <c r="P644"/>
      <c r="Q644"/>
      <c r="R644"/>
    </row>
    <row r="645" spans="2:18" ht="14.6" x14ac:dyDescent="0.4">
      <c r="B645"/>
      <c r="C645"/>
      <c r="D645"/>
      <c r="E645"/>
      <c r="F645"/>
      <c r="G645"/>
      <c r="H645"/>
      <c r="I645"/>
      <c r="J645"/>
      <c r="K645"/>
      <c r="L645"/>
      <c r="M645"/>
      <c r="N645"/>
      <c r="O645"/>
      <c r="P645"/>
      <c r="Q645"/>
      <c r="R645"/>
    </row>
    <row r="646" spans="2:18" ht="14.6" x14ac:dyDescent="0.4">
      <c r="B646"/>
      <c r="C646"/>
      <c r="D646"/>
      <c r="E646"/>
      <c r="F646"/>
      <c r="G646"/>
      <c r="H646"/>
      <c r="I646"/>
      <c r="J646"/>
      <c r="K646"/>
      <c r="L646"/>
      <c r="M646"/>
      <c r="N646"/>
      <c r="O646"/>
      <c r="P646"/>
      <c r="Q646"/>
      <c r="R646"/>
    </row>
    <row r="647" spans="2:18" ht="14.6" x14ac:dyDescent="0.4">
      <c r="B647"/>
      <c r="C647"/>
      <c r="D647"/>
      <c r="E647"/>
      <c r="F647"/>
      <c r="G647"/>
      <c r="H647"/>
      <c r="I647"/>
      <c r="J647"/>
      <c r="K647"/>
      <c r="L647"/>
      <c r="M647"/>
      <c r="N647"/>
      <c r="O647"/>
      <c r="P647"/>
      <c r="Q647"/>
      <c r="R647"/>
    </row>
    <row r="648" spans="2:18" ht="14.6" x14ac:dyDescent="0.4">
      <c r="B648"/>
      <c r="C648"/>
      <c r="D648"/>
      <c r="E648"/>
      <c r="F648"/>
      <c r="G648"/>
      <c r="H648"/>
      <c r="I648"/>
      <c r="J648"/>
      <c r="K648"/>
      <c r="L648"/>
      <c r="M648"/>
      <c r="N648"/>
      <c r="O648"/>
      <c r="P648"/>
      <c r="Q648"/>
      <c r="R648"/>
    </row>
    <row r="649" spans="2:18" ht="14.6" x14ac:dyDescent="0.4">
      <c r="B649"/>
      <c r="C649"/>
      <c r="D649"/>
      <c r="E649"/>
      <c r="F649"/>
      <c r="G649"/>
      <c r="H649"/>
      <c r="I649"/>
      <c r="J649"/>
      <c r="K649"/>
      <c r="L649"/>
      <c r="M649"/>
      <c r="N649"/>
      <c r="O649"/>
      <c r="P649"/>
      <c r="Q649"/>
      <c r="R649"/>
    </row>
    <row r="650" spans="2:18" ht="14.6" x14ac:dyDescent="0.4">
      <c r="B650"/>
      <c r="C650"/>
      <c r="D650"/>
      <c r="E650"/>
      <c r="F650"/>
      <c r="G650"/>
      <c r="H650"/>
      <c r="I650"/>
      <c r="J650"/>
      <c r="K650"/>
      <c r="L650"/>
      <c r="M650"/>
      <c r="N650"/>
      <c r="O650"/>
      <c r="P650"/>
      <c r="Q650"/>
      <c r="R650"/>
    </row>
    <row r="651" spans="2:18" ht="14.6" x14ac:dyDescent="0.4">
      <c r="B651"/>
      <c r="C651"/>
      <c r="D651"/>
      <c r="E651"/>
      <c r="F651"/>
      <c r="G651"/>
      <c r="H651"/>
      <c r="I651"/>
      <c r="J651"/>
      <c r="K651"/>
      <c r="L651"/>
      <c r="M651"/>
      <c r="N651"/>
      <c r="O651"/>
      <c r="P651"/>
      <c r="Q651"/>
      <c r="R651"/>
    </row>
    <row r="652" spans="2:18" ht="14.6" x14ac:dyDescent="0.4">
      <c r="B652"/>
      <c r="C652"/>
      <c r="D652"/>
      <c r="E652"/>
      <c r="F652"/>
      <c r="G652"/>
      <c r="H652"/>
      <c r="I652"/>
      <c r="J652"/>
      <c r="K652"/>
      <c r="L652"/>
      <c r="M652"/>
      <c r="N652"/>
      <c r="O652"/>
      <c r="P652"/>
      <c r="Q652"/>
      <c r="R652"/>
    </row>
    <row r="653" spans="2:18" ht="14.6" x14ac:dyDescent="0.4">
      <c r="B653"/>
      <c r="C653"/>
      <c r="D653"/>
      <c r="E653"/>
      <c r="F653"/>
      <c r="G653"/>
      <c r="H653"/>
      <c r="I653"/>
      <c r="J653"/>
      <c r="K653"/>
      <c r="L653"/>
      <c r="M653"/>
      <c r="N653"/>
      <c r="O653"/>
      <c r="P653"/>
      <c r="Q653"/>
      <c r="R653"/>
    </row>
    <row r="654" spans="2:18" ht="14.6" x14ac:dyDescent="0.4">
      <c r="B654"/>
      <c r="C654"/>
      <c r="D654"/>
      <c r="E654"/>
      <c r="F654"/>
      <c r="G654"/>
      <c r="H654"/>
      <c r="I654"/>
      <c r="J654"/>
      <c r="K654"/>
      <c r="L654"/>
      <c r="M654"/>
      <c r="N654"/>
      <c r="O654"/>
      <c r="P654"/>
      <c r="Q654"/>
      <c r="R654"/>
    </row>
    <row r="655" spans="2:18" ht="14.6" x14ac:dyDescent="0.4">
      <c r="B655"/>
      <c r="C655"/>
      <c r="D655"/>
      <c r="E655"/>
      <c r="F655"/>
      <c r="G655"/>
      <c r="H655"/>
      <c r="I655"/>
      <c r="J655"/>
      <c r="K655"/>
      <c r="L655"/>
      <c r="M655"/>
      <c r="N655"/>
      <c r="O655"/>
      <c r="P655"/>
      <c r="Q655"/>
      <c r="R655"/>
    </row>
    <row r="656" spans="2:18" ht="14.6" x14ac:dyDescent="0.4">
      <c r="B656"/>
      <c r="C656"/>
      <c r="D656"/>
      <c r="E656"/>
      <c r="F656"/>
      <c r="G656"/>
      <c r="H656"/>
      <c r="I656"/>
      <c r="J656"/>
      <c r="K656"/>
      <c r="L656"/>
      <c r="M656"/>
      <c r="N656"/>
      <c r="O656"/>
      <c r="P656"/>
      <c r="Q656"/>
      <c r="R656"/>
    </row>
    <row r="657" spans="2:18" ht="14.6" x14ac:dyDescent="0.4">
      <c r="B657"/>
      <c r="C657"/>
      <c r="D657"/>
      <c r="E657"/>
      <c r="F657"/>
      <c r="G657"/>
      <c r="H657"/>
      <c r="I657"/>
      <c r="J657"/>
      <c r="K657"/>
      <c r="L657"/>
      <c r="M657"/>
      <c r="N657"/>
      <c r="O657"/>
      <c r="P657"/>
      <c r="Q657"/>
      <c r="R657"/>
    </row>
    <row r="658" spans="2:18" ht="14.6" x14ac:dyDescent="0.4">
      <c r="B658"/>
      <c r="C658"/>
      <c r="D658"/>
      <c r="E658"/>
      <c r="F658"/>
      <c r="G658"/>
      <c r="H658"/>
      <c r="I658"/>
      <c r="J658"/>
      <c r="K658"/>
      <c r="L658"/>
      <c r="M658"/>
      <c r="N658"/>
      <c r="O658"/>
      <c r="P658"/>
      <c r="Q658"/>
      <c r="R658"/>
    </row>
    <row r="659" spans="2:18" ht="14.6" x14ac:dyDescent="0.4">
      <c r="B659"/>
      <c r="C659"/>
      <c r="D659"/>
      <c r="E659"/>
      <c r="F659"/>
      <c r="G659"/>
      <c r="H659"/>
      <c r="I659"/>
      <c r="J659"/>
      <c r="K659"/>
      <c r="L659"/>
      <c r="M659"/>
      <c r="N659"/>
      <c r="O659"/>
      <c r="P659"/>
      <c r="Q659"/>
      <c r="R659"/>
    </row>
    <row r="660" spans="2:18" ht="14.6" x14ac:dyDescent="0.4">
      <c r="B660"/>
      <c r="C660"/>
      <c r="D660"/>
      <c r="E660"/>
      <c r="F660"/>
      <c r="G660"/>
      <c r="H660"/>
      <c r="I660"/>
      <c r="J660"/>
      <c r="K660"/>
      <c r="L660"/>
      <c r="M660"/>
      <c r="N660"/>
      <c r="O660"/>
      <c r="P660"/>
      <c r="Q660"/>
      <c r="R660"/>
    </row>
    <row r="661" spans="2:18" ht="14.6" x14ac:dyDescent="0.4">
      <c r="B661"/>
      <c r="C661"/>
      <c r="D661"/>
      <c r="E661"/>
      <c r="F661"/>
      <c r="G661"/>
      <c r="H661"/>
      <c r="I661"/>
      <c r="J661"/>
      <c r="K661"/>
      <c r="L661"/>
      <c r="M661"/>
      <c r="N661"/>
      <c r="O661"/>
      <c r="P661"/>
      <c r="Q661"/>
      <c r="R661"/>
    </row>
    <row r="662" spans="2:18" ht="14.6" x14ac:dyDescent="0.4">
      <c r="B662"/>
      <c r="C662"/>
      <c r="D662"/>
      <c r="E662"/>
      <c r="F662"/>
      <c r="G662"/>
      <c r="H662"/>
      <c r="I662"/>
      <c r="J662"/>
      <c r="K662"/>
      <c r="L662"/>
      <c r="M662"/>
      <c r="N662"/>
      <c r="O662"/>
      <c r="P662"/>
      <c r="Q662"/>
      <c r="R662"/>
    </row>
    <row r="663" spans="2:18" ht="14.6" x14ac:dyDescent="0.4">
      <c r="B663"/>
      <c r="C663"/>
      <c r="D663"/>
      <c r="E663"/>
      <c r="F663"/>
      <c r="G663"/>
      <c r="H663"/>
      <c r="I663"/>
      <c r="J663"/>
      <c r="K663"/>
      <c r="L663"/>
      <c r="M663"/>
      <c r="N663"/>
      <c r="O663"/>
      <c r="P663"/>
      <c r="Q663"/>
      <c r="R663"/>
    </row>
    <row r="664" spans="2:18" ht="14.6" x14ac:dyDescent="0.4">
      <c r="B664"/>
      <c r="C664"/>
      <c r="D664"/>
      <c r="E664"/>
      <c r="F664"/>
      <c r="G664"/>
      <c r="H664"/>
      <c r="I664"/>
      <c r="J664"/>
      <c r="K664"/>
      <c r="L664"/>
      <c r="M664"/>
      <c r="N664"/>
      <c r="O664"/>
      <c r="P664"/>
      <c r="Q664"/>
      <c r="R664"/>
    </row>
    <row r="665" spans="2:18" ht="14.6" x14ac:dyDescent="0.4">
      <c r="B665"/>
      <c r="C665"/>
      <c r="D665"/>
      <c r="E665"/>
      <c r="F665"/>
      <c r="G665"/>
      <c r="H665"/>
      <c r="I665"/>
      <c r="J665"/>
      <c r="K665"/>
      <c r="L665"/>
      <c r="M665"/>
      <c r="N665"/>
      <c r="O665"/>
      <c r="P665"/>
      <c r="Q665"/>
      <c r="R665"/>
    </row>
    <row r="666" spans="2:18" ht="14.6" x14ac:dyDescent="0.4">
      <c r="B666"/>
      <c r="C666"/>
      <c r="D666"/>
      <c r="E666"/>
      <c r="F666"/>
      <c r="G666"/>
      <c r="H666"/>
      <c r="I666"/>
      <c r="J666"/>
      <c r="K666"/>
      <c r="L666"/>
      <c r="M666"/>
      <c r="N666"/>
      <c r="O666"/>
      <c r="P666"/>
      <c r="Q666"/>
      <c r="R666"/>
    </row>
    <row r="667" spans="2:18" ht="14.6" x14ac:dyDescent="0.4">
      <c r="B667"/>
      <c r="C667"/>
      <c r="D667"/>
      <c r="E667"/>
      <c r="F667"/>
      <c r="G667"/>
      <c r="H667"/>
      <c r="I667"/>
      <c r="J667"/>
      <c r="K667"/>
      <c r="L667"/>
      <c r="M667"/>
      <c r="N667"/>
      <c r="O667"/>
      <c r="P667"/>
      <c r="Q667"/>
      <c r="R667"/>
    </row>
    <row r="668" spans="2:18" ht="14.6" x14ac:dyDescent="0.4">
      <c r="B668"/>
      <c r="C668"/>
      <c r="D668"/>
      <c r="E668"/>
      <c r="F668"/>
      <c r="G668"/>
      <c r="H668"/>
      <c r="I668"/>
      <c r="J668"/>
      <c r="K668"/>
      <c r="L668"/>
      <c r="M668"/>
      <c r="N668"/>
      <c r="O668"/>
      <c r="P668"/>
      <c r="Q668"/>
      <c r="R668"/>
    </row>
    <row r="669" spans="2:18" ht="14.6" x14ac:dyDescent="0.4">
      <c r="B669"/>
      <c r="C669"/>
      <c r="D669"/>
      <c r="E669"/>
      <c r="F669"/>
      <c r="G669"/>
      <c r="H669"/>
      <c r="I669"/>
      <c r="J669"/>
      <c r="K669"/>
      <c r="L669"/>
      <c r="M669"/>
      <c r="N669"/>
      <c r="O669"/>
      <c r="P669"/>
      <c r="Q669"/>
      <c r="R669"/>
    </row>
    <row r="670" spans="2:18" ht="14.6" x14ac:dyDescent="0.4">
      <c r="B670"/>
      <c r="C670"/>
      <c r="D670"/>
      <c r="E670"/>
      <c r="F670"/>
      <c r="G670"/>
      <c r="H670"/>
      <c r="I670"/>
      <c r="J670"/>
      <c r="K670"/>
      <c r="L670"/>
      <c r="M670"/>
      <c r="N670"/>
      <c r="O670"/>
      <c r="P670"/>
      <c r="Q670"/>
      <c r="R670"/>
    </row>
    <row r="671" spans="2:18" ht="14.6" x14ac:dyDescent="0.4">
      <c r="B671"/>
      <c r="C671"/>
      <c r="D671"/>
      <c r="E671"/>
      <c r="F671"/>
      <c r="G671"/>
      <c r="H671"/>
      <c r="I671"/>
      <c r="J671"/>
      <c r="K671"/>
      <c r="L671"/>
      <c r="M671"/>
      <c r="N671"/>
      <c r="O671"/>
      <c r="P671"/>
      <c r="Q671"/>
      <c r="R671"/>
    </row>
    <row r="672" spans="2:18" ht="14.6" x14ac:dyDescent="0.4">
      <c r="B672"/>
      <c r="C672"/>
      <c r="D672"/>
      <c r="E672"/>
      <c r="F672"/>
      <c r="G672"/>
      <c r="H672"/>
      <c r="I672"/>
      <c r="J672"/>
      <c r="K672"/>
      <c r="L672"/>
      <c r="M672"/>
      <c r="N672"/>
      <c r="O672"/>
      <c r="P672"/>
      <c r="Q672"/>
      <c r="R672"/>
    </row>
    <row r="673" spans="2:18" ht="14.6" x14ac:dyDescent="0.4">
      <c r="B673"/>
      <c r="C673"/>
      <c r="D673"/>
      <c r="E673"/>
      <c r="F673"/>
      <c r="G673"/>
      <c r="H673"/>
      <c r="I673"/>
      <c r="J673"/>
      <c r="K673"/>
      <c r="L673"/>
      <c r="M673"/>
      <c r="N673"/>
      <c r="O673"/>
      <c r="P673"/>
      <c r="Q673"/>
      <c r="R673"/>
    </row>
    <row r="674" spans="2:18" ht="14.6" x14ac:dyDescent="0.4">
      <c r="B674"/>
      <c r="C674"/>
      <c r="D674"/>
      <c r="E674"/>
      <c r="F674"/>
      <c r="G674"/>
      <c r="H674"/>
      <c r="I674"/>
      <c r="J674"/>
      <c r="K674"/>
      <c r="L674"/>
      <c r="M674"/>
      <c r="N674"/>
      <c r="O674"/>
      <c r="P674"/>
      <c r="Q674"/>
      <c r="R674"/>
    </row>
    <row r="675" spans="2:18" ht="14.6" x14ac:dyDescent="0.4">
      <c r="B675"/>
      <c r="C675"/>
      <c r="D675"/>
      <c r="E675"/>
      <c r="F675"/>
      <c r="G675"/>
      <c r="H675"/>
      <c r="I675"/>
      <c r="J675"/>
      <c r="K675"/>
      <c r="L675"/>
      <c r="M675"/>
      <c r="N675"/>
      <c r="O675"/>
      <c r="P675"/>
      <c r="Q675"/>
      <c r="R675"/>
    </row>
    <row r="676" spans="2:18" ht="14.6" x14ac:dyDescent="0.4">
      <c r="B676"/>
      <c r="C676"/>
      <c r="D676"/>
      <c r="E676"/>
      <c r="F676"/>
      <c r="G676"/>
      <c r="H676"/>
      <c r="I676"/>
      <c r="J676"/>
      <c r="K676"/>
      <c r="L676"/>
      <c r="M676"/>
      <c r="N676"/>
      <c r="O676"/>
      <c r="P676"/>
      <c r="Q676"/>
      <c r="R676"/>
    </row>
    <row r="677" spans="2:18" ht="14.6" x14ac:dyDescent="0.4">
      <c r="B677"/>
      <c r="C677"/>
      <c r="D677"/>
      <c r="E677"/>
      <c r="F677"/>
      <c r="G677"/>
      <c r="H677"/>
      <c r="I677"/>
      <c r="J677"/>
      <c r="K677"/>
      <c r="L677"/>
      <c r="M677"/>
      <c r="N677"/>
      <c r="O677"/>
      <c r="P677"/>
      <c r="Q677"/>
      <c r="R677"/>
    </row>
    <row r="678" spans="2:18" ht="14.6" x14ac:dyDescent="0.4">
      <c r="B678"/>
      <c r="C678"/>
      <c r="D678"/>
      <c r="E678"/>
      <c r="F678"/>
      <c r="G678"/>
      <c r="H678"/>
      <c r="I678"/>
      <c r="J678"/>
      <c r="K678"/>
      <c r="L678"/>
      <c r="M678"/>
      <c r="N678"/>
      <c r="O678"/>
      <c r="P678"/>
      <c r="Q678"/>
      <c r="R678"/>
    </row>
    <row r="679" spans="2:18" ht="14.6" x14ac:dyDescent="0.4">
      <c r="B679"/>
      <c r="C679"/>
      <c r="D679"/>
      <c r="E679"/>
      <c r="F679"/>
      <c r="G679"/>
      <c r="H679"/>
      <c r="I679"/>
      <c r="J679"/>
      <c r="K679"/>
      <c r="L679"/>
      <c r="M679"/>
      <c r="N679"/>
      <c r="O679"/>
      <c r="P679"/>
      <c r="Q679"/>
      <c r="R679"/>
    </row>
    <row r="680" spans="2:18" ht="14.6" x14ac:dyDescent="0.4">
      <c r="B680"/>
      <c r="C680"/>
      <c r="D680"/>
      <c r="E680"/>
      <c r="F680"/>
      <c r="G680"/>
      <c r="H680"/>
      <c r="I680"/>
      <c r="J680"/>
      <c r="K680"/>
      <c r="L680"/>
      <c r="M680"/>
      <c r="N680"/>
      <c r="O680"/>
      <c r="P680"/>
      <c r="Q680"/>
      <c r="R680"/>
    </row>
    <row r="681" spans="2:18" ht="14.6" x14ac:dyDescent="0.4">
      <c r="B681"/>
      <c r="C681"/>
      <c r="D681"/>
      <c r="E681"/>
      <c r="F681"/>
      <c r="G681"/>
      <c r="H681"/>
      <c r="I681"/>
      <c r="J681"/>
      <c r="K681"/>
      <c r="L681"/>
      <c r="M681"/>
      <c r="N681"/>
      <c r="O681"/>
      <c r="P681"/>
      <c r="Q681"/>
      <c r="R681"/>
    </row>
    <row r="682" spans="2:18" ht="14.6" x14ac:dyDescent="0.4">
      <c r="B682"/>
      <c r="C682"/>
      <c r="D682"/>
      <c r="E682"/>
      <c r="F682"/>
      <c r="G682"/>
      <c r="H682"/>
      <c r="I682"/>
      <c r="J682"/>
      <c r="K682"/>
      <c r="L682"/>
      <c r="M682"/>
      <c r="N682"/>
      <c r="O682"/>
      <c r="P682"/>
      <c r="Q682"/>
      <c r="R682"/>
    </row>
    <row r="683" spans="2:18" ht="14.6" x14ac:dyDescent="0.4">
      <c r="B683"/>
      <c r="C683"/>
      <c r="D683"/>
      <c r="E683"/>
      <c r="F683"/>
      <c r="G683"/>
      <c r="H683"/>
      <c r="I683"/>
      <c r="J683"/>
      <c r="K683"/>
      <c r="L683"/>
      <c r="M683"/>
      <c r="N683"/>
      <c r="O683"/>
      <c r="P683"/>
      <c r="Q683"/>
      <c r="R683"/>
    </row>
    <row r="684" spans="2:18" ht="14.6" x14ac:dyDescent="0.4">
      <c r="B684"/>
      <c r="C684"/>
      <c r="D684"/>
      <c r="E684"/>
      <c r="F684"/>
      <c r="G684"/>
      <c r="H684"/>
      <c r="I684"/>
      <c r="J684"/>
      <c r="K684"/>
      <c r="L684"/>
      <c r="M684"/>
      <c r="N684"/>
      <c r="O684"/>
      <c r="P684"/>
      <c r="Q684"/>
      <c r="R684"/>
    </row>
    <row r="685" spans="2:18" ht="14.6" x14ac:dyDescent="0.4">
      <c r="B685"/>
      <c r="C685"/>
      <c r="D685"/>
      <c r="E685"/>
      <c r="F685"/>
      <c r="G685"/>
      <c r="H685"/>
      <c r="I685"/>
      <c r="J685"/>
      <c r="K685"/>
      <c r="L685"/>
      <c r="M685"/>
      <c r="N685"/>
      <c r="O685"/>
      <c r="P685"/>
      <c r="Q685"/>
      <c r="R685"/>
    </row>
    <row r="686" spans="2:18" ht="14.6" x14ac:dyDescent="0.4">
      <c r="B686"/>
      <c r="C686"/>
      <c r="D686"/>
      <c r="E686"/>
      <c r="F686"/>
      <c r="G686"/>
      <c r="H686"/>
      <c r="I686"/>
      <c r="J686"/>
      <c r="K686"/>
      <c r="L686"/>
      <c r="M686"/>
      <c r="N686"/>
      <c r="O686"/>
      <c r="P686"/>
      <c r="Q686"/>
      <c r="R686"/>
    </row>
    <row r="687" spans="2:18" ht="14.6" x14ac:dyDescent="0.4">
      <c r="B687"/>
      <c r="C687"/>
      <c r="D687"/>
      <c r="E687"/>
      <c r="F687"/>
      <c r="G687"/>
      <c r="H687"/>
      <c r="I687"/>
      <c r="J687"/>
      <c r="K687"/>
      <c r="L687"/>
      <c r="M687"/>
      <c r="N687"/>
      <c r="O687"/>
      <c r="P687"/>
      <c r="Q687"/>
      <c r="R687"/>
    </row>
    <row r="688" spans="2:18" ht="14.6" x14ac:dyDescent="0.4">
      <c r="B688"/>
      <c r="C688"/>
      <c r="D688"/>
      <c r="E688"/>
      <c r="F688"/>
      <c r="G688"/>
      <c r="H688"/>
      <c r="I688"/>
      <c r="J688"/>
      <c r="K688"/>
      <c r="L688"/>
      <c r="M688"/>
      <c r="N688"/>
      <c r="O688"/>
      <c r="P688"/>
      <c r="Q688"/>
      <c r="R688"/>
    </row>
    <row r="689" spans="2:18" ht="14.6" x14ac:dyDescent="0.4">
      <c r="B689"/>
      <c r="C689"/>
      <c r="D689"/>
      <c r="E689"/>
      <c r="F689"/>
      <c r="G689"/>
      <c r="H689"/>
      <c r="I689"/>
      <c r="J689"/>
      <c r="K689"/>
      <c r="L689"/>
      <c r="M689"/>
      <c r="N689"/>
      <c r="O689"/>
      <c r="P689"/>
      <c r="Q689"/>
      <c r="R689"/>
    </row>
    <row r="690" spans="2:18" ht="14.6" x14ac:dyDescent="0.4">
      <c r="B690"/>
      <c r="C690"/>
      <c r="D690"/>
      <c r="E690"/>
      <c r="F690"/>
      <c r="G690"/>
      <c r="H690"/>
      <c r="I690"/>
      <c r="J690"/>
      <c r="K690"/>
      <c r="L690"/>
      <c r="M690"/>
      <c r="N690"/>
      <c r="O690"/>
      <c r="P690"/>
      <c r="Q690"/>
      <c r="R690"/>
    </row>
    <row r="691" spans="2:18" ht="14.6" x14ac:dyDescent="0.4">
      <c r="B691"/>
      <c r="C691"/>
      <c r="D691"/>
      <c r="E691"/>
      <c r="F691"/>
      <c r="G691"/>
      <c r="H691"/>
      <c r="I691"/>
      <c r="J691"/>
      <c r="K691"/>
      <c r="L691"/>
      <c r="M691"/>
      <c r="N691"/>
      <c r="O691"/>
      <c r="P691"/>
      <c r="Q691"/>
      <c r="R691"/>
    </row>
    <row r="692" spans="2:18" ht="14.6" x14ac:dyDescent="0.4">
      <c r="B692"/>
      <c r="C692"/>
      <c r="D692"/>
      <c r="E692"/>
      <c r="F692"/>
      <c r="G692"/>
      <c r="H692"/>
      <c r="I692"/>
      <c r="J692"/>
      <c r="K692"/>
      <c r="L692"/>
      <c r="M692"/>
      <c r="N692"/>
      <c r="O692"/>
      <c r="P692"/>
      <c r="Q692"/>
      <c r="R692"/>
    </row>
    <row r="693" spans="2:18" ht="14.6" x14ac:dyDescent="0.4">
      <c r="B693"/>
      <c r="C693"/>
      <c r="D693"/>
      <c r="E693"/>
      <c r="F693"/>
      <c r="G693"/>
      <c r="H693"/>
      <c r="I693"/>
      <c r="J693"/>
      <c r="K693"/>
      <c r="L693"/>
      <c r="M693"/>
      <c r="N693"/>
      <c r="O693"/>
      <c r="P693"/>
      <c r="Q693"/>
      <c r="R693"/>
    </row>
    <row r="694" spans="2:18" ht="14.6" x14ac:dyDescent="0.4">
      <c r="B694"/>
      <c r="C694"/>
      <c r="D694"/>
      <c r="E694"/>
      <c r="F694"/>
      <c r="G694"/>
      <c r="H694"/>
      <c r="I694"/>
      <c r="J694"/>
      <c r="K694"/>
      <c r="L694"/>
      <c r="M694"/>
      <c r="N694"/>
      <c r="O694"/>
      <c r="P694"/>
      <c r="Q694"/>
      <c r="R694"/>
    </row>
    <row r="695" spans="2:18" ht="14.6" x14ac:dyDescent="0.4">
      <c r="B695"/>
      <c r="C695"/>
      <c r="D695"/>
      <c r="E695"/>
      <c r="F695"/>
      <c r="G695"/>
      <c r="H695"/>
      <c r="I695"/>
      <c r="J695"/>
      <c r="K695"/>
      <c r="L695"/>
      <c r="M695"/>
      <c r="N695"/>
      <c r="O695"/>
      <c r="P695"/>
      <c r="Q695"/>
      <c r="R695"/>
    </row>
    <row r="696" spans="2:18" ht="14.6" x14ac:dyDescent="0.4">
      <c r="B696"/>
      <c r="C696"/>
      <c r="D696"/>
      <c r="E696"/>
      <c r="F696"/>
      <c r="G696"/>
      <c r="H696"/>
      <c r="I696"/>
      <c r="J696"/>
      <c r="K696"/>
      <c r="L696"/>
      <c r="M696"/>
      <c r="N696"/>
      <c r="O696"/>
      <c r="P696"/>
      <c r="Q696"/>
      <c r="R696"/>
    </row>
    <row r="697" spans="2:18" ht="14.6" x14ac:dyDescent="0.4">
      <c r="B697"/>
      <c r="C697"/>
      <c r="D697"/>
      <c r="E697"/>
      <c r="F697"/>
      <c r="G697"/>
      <c r="H697"/>
      <c r="I697"/>
      <c r="J697"/>
      <c r="K697"/>
      <c r="L697"/>
      <c r="M697"/>
      <c r="N697"/>
      <c r="O697"/>
      <c r="P697"/>
      <c r="Q697"/>
      <c r="R697"/>
    </row>
    <row r="698" spans="2:18" ht="14.6" x14ac:dyDescent="0.4">
      <c r="B698"/>
      <c r="C698"/>
      <c r="D698"/>
      <c r="E698"/>
      <c r="F698"/>
      <c r="G698"/>
      <c r="H698"/>
      <c r="I698"/>
      <c r="J698"/>
      <c r="K698"/>
      <c r="L698"/>
      <c r="M698"/>
      <c r="N698"/>
      <c r="O698"/>
      <c r="P698"/>
      <c r="Q698"/>
      <c r="R698"/>
    </row>
    <row r="699" spans="2:18" ht="14.6" x14ac:dyDescent="0.4">
      <c r="B699"/>
      <c r="C699"/>
      <c r="D699"/>
      <c r="E699"/>
      <c r="F699"/>
      <c r="G699"/>
      <c r="H699"/>
      <c r="I699"/>
      <c r="J699"/>
      <c r="K699"/>
      <c r="L699"/>
      <c r="M699"/>
      <c r="N699"/>
      <c r="O699"/>
      <c r="P699"/>
      <c r="Q699"/>
      <c r="R699"/>
    </row>
    <row r="700" spans="2:18" ht="14.6" x14ac:dyDescent="0.4">
      <c r="B700"/>
      <c r="C700"/>
      <c r="D700"/>
      <c r="E700"/>
      <c r="F700"/>
      <c r="G700"/>
      <c r="H700"/>
      <c r="I700"/>
      <c r="J700"/>
      <c r="K700"/>
      <c r="L700"/>
      <c r="M700"/>
      <c r="N700"/>
      <c r="O700"/>
      <c r="P700"/>
      <c r="Q700"/>
      <c r="R700"/>
    </row>
    <row r="701" spans="2:18" ht="14.6" x14ac:dyDescent="0.4">
      <c r="B701"/>
      <c r="C701"/>
      <c r="D701"/>
      <c r="E701"/>
      <c r="F701"/>
      <c r="G701"/>
      <c r="H701"/>
      <c r="I701"/>
      <c r="J701"/>
      <c r="K701"/>
      <c r="L701"/>
      <c r="M701"/>
      <c r="N701"/>
      <c r="O701"/>
      <c r="P701"/>
      <c r="Q701"/>
      <c r="R701"/>
    </row>
    <row r="702" spans="2:18" ht="14.6" x14ac:dyDescent="0.4">
      <c r="B702"/>
      <c r="C702"/>
      <c r="D702"/>
      <c r="E702"/>
      <c r="F702"/>
      <c r="G702"/>
      <c r="H702"/>
      <c r="I702"/>
      <c r="J702"/>
      <c r="K702"/>
      <c r="L702"/>
      <c r="M702"/>
      <c r="N702"/>
      <c r="O702"/>
      <c r="P702"/>
      <c r="Q702"/>
      <c r="R702"/>
    </row>
    <row r="703" spans="2:18" ht="14.6" x14ac:dyDescent="0.4">
      <c r="B703"/>
      <c r="C703"/>
      <c r="D703"/>
      <c r="E703"/>
      <c r="F703"/>
      <c r="G703"/>
      <c r="H703"/>
      <c r="I703"/>
      <c r="J703"/>
      <c r="K703"/>
      <c r="L703"/>
      <c r="M703"/>
      <c r="N703"/>
      <c r="O703"/>
      <c r="P703"/>
      <c r="Q703"/>
      <c r="R703"/>
    </row>
    <row r="704" spans="2:18" ht="14.6" x14ac:dyDescent="0.4">
      <c r="B704"/>
      <c r="C704"/>
      <c r="D704"/>
      <c r="E704"/>
      <c r="F704"/>
      <c r="G704"/>
      <c r="H704"/>
      <c r="I704"/>
      <c r="J704"/>
      <c r="K704"/>
      <c r="L704"/>
      <c r="M704"/>
      <c r="N704"/>
      <c r="O704"/>
      <c r="P704"/>
      <c r="Q704"/>
      <c r="R704"/>
    </row>
    <row r="705" spans="2:18" ht="14.6" x14ac:dyDescent="0.4">
      <c r="B705"/>
      <c r="C705"/>
      <c r="D705"/>
      <c r="E705"/>
      <c r="F705"/>
      <c r="G705"/>
      <c r="H705"/>
      <c r="I705"/>
      <c r="J705"/>
      <c r="K705"/>
      <c r="L705"/>
      <c r="M705"/>
      <c r="N705"/>
      <c r="O705"/>
      <c r="P705"/>
      <c r="Q705"/>
      <c r="R705"/>
    </row>
    <row r="706" spans="2:18" ht="14.6" x14ac:dyDescent="0.4">
      <c r="B706"/>
      <c r="C706"/>
      <c r="D706"/>
      <c r="E706"/>
      <c r="F706"/>
      <c r="G706"/>
      <c r="H706"/>
      <c r="I706"/>
      <c r="J706"/>
      <c r="K706"/>
      <c r="L706"/>
      <c r="M706"/>
      <c r="N706"/>
      <c r="O706"/>
      <c r="P706"/>
      <c r="Q706"/>
      <c r="R706"/>
    </row>
    <row r="707" spans="2:18" ht="14.6" x14ac:dyDescent="0.4">
      <c r="B707"/>
      <c r="C707"/>
      <c r="D707"/>
      <c r="E707"/>
      <c r="F707"/>
      <c r="G707"/>
      <c r="H707"/>
      <c r="I707"/>
      <c r="J707"/>
      <c r="K707"/>
      <c r="L707"/>
      <c r="M707"/>
      <c r="N707"/>
      <c r="O707"/>
      <c r="P707"/>
      <c r="Q707"/>
      <c r="R707"/>
    </row>
    <row r="708" spans="2:18" ht="14.6" x14ac:dyDescent="0.4">
      <c r="B708"/>
      <c r="C708"/>
      <c r="D708"/>
      <c r="E708"/>
      <c r="F708"/>
      <c r="G708"/>
      <c r="H708"/>
      <c r="I708"/>
      <c r="J708"/>
      <c r="K708"/>
      <c r="L708"/>
      <c r="M708"/>
      <c r="N708"/>
      <c r="O708"/>
      <c r="P708"/>
      <c r="Q708"/>
      <c r="R708"/>
    </row>
    <row r="709" spans="2:18" ht="14.6" x14ac:dyDescent="0.4">
      <c r="B709"/>
      <c r="C709"/>
      <c r="D709"/>
      <c r="E709"/>
      <c r="F709"/>
      <c r="G709"/>
      <c r="H709"/>
      <c r="I709"/>
      <c r="J709"/>
      <c r="K709"/>
      <c r="L709"/>
      <c r="M709"/>
      <c r="N709"/>
      <c r="O709"/>
      <c r="P709"/>
      <c r="Q709"/>
      <c r="R709"/>
    </row>
    <row r="710" spans="2:18" ht="14.6" x14ac:dyDescent="0.4">
      <c r="B710"/>
      <c r="C710"/>
      <c r="D710"/>
      <c r="E710"/>
      <c r="F710"/>
      <c r="G710"/>
      <c r="H710"/>
      <c r="I710"/>
      <c r="J710"/>
      <c r="K710"/>
      <c r="L710"/>
      <c r="M710"/>
      <c r="N710"/>
      <c r="O710"/>
      <c r="P710"/>
      <c r="Q710"/>
      <c r="R710"/>
    </row>
    <row r="711" spans="2:18" ht="14.6" x14ac:dyDescent="0.4">
      <c r="B711"/>
      <c r="C711"/>
      <c r="D711"/>
      <c r="E711"/>
      <c r="F711"/>
      <c r="G711"/>
      <c r="H711"/>
      <c r="I711"/>
      <c r="J711"/>
      <c r="K711"/>
      <c r="L711"/>
      <c r="M711"/>
      <c r="N711"/>
      <c r="O711"/>
      <c r="P711"/>
      <c r="Q711"/>
      <c r="R711"/>
    </row>
    <row r="712" spans="2:18" ht="14.6" x14ac:dyDescent="0.4">
      <c r="B712"/>
      <c r="C712"/>
      <c r="D712"/>
      <c r="E712"/>
      <c r="F712"/>
      <c r="G712"/>
      <c r="H712"/>
      <c r="I712"/>
      <c r="J712"/>
      <c r="K712"/>
      <c r="L712"/>
      <c r="M712"/>
      <c r="N712"/>
      <c r="O712"/>
      <c r="P712"/>
      <c r="Q712"/>
      <c r="R712"/>
    </row>
    <row r="713" spans="2:18" ht="14.6" x14ac:dyDescent="0.4">
      <c r="B713"/>
      <c r="C713"/>
      <c r="D713"/>
      <c r="E713"/>
      <c r="F713"/>
      <c r="G713"/>
      <c r="H713"/>
      <c r="I713"/>
      <c r="J713"/>
      <c r="K713"/>
      <c r="L713"/>
      <c r="M713"/>
      <c r="N713"/>
      <c r="O713"/>
      <c r="P713"/>
      <c r="Q713"/>
      <c r="R713"/>
    </row>
    <row r="714" spans="2:18" ht="14.6" x14ac:dyDescent="0.4">
      <c r="B714"/>
      <c r="C714"/>
      <c r="D714"/>
      <c r="E714"/>
      <c r="F714"/>
      <c r="G714"/>
      <c r="H714"/>
      <c r="I714"/>
      <c r="J714"/>
      <c r="K714"/>
      <c r="L714"/>
      <c r="M714"/>
      <c r="N714"/>
      <c r="O714"/>
      <c r="P714"/>
      <c r="Q714"/>
      <c r="R714"/>
    </row>
    <row r="715" spans="2:18" ht="14.6" x14ac:dyDescent="0.4">
      <c r="B715"/>
      <c r="C715"/>
      <c r="D715"/>
      <c r="E715"/>
      <c r="F715"/>
      <c r="G715"/>
      <c r="H715"/>
      <c r="I715"/>
      <c r="J715"/>
      <c r="K715"/>
      <c r="L715"/>
      <c r="M715"/>
      <c r="N715"/>
      <c r="O715"/>
      <c r="P715"/>
      <c r="Q715"/>
      <c r="R715"/>
    </row>
    <row r="716" spans="2:18" ht="14.6" x14ac:dyDescent="0.4">
      <c r="B716"/>
      <c r="C716"/>
      <c r="D716"/>
      <c r="E716"/>
      <c r="F716"/>
      <c r="G716"/>
      <c r="H716"/>
      <c r="I716"/>
      <c r="J716"/>
      <c r="K716"/>
      <c r="L716"/>
      <c r="M716"/>
      <c r="N716"/>
      <c r="O716"/>
      <c r="P716"/>
      <c r="Q716"/>
      <c r="R716"/>
    </row>
    <row r="717" spans="2:18" ht="14.6" x14ac:dyDescent="0.4">
      <c r="B717"/>
      <c r="C717"/>
      <c r="D717"/>
      <c r="E717"/>
      <c r="F717"/>
      <c r="G717"/>
      <c r="H717"/>
      <c r="I717"/>
      <c r="J717"/>
      <c r="K717"/>
      <c r="L717"/>
      <c r="M717"/>
      <c r="N717"/>
      <c r="O717"/>
      <c r="P717"/>
      <c r="Q717"/>
      <c r="R717"/>
    </row>
    <row r="718" spans="2:18" ht="14.6" x14ac:dyDescent="0.4">
      <c r="B718"/>
      <c r="C718"/>
      <c r="D718"/>
      <c r="E718"/>
      <c r="F718"/>
      <c r="G718"/>
      <c r="H718"/>
      <c r="I718"/>
      <c r="J718"/>
      <c r="K718"/>
      <c r="L718"/>
      <c r="M718"/>
      <c r="N718"/>
      <c r="O718"/>
      <c r="P718"/>
      <c r="Q718"/>
      <c r="R718"/>
    </row>
    <row r="719" spans="2:18" ht="14.6" x14ac:dyDescent="0.4">
      <c r="B719"/>
      <c r="C719"/>
      <c r="D719"/>
      <c r="E719"/>
      <c r="F719"/>
      <c r="G719"/>
      <c r="H719"/>
      <c r="I719"/>
      <c r="J719"/>
      <c r="K719"/>
      <c r="L719"/>
      <c r="M719"/>
      <c r="N719"/>
      <c r="O719"/>
      <c r="P719"/>
      <c r="Q719"/>
      <c r="R719"/>
    </row>
    <row r="720" spans="2:18" ht="14.6" x14ac:dyDescent="0.4">
      <c r="B720"/>
      <c r="C720"/>
      <c r="D720"/>
      <c r="E720"/>
      <c r="F720"/>
      <c r="G720"/>
      <c r="H720"/>
      <c r="I720"/>
      <c r="J720"/>
      <c r="K720"/>
      <c r="L720"/>
      <c r="M720"/>
      <c r="N720"/>
      <c r="O720"/>
      <c r="P720"/>
      <c r="Q720"/>
      <c r="R720"/>
    </row>
    <row r="721" spans="2:18" ht="14.6" x14ac:dyDescent="0.4">
      <c r="B721"/>
      <c r="C721"/>
      <c r="D721"/>
      <c r="E721"/>
      <c r="F721"/>
      <c r="G721"/>
      <c r="H721"/>
      <c r="I721"/>
      <c r="J721"/>
      <c r="K721"/>
      <c r="L721"/>
      <c r="M721"/>
      <c r="N721"/>
      <c r="O721"/>
      <c r="P721"/>
      <c r="Q721"/>
      <c r="R721"/>
    </row>
    <row r="722" spans="2:18" ht="14.6" x14ac:dyDescent="0.4">
      <c r="B722"/>
      <c r="C722"/>
      <c r="D722"/>
      <c r="E722"/>
      <c r="F722"/>
      <c r="G722"/>
      <c r="H722"/>
      <c r="I722"/>
      <c r="J722"/>
      <c r="K722"/>
      <c r="L722"/>
      <c r="M722"/>
      <c r="N722"/>
      <c r="O722"/>
      <c r="P722"/>
      <c r="Q722"/>
      <c r="R722"/>
    </row>
    <row r="723" spans="2:18" ht="14.6" x14ac:dyDescent="0.4">
      <c r="B723"/>
      <c r="C723"/>
      <c r="D723"/>
      <c r="E723"/>
      <c r="F723"/>
      <c r="G723"/>
      <c r="H723"/>
      <c r="I723"/>
      <c r="J723"/>
      <c r="K723"/>
      <c r="L723"/>
      <c r="M723"/>
      <c r="N723"/>
      <c r="O723"/>
      <c r="P723"/>
      <c r="Q723"/>
      <c r="R723"/>
    </row>
    <row r="724" spans="2:18" ht="14.6" x14ac:dyDescent="0.4">
      <c r="B724"/>
      <c r="C724"/>
      <c r="D724"/>
      <c r="E724"/>
      <c r="F724"/>
      <c r="G724"/>
      <c r="H724"/>
      <c r="I724"/>
      <c r="J724"/>
      <c r="K724"/>
      <c r="L724"/>
      <c r="M724"/>
      <c r="N724"/>
      <c r="O724"/>
      <c r="P724"/>
      <c r="Q724"/>
      <c r="R724"/>
    </row>
    <row r="725" spans="2:18" ht="14.6" x14ac:dyDescent="0.4">
      <c r="B725"/>
      <c r="C725"/>
      <c r="D725"/>
      <c r="E725"/>
      <c r="F725"/>
      <c r="G725"/>
      <c r="H725"/>
      <c r="I725"/>
      <c r="J725"/>
      <c r="K725"/>
      <c r="L725"/>
      <c r="M725"/>
      <c r="N725"/>
      <c r="O725"/>
      <c r="P725"/>
      <c r="Q725"/>
      <c r="R725"/>
    </row>
    <row r="726" spans="2:18" ht="14.6" x14ac:dyDescent="0.4">
      <c r="B726"/>
      <c r="C726"/>
      <c r="D726"/>
      <c r="E726"/>
      <c r="F726"/>
      <c r="G726"/>
      <c r="H726"/>
      <c r="I726"/>
      <c r="J726"/>
      <c r="K726"/>
      <c r="L726"/>
      <c r="M726"/>
      <c r="N726"/>
      <c r="O726"/>
      <c r="P726"/>
      <c r="Q726"/>
      <c r="R726"/>
    </row>
    <row r="727" spans="2:18" ht="14.6" x14ac:dyDescent="0.4">
      <c r="B727"/>
      <c r="C727"/>
      <c r="D727"/>
      <c r="E727"/>
      <c r="F727"/>
      <c r="G727"/>
      <c r="H727"/>
      <c r="I727"/>
      <c r="J727"/>
      <c r="K727"/>
      <c r="L727"/>
      <c r="M727"/>
      <c r="N727"/>
      <c r="O727"/>
      <c r="P727"/>
      <c r="Q727"/>
      <c r="R727"/>
    </row>
    <row r="728" spans="2:18" ht="14.6" x14ac:dyDescent="0.4">
      <c r="B728"/>
      <c r="C728"/>
      <c r="D728"/>
      <c r="E728"/>
      <c r="F728"/>
      <c r="G728"/>
      <c r="H728"/>
      <c r="I728"/>
      <c r="J728"/>
      <c r="K728"/>
      <c r="L728"/>
      <c r="M728"/>
      <c r="N728"/>
      <c r="O728"/>
      <c r="P728"/>
      <c r="Q728"/>
      <c r="R728"/>
    </row>
    <row r="729" spans="2:18" ht="14.6" x14ac:dyDescent="0.4">
      <c r="B729"/>
      <c r="C729"/>
      <c r="D729"/>
      <c r="E729"/>
      <c r="F729"/>
      <c r="G729"/>
      <c r="H729"/>
      <c r="I729"/>
      <c r="J729"/>
      <c r="K729"/>
      <c r="L729"/>
      <c r="M729"/>
      <c r="N729"/>
      <c r="O729"/>
      <c r="P729"/>
      <c r="Q729"/>
      <c r="R729"/>
    </row>
    <row r="730" spans="2:18" ht="14.6" x14ac:dyDescent="0.4">
      <c r="B730"/>
      <c r="C730"/>
      <c r="D730"/>
      <c r="E730"/>
      <c r="F730"/>
      <c r="G730"/>
      <c r="H730"/>
      <c r="I730"/>
      <c r="J730"/>
      <c r="K730"/>
      <c r="L730"/>
      <c r="M730"/>
      <c r="N730"/>
      <c r="O730"/>
      <c r="P730"/>
      <c r="Q730"/>
      <c r="R730"/>
    </row>
    <row r="731" spans="2:18" ht="14.6" x14ac:dyDescent="0.4">
      <c r="B731"/>
      <c r="C731"/>
      <c r="D731"/>
      <c r="E731"/>
      <c r="F731"/>
      <c r="G731"/>
      <c r="H731"/>
      <c r="I731"/>
      <c r="J731"/>
      <c r="K731"/>
      <c r="L731"/>
      <c r="M731"/>
      <c r="N731"/>
      <c r="O731"/>
      <c r="P731"/>
      <c r="Q731"/>
      <c r="R731"/>
    </row>
    <row r="732" spans="2:18" ht="14.6" x14ac:dyDescent="0.4">
      <c r="B732"/>
      <c r="C732"/>
      <c r="D732"/>
      <c r="E732"/>
      <c r="F732"/>
      <c r="G732"/>
      <c r="H732"/>
      <c r="I732"/>
      <c r="J732"/>
      <c r="K732"/>
      <c r="L732"/>
      <c r="M732"/>
      <c r="N732"/>
      <c r="O732"/>
      <c r="P732"/>
      <c r="Q732"/>
      <c r="R732"/>
    </row>
    <row r="733" spans="2:18" ht="14.6" x14ac:dyDescent="0.4">
      <c r="B733"/>
      <c r="C733"/>
      <c r="D733"/>
      <c r="E733"/>
      <c r="F733"/>
      <c r="G733"/>
      <c r="H733"/>
      <c r="I733"/>
      <c r="J733"/>
      <c r="K733"/>
      <c r="L733"/>
      <c r="M733"/>
      <c r="N733"/>
      <c r="O733"/>
      <c r="P733"/>
      <c r="Q733"/>
      <c r="R733"/>
    </row>
    <row r="734" spans="2:18" ht="14.6" x14ac:dyDescent="0.4">
      <c r="B734"/>
      <c r="C734"/>
      <c r="D734"/>
      <c r="E734"/>
      <c r="F734"/>
      <c r="G734"/>
      <c r="H734"/>
      <c r="I734"/>
      <c r="J734"/>
      <c r="K734"/>
      <c r="L734"/>
      <c r="M734"/>
      <c r="N734"/>
      <c r="O734"/>
      <c r="P734"/>
      <c r="Q734"/>
      <c r="R734"/>
    </row>
    <row r="735" spans="2:18" ht="14.6" x14ac:dyDescent="0.4">
      <c r="B735"/>
      <c r="C735"/>
      <c r="D735"/>
      <c r="E735"/>
      <c r="F735"/>
      <c r="G735"/>
      <c r="H735"/>
      <c r="I735"/>
      <c r="J735"/>
      <c r="K735"/>
      <c r="L735"/>
      <c r="M735"/>
      <c r="N735"/>
      <c r="O735"/>
      <c r="P735"/>
      <c r="Q735"/>
      <c r="R735"/>
    </row>
    <row r="736" spans="2:18" ht="14.6" x14ac:dyDescent="0.4">
      <c r="B736"/>
      <c r="C736"/>
      <c r="D736"/>
      <c r="E736"/>
      <c r="F736"/>
      <c r="G736"/>
      <c r="H736"/>
      <c r="I736"/>
      <c r="J736"/>
      <c r="K736"/>
      <c r="L736"/>
      <c r="M736"/>
      <c r="N736"/>
      <c r="O736"/>
      <c r="P736"/>
      <c r="Q736"/>
      <c r="R736"/>
    </row>
    <row r="737" spans="2:18" ht="14.6" x14ac:dyDescent="0.4">
      <c r="B737"/>
      <c r="C737"/>
      <c r="D737"/>
      <c r="E737"/>
      <c r="F737"/>
      <c r="G737"/>
      <c r="H737"/>
      <c r="I737"/>
      <c r="J737"/>
      <c r="K737"/>
      <c r="L737"/>
      <c r="M737"/>
      <c r="N737"/>
      <c r="O737"/>
      <c r="P737"/>
      <c r="Q737"/>
      <c r="R737"/>
    </row>
    <row r="738" spans="2:18" ht="14.6" x14ac:dyDescent="0.4">
      <c r="B738"/>
      <c r="C738"/>
      <c r="D738"/>
      <c r="E738"/>
      <c r="F738"/>
      <c r="G738"/>
      <c r="H738"/>
      <c r="I738"/>
      <c r="J738"/>
      <c r="K738"/>
      <c r="L738"/>
      <c r="M738"/>
      <c r="N738"/>
      <c r="O738"/>
      <c r="P738"/>
      <c r="Q738"/>
      <c r="R738"/>
    </row>
    <row r="739" spans="2:18" ht="14.6" x14ac:dyDescent="0.4">
      <c r="B739"/>
      <c r="C739"/>
      <c r="D739"/>
      <c r="E739"/>
      <c r="F739"/>
      <c r="G739"/>
      <c r="H739"/>
      <c r="I739"/>
      <c r="J739"/>
      <c r="K739"/>
      <c r="L739"/>
      <c r="M739"/>
      <c r="N739"/>
      <c r="O739"/>
      <c r="P739"/>
      <c r="Q739"/>
      <c r="R739"/>
    </row>
    <row r="740" spans="2:18" ht="14.6" x14ac:dyDescent="0.4">
      <c r="B740"/>
      <c r="C740"/>
      <c r="D740"/>
      <c r="E740"/>
      <c r="F740"/>
      <c r="G740"/>
      <c r="H740"/>
      <c r="I740"/>
      <c r="J740"/>
      <c r="K740"/>
      <c r="L740"/>
      <c r="M740"/>
      <c r="N740"/>
      <c r="O740"/>
      <c r="P740"/>
      <c r="Q740"/>
      <c r="R740"/>
    </row>
    <row r="741" spans="2:18" ht="14.6" x14ac:dyDescent="0.4">
      <c r="B741"/>
      <c r="C741"/>
      <c r="D741"/>
      <c r="E741"/>
      <c r="F741"/>
      <c r="G741"/>
      <c r="H741"/>
      <c r="I741"/>
      <c r="J741"/>
      <c r="K741"/>
      <c r="L741"/>
      <c r="M741"/>
      <c r="N741"/>
      <c r="O741"/>
      <c r="P741"/>
      <c r="Q741"/>
      <c r="R741"/>
    </row>
    <row r="742" spans="2:18" ht="14.6" x14ac:dyDescent="0.4">
      <c r="B742"/>
      <c r="C742"/>
      <c r="D742"/>
      <c r="E742"/>
      <c r="F742"/>
      <c r="G742"/>
      <c r="H742"/>
      <c r="I742"/>
      <c r="J742"/>
      <c r="K742"/>
      <c r="L742"/>
      <c r="M742"/>
      <c r="N742"/>
      <c r="O742"/>
      <c r="P742"/>
      <c r="Q742"/>
      <c r="R742"/>
    </row>
    <row r="743" spans="2:18" ht="14.6" x14ac:dyDescent="0.4">
      <c r="B743"/>
      <c r="C743"/>
      <c r="D743"/>
      <c r="E743"/>
      <c r="F743"/>
      <c r="G743"/>
      <c r="H743"/>
      <c r="I743"/>
      <c r="J743"/>
      <c r="K743"/>
      <c r="L743"/>
      <c r="M743"/>
      <c r="N743"/>
      <c r="O743"/>
      <c r="P743"/>
      <c r="Q743"/>
      <c r="R743"/>
    </row>
    <row r="744" spans="2:18" ht="14.6" x14ac:dyDescent="0.4">
      <c r="B744"/>
      <c r="C744"/>
      <c r="D744"/>
      <c r="E744"/>
      <c r="F744"/>
      <c r="G744"/>
      <c r="H744"/>
      <c r="I744"/>
      <c r="J744"/>
      <c r="K744"/>
      <c r="L744"/>
      <c r="M744"/>
      <c r="N744"/>
      <c r="O744"/>
      <c r="P744"/>
      <c r="Q744"/>
      <c r="R744"/>
    </row>
    <row r="745" spans="2:18" ht="14.6" x14ac:dyDescent="0.4">
      <c r="B745"/>
      <c r="C745"/>
      <c r="D745"/>
      <c r="E745"/>
      <c r="F745"/>
      <c r="G745"/>
      <c r="H745"/>
      <c r="I745"/>
      <c r="J745"/>
      <c r="K745"/>
      <c r="L745"/>
      <c r="M745"/>
      <c r="N745"/>
      <c r="O745"/>
      <c r="P745"/>
      <c r="Q745"/>
      <c r="R745"/>
    </row>
    <row r="746" spans="2:18" ht="14.6" x14ac:dyDescent="0.4">
      <c r="B746"/>
      <c r="C746"/>
      <c r="D746"/>
      <c r="E746"/>
      <c r="F746"/>
      <c r="G746"/>
      <c r="H746"/>
      <c r="I746"/>
      <c r="J746"/>
      <c r="K746"/>
      <c r="L746"/>
      <c r="M746"/>
      <c r="N746"/>
      <c r="O746"/>
      <c r="P746"/>
      <c r="Q746"/>
      <c r="R746"/>
    </row>
    <row r="747" spans="2:18" ht="14.6" x14ac:dyDescent="0.4">
      <c r="B747"/>
      <c r="C747"/>
      <c r="D747"/>
      <c r="E747"/>
      <c r="F747"/>
      <c r="G747"/>
      <c r="H747"/>
      <c r="I747"/>
      <c r="J747"/>
      <c r="K747"/>
      <c r="L747"/>
      <c r="M747"/>
      <c r="N747"/>
      <c r="O747"/>
      <c r="P747"/>
      <c r="Q747"/>
      <c r="R747"/>
    </row>
    <row r="748" spans="2:18" ht="14.6" x14ac:dyDescent="0.4">
      <c r="B748"/>
      <c r="C748"/>
      <c r="D748"/>
      <c r="E748"/>
      <c r="F748"/>
      <c r="G748"/>
      <c r="H748"/>
      <c r="I748"/>
      <c r="J748"/>
      <c r="K748"/>
      <c r="L748"/>
      <c r="M748"/>
      <c r="N748"/>
      <c r="O748"/>
      <c r="P748"/>
      <c r="Q748"/>
      <c r="R748"/>
    </row>
    <row r="749" spans="2:18" ht="14.6" x14ac:dyDescent="0.4">
      <c r="B749"/>
      <c r="C749"/>
      <c r="D749"/>
      <c r="E749"/>
      <c r="F749"/>
      <c r="G749"/>
      <c r="H749"/>
      <c r="I749"/>
      <c r="J749"/>
      <c r="K749"/>
      <c r="L749"/>
      <c r="M749"/>
      <c r="N749"/>
      <c r="O749"/>
      <c r="P749"/>
      <c r="Q749"/>
      <c r="R749"/>
    </row>
    <row r="750" spans="2:18" ht="14.6" x14ac:dyDescent="0.4">
      <c r="B750"/>
      <c r="C750"/>
      <c r="D750"/>
      <c r="E750"/>
      <c r="F750"/>
      <c r="G750"/>
      <c r="H750"/>
      <c r="I750"/>
      <c r="J750"/>
      <c r="K750"/>
      <c r="L750"/>
      <c r="M750"/>
      <c r="N750"/>
      <c r="O750"/>
      <c r="P750"/>
      <c r="Q750"/>
      <c r="R750"/>
    </row>
    <row r="751" spans="2:18" ht="14.6" x14ac:dyDescent="0.4">
      <c r="B751"/>
      <c r="C751"/>
      <c r="D751"/>
      <c r="E751"/>
      <c r="F751"/>
      <c r="G751"/>
      <c r="H751"/>
      <c r="I751"/>
      <c r="J751"/>
      <c r="K751"/>
      <c r="L751"/>
      <c r="M751"/>
      <c r="N751"/>
      <c r="O751"/>
      <c r="P751"/>
      <c r="Q751"/>
      <c r="R751"/>
    </row>
    <row r="752" spans="2:18" ht="14.6" x14ac:dyDescent="0.4">
      <c r="B752"/>
      <c r="C752"/>
      <c r="D752"/>
      <c r="E752"/>
      <c r="F752"/>
      <c r="G752"/>
      <c r="H752"/>
      <c r="I752"/>
      <c r="J752"/>
      <c r="K752"/>
      <c r="L752"/>
      <c r="M752"/>
      <c r="N752"/>
      <c r="O752"/>
      <c r="P752"/>
      <c r="Q752"/>
      <c r="R752"/>
    </row>
    <row r="753" spans="2:18" ht="14.6" x14ac:dyDescent="0.4">
      <c r="B753"/>
      <c r="C753"/>
      <c r="D753"/>
      <c r="E753"/>
      <c r="F753"/>
      <c r="G753"/>
      <c r="H753"/>
      <c r="I753"/>
      <c r="J753"/>
      <c r="K753"/>
      <c r="L753"/>
      <c r="M753"/>
      <c r="N753"/>
      <c r="O753"/>
      <c r="P753"/>
      <c r="Q753"/>
      <c r="R753"/>
    </row>
    <row r="754" spans="2:18" ht="14.6" x14ac:dyDescent="0.4">
      <c r="B754"/>
      <c r="C754"/>
      <c r="D754"/>
      <c r="E754"/>
      <c r="F754"/>
      <c r="G754"/>
      <c r="H754"/>
      <c r="I754"/>
      <c r="J754"/>
      <c r="K754"/>
      <c r="L754"/>
      <c r="M754"/>
      <c r="N754"/>
      <c r="O754"/>
      <c r="P754"/>
      <c r="Q754"/>
      <c r="R754"/>
    </row>
    <row r="755" spans="2:18" ht="14.6" x14ac:dyDescent="0.4">
      <c r="B755"/>
      <c r="C755"/>
      <c r="D755"/>
      <c r="E755"/>
      <c r="F755"/>
      <c r="G755"/>
      <c r="H755"/>
      <c r="I755"/>
      <c r="J755"/>
      <c r="K755"/>
      <c r="L755"/>
      <c r="M755"/>
      <c r="N755"/>
      <c r="O755"/>
      <c r="P755"/>
      <c r="Q755"/>
      <c r="R755"/>
    </row>
    <row r="756" spans="2:18" ht="14.6" x14ac:dyDescent="0.4">
      <c r="B756"/>
      <c r="C756"/>
      <c r="D756"/>
      <c r="E756"/>
      <c r="F756"/>
      <c r="G756"/>
      <c r="H756"/>
      <c r="I756"/>
      <c r="J756"/>
      <c r="K756"/>
      <c r="L756"/>
      <c r="M756"/>
      <c r="N756"/>
      <c r="O756"/>
      <c r="P756"/>
      <c r="Q756"/>
      <c r="R756"/>
    </row>
    <row r="757" spans="2:18" ht="14.6" x14ac:dyDescent="0.4">
      <c r="B757"/>
      <c r="C757"/>
      <c r="D757"/>
      <c r="E757"/>
      <c r="F757"/>
      <c r="G757"/>
      <c r="H757"/>
      <c r="I757"/>
      <c r="J757"/>
      <c r="K757"/>
      <c r="L757"/>
      <c r="M757"/>
      <c r="N757"/>
      <c r="O757"/>
      <c r="P757"/>
      <c r="Q757"/>
      <c r="R757"/>
    </row>
    <row r="758" spans="2:18" ht="14.6" x14ac:dyDescent="0.4">
      <c r="B758"/>
      <c r="C758"/>
      <c r="D758"/>
      <c r="E758"/>
      <c r="F758"/>
      <c r="G758"/>
      <c r="H758"/>
      <c r="I758"/>
      <c r="J758"/>
      <c r="K758"/>
      <c r="L758"/>
      <c r="M758"/>
      <c r="N758"/>
      <c r="O758"/>
      <c r="P758"/>
      <c r="Q758"/>
      <c r="R758"/>
    </row>
    <row r="759" spans="2:18" ht="14.6" x14ac:dyDescent="0.4">
      <c r="B759"/>
      <c r="C759"/>
      <c r="D759"/>
      <c r="E759"/>
      <c r="F759"/>
      <c r="G759"/>
      <c r="H759"/>
      <c r="I759"/>
      <c r="J759"/>
      <c r="K759"/>
      <c r="L759"/>
      <c r="M759"/>
      <c r="N759"/>
      <c r="O759"/>
      <c r="P759"/>
      <c r="Q759"/>
      <c r="R759"/>
    </row>
    <row r="760" spans="2:18" ht="14.6" x14ac:dyDescent="0.4">
      <c r="B760"/>
      <c r="C760"/>
      <c r="D760"/>
      <c r="E760"/>
      <c r="F760"/>
      <c r="G760"/>
      <c r="H760"/>
      <c r="I760"/>
      <c r="J760"/>
      <c r="K760"/>
      <c r="L760"/>
      <c r="M760"/>
      <c r="N760"/>
      <c r="O760"/>
      <c r="P760"/>
      <c r="Q760"/>
      <c r="R760"/>
    </row>
    <row r="761" spans="2:18" ht="14.6" x14ac:dyDescent="0.4">
      <c r="B761"/>
      <c r="C761"/>
      <c r="D761"/>
      <c r="E761"/>
      <c r="F761"/>
      <c r="G761"/>
      <c r="H761"/>
      <c r="I761"/>
      <c r="J761"/>
      <c r="K761"/>
      <c r="L761"/>
      <c r="M761"/>
      <c r="N761"/>
      <c r="O761"/>
      <c r="P761"/>
      <c r="Q761"/>
      <c r="R761"/>
    </row>
    <row r="762" spans="2:18" ht="14.6" x14ac:dyDescent="0.4">
      <c r="B762"/>
      <c r="C762"/>
      <c r="D762"/>
      <c r="E762"/>
      <c r="F762"/>
      <c r="G762"/>
      <c r="H762"/>
      <c r="I762"/>
      <c r="J762"/>
      <c r="K762"/>
      <c r="L762"/>
      <c r="M762"/>
      <c r="N762"/>
      <c r="O762"/>
      <c r="P762"/>
      <c r="Q762"/>
      <c r="R762"/>
    </row>
    <row r="763" spans="2:18" ht="14.6" x14ac:dyDescent="0.4">
      <c r="B763"/>
      <c r="C763"/>
      <c r="D763"/>
      <c r="E763"/>
      <c r="F763"/>
      <c r="G763"/>
      <c r="H763"/>
      <c r="I763"/>
      <c r="J763"/>
      <c r="K763"/>
      <c r="L763"/>
      <c r="M763"/>
      <c r="N763"/>
      <c r="O763"/>
      <c r="P763"/>
      <c r="Q763"/>
      <c r="R763"/>
    </row>
    <row r="764" spans="2:18" ht="14.6" x14ac:dyDescent="0.4">
      <c r="B764"/>
      <c r="C764"/>
      <c r="D764"/>
      <c r="E764"/>
      <c r="F764"/>
      <c r="G764"/>
      <c r="H764"/>
      <c r="I764"/>
      <c r="J764"/>
      <c r="K764"/>
      <c r="L764"/>
      <c r="M764"/>
      <c r="N764"/>
      <c r="O764"/>
      <c r="P764"/>
      <c r="Q764"/>
      <c r="R764"/>
    </row>
    <row r="765" spans="2:18" ht="14.6" x14ac:dyDescent="0.4">
      <c r="B765"/>
      <c r="C765"/>
      <c r="D765"/>
      <c r="E765"/>
      <c r="F765"/>
      <c r="G765"/>
      <c r="H765"/>
      <c r="I765"/>
      <c r="J765"/>
      <c r="K765"/>
      <c r="L765"/>
      <c r="M765"/>
      <c r="N765"/>
      <c r="O765"/>
      <c r="P765"/>
      <c r="Q765"/>
      <c r="R765"/>
    </row>
    <row r="766" spans="2:18" ht="14.6" x14ac:dyDescent="0.4">
      <c r="B766"/>
      <c r="C766"/>
      <c r="D766"/>
      <c r="E766"/>
      <c r="F766"/>
      <c r="G766"/>
      <c r="H766"/>
      <c r="I766"/>
      <c r="J766"/>
      <c r="K766"/>
      <c r="L766"/>
      <c r="M766"/>
      <c r="N766"/>
      <c r="O766"/>
      <c r="P766"/>
      <c r="Q766"/>
      <c r="R766"/>
    </row>
    <row r="767" spans="2:18" ht="14.6" x14ac:dyDescent="0.4">
      <c r="B767"/>
      <c r="C767"/>
      <c r="D767"/>
      <c r="E767"/>
      <c r="F767"/>
      <c r="G767"/>
      <c r="H767"/>
      <c r="I767"/>
      <c r="J767"/>
      <c r="K767"/>
      <c r="L767"/>
      <c r="M767"/>
      <c r="N767"/>
      <c r="O767"/>
      <c r="P767"/>
      <c r="Q767"/>
      <c r="R767"/>
    </row>
    <row r="768" spans="2:18" ht="14.6" x14ac:dyDescent="0.4">
      <c r="B768"/>
      <c r="C768"/>
      <c r="D768"/>
      <c r="E768"/>
      <c r="F768"/>
      <c r="G768"/>
      <c r="H768"/>
      <c r="I768"/>
      <c r="J768"/>
      <c r="K768"/>
      <c r="L768"/>
      <c r="M768"/>
      <c r="N768"/>
      <c r="O768"/>
      <c r="P768"/>
      <c r="Q768"/>
      <c r="R768"/>
    </row>
    <row r="769" spans="2:18" ht="14.6" x14ac:dyDescent="0.4">
      <c r="B769"/>
      <c r="C769"/>
      <c r="D769"/>
      <c r="E769"/>
      <c r="F769"/>
      <c r="G769"/>
      <c r="H769"/>
      <c r="I769"/>
      <c r="J769"/>
      <c r="K769"/>
      <c r="L769"/>
      <c r="M769"/>
      <c r="N769"/>
      <c r="O769"/>
      <c r="P769"/>
      <c r="Q769"/>
      <c r="R769"/>
    </row>
    <row r="770" spans="2:18" ht="14.6" x14ac:dyDescent="0.4">
      <c r="B770"/>
      <c r="C770"/>
      <c r="D770"/>
      <c r="E770"/>
      <c r="F770"/>
      <c r="G770"/>
      <c r="H770"/>
      <c r="I770"/>
      <c r="J770"/>
      <c r="K770"/>
      <c r="L770"/>
      <c r="M770"/>
      <c r="N770"/>
      <c r="O770"/>
      <c r="P770"/>
      <c r="Q770"/>
      <c r="R770"/>
    </row>
    <row r="771" spans="2:18" ht="14.6" x14ac:dyDescent="0.4">
      <c r="B771"/>
      <c r="C771"/>
      <c r="D771"/>
      <c r="E771"/>
      <c r="F771"/>
      <c r="G771"/>
      <c r="H771"/>
      <c r="I771"/>
      <c r="J771"/>
      <c r="K771"/>
      <c r="L771"/>
      <c r="M771"/>
      <c r="N771"/>
      <c r="O771"/>
      <c r="P771"/>
      <c r="Q771"/>
      <c r="R771"/>
    </row>
    <row r="772" spans="2:18" ht="14.6" x14ac:dyDescent="0.4">
      <c r="B772"/>
      <c r="C772"/>
      <c r="D772"/>
      <c r="E772"/>
      <c r="F772"/>
      <c r="G772"/>
      <c r="H772"/>
      <c r="I772"/>
      <c r="J772"/>
      <c r="K772"/>
      <c r="L772"/>
      <c r="M772"/>
      <c r="N772"/>
      <c r="O772"/>
      <c r="P772"/>
      <c r="Q772"/>
      <c r="R772"/>
    </row>
    <row r="773" spans="2:18" ht="14.6" x14ac:dyDescent="0.4">
      <c r="B773"/>
      <c r="C773"/>
      <c r="D773"/>
      <c r="E773"/>
      <c r="F773"/>
      <c r="G773"/>
      <c r="H773"/>
      <c r="I773"/>
      <c r="J773"/>
      <c r="K773"/>
      <c r="L773"/>
      <c r="M773"/>
      <c r="N773"/>
      <c r="O773"/>
      <c r="P773"/>
      <c r="Q773"/>
      <c r="R773"/>
    </row>
    <row r="774" spans="2:18" ht="14.6" x14ac:dyDescent="0.4">
      <c r="B774"/>
      <c r="C774"/>
      <c r="D774"/>
      <c r="E774"/>
      <c r="F774"/>
      <c r="G774"/>
      <c r="H774"/>
      <c r="I774"/>
      <c r="J774"/>
      <c r="K774"/>
      <c r="L774"/>
      <c r="M774"/>
      <c r="N774"/>
      <c r="O774"/>
      <c r="P774"/>
      <c r="Q774"/>
      <c r="R774"/>
    </row>
    <row r="775" spans="2:18" ht="14.6" x14ac:dyDescent="0.4">
      <c r="B775"/>
      <c r="C775"/>
      <c r="D775"/>
      <c r="E775"/>
      <c r="F775"/>
      <c r="G775"/>
      <c r="H775"/>
      <c r="I775"/>
      <c r="J775"/>
      <c r="K775"/>
      <c r="L775"/>
      <c r="M775"/>
      <c r="N775"/>
      <c r="O775"/>
      <c r="P775"/>
      <c r="Q775"/>
      <c r="R775"/>
    </row>
    <row r="776" spans="2:18" ht="14.6" x14ac:dyDescent="0.4">
      <c r="B776"/>
      <c r="C776"/>
      <c r="D776"/>
      <c r="E776"/>
      <c r="F776"/>
      <c r="G776"/>
      <c r="H776"/>
      <c r="I776"/>
      <c r="J776"/>
      <c r="K776"/>
      <c r="L776"/>
      <c r="M776"/>
      <c r="N776"/>
      <c r="O776"/>
      <c r="P776"/>
      <c r="Q776"/>
      <c r="R776"/>
    </row>
    <row r="777" spans="2:18" ht="14.6" x14ac:dyDescent="0.4">
      <c r="B777"/>
      <c r="C777"/>
      <c r="D777"/>
      <c r="E777"/>
      <c r="F777"/>
      <c r="G777"/>
      <c r="H777"/>
      <c r="I777"/>
      <c r="J777"/>
      <c r="K777"/>
      <c r="L777"/>
      <c r="M777"/>
      <c r="N777"/>
      <c r="O777"/>
      <c r="P777"/>
      <c r="Q777"/>
      <c r="R777"/>
    </row>
    <row r="778" spans="2:18" ht="14.6" x14ac:dyDescent="0.4">
      <c r="B778"/>
      <c r="C778"/>
      <c r="D778"/>
      <c r="E778"/>
      <c r="F778"/>
      <c r="G778"/>
      <c r="H778"/>
      <c r="I778"/>
      <c r="J778"/>
      <c r="K778"/>
      <c r="L778"/>
      <c r="M778"/>
      <c r="N778"/>
      <c r="O778"/>
      <c r="P778"/>
      <c r="Q778"/>
      <c r="R778"/>
    </row>
    <row r="779" spans="2:18" ht="14.6" x14ac:dyDescent="0.4">
      <c r="B779"/>
      <c r="C779"/>
      <c r="D779"/>
      <c r="E779"/>
      <c r="F779"/>
      <c r="G779"/>
      <c r="H779"/>
      <c r="I779"/>
      <c r="J779"/>
      <c r="K779"/>
      <c r="L779"/>
      <c r="M779"/>
      <c r="N779"/>
      <c r="O779"/>
      <c r="P779"/>
      <c r="Q779"/>
      <c r="R779"/>
    </row>
    <row r="780" spans="2:18" ht="14.6" x14ac:dyDescent="0.4">
      <c r="B780"/>
      <c r="C780"/>
      <c r="D780"/>
      <c r="E780"/>
      <c r="F780"/>
      <c r="G780"/>
      <c r="H780"/>
      <c r="I780"/>
      <c r="J780"/>
      <c r="K780"/>
      <c r="L780"/>
      <c r="M780"/>
      <c r="N780"/>
      <c r="O780"/>
      <c r="P780"/>
      <c r="Q780"/>
      <c r="R780"/>
    </row>
    <row r="781" spans="2:18" ht="14.6" x14ac:dyDescent="0.4">
      <c r="B781"/>
      <c r="C781"/>
      <c r="D781"/>
      <c r="E781"/>
      <c r="F781"/>
      <c r="G781"/>
      <c r="H781"/>
      <c r="I781"/>
      <c r="J781"/>
      <c r="K781"/>
      <c r="L781"/>
      <c r="M781"/>
      <c r="N781"/>
      <c r="O781"/>
      <c r="P781"/>
      <c r="Q781"/>
      <c r="R781"/>
    </row>
    <row r="782" spans="2:18" ht="14.6" x14ac:dyDescent="0.4">
      <c r="B782"/>
      <c r="C782"/>
      <c r="D782"/>
      <c r="E782"/>
      <c r="F782"/>
      <c r="G782"/>
      <c r="H782"/>
      <c r="I782"/>
      <c r="J782"/>
      <c r="K782"/>
      <c r="L782"/>
      <c r="M782"/>
      <c r="N782"/>
      <c r="O782"/>
      <c r="P782"/>
      <c r="Q782"/>
      <c r="R782"/>
    </row>
    <row r="783" spans="2:18" ht="14.6" x14ac:dyDescent="0.4">
      <c r="B783"/>
      <c r="C783"/>
      <c r="D783"/>
      <c r="E783"/>
      <c r="F783"/>
      <c r="G783"/>
      <c r="H783"/>
      <c r="I783"/>
      <c r="J783"/>
      <c r="K783"/>
      <c r="L783"/>
      <c r="M783"/>
      <c r="N783"/>
      <c r="O783"/>
      <c r="P783"/>
      <c r="Q783"/>
      <c r="R783"/>
    </row>
    <row r="784" spans="2:18" ht="14.6" x14ac:dyDescent="0.4">
      <c r="B784"/>
      <c r="C784"/>
      <c r="D784"/>
      <c r="E784"/>
      <c r="F784"/>
      <c r="G784"/>
      <c r="H784"/>
      <c r="I784"/>
      <c r="J784"/>
      <c r="K784"/>
      <c r="L784"/>
      <c r="M784"/>
      <c r="N784"/>
      <c r="O784"/>
      <c r="P784"/>
      <c r="Q784"/>
      <c r="R784"/>
    </row>
    <row r="785" spans="2:18" ht="14.6" x14ac:dyDescent="0.4">
      <c r="B785"/>
      <c r="C785"/>
      <c r="D785"/>
      <c r="E785"/>
      <c r="F785"/>
      <c r="G785"/>
      <c r="H785"/>
      <c r="I785"/>
      <c r="J785"/>
      <c r="K785"/>
      <c r="L785"/>
      <c r="M785"/>
      <c r="N785"/>
      <c r="O785"/>
      <c r="P785"/>
      <c r="Q785"/>
      <c r="R785"/>
    </row>
    <row r="786" spans="2:18" ht="14.6" x14ac:dyDescent="0.4">
      <c r="B786"/>
      <c r="C786"/>
      <c r="D786"/>
      <c r="E786"/>
      <c r="F786"/>
      <c r="G786"/>
      <c r="H786"/>
      <c r="I786"/>
      <c r="J786"/>
      <c r="K786"/>
      <c r="L786"/>
      <c r="M786"/>
      <c r="N786"/>
      <c r="O786"/>
      <c r="P786"/>
      <c r="Q786"/>
      <c r="R786"/>
    </row>
    <row r="787" spans="2:18" ht="14.6" x14ac:dyDescent="0.4">
      <c r="B787"/>
      <c r="C787"/>
      <c r="D787"/>
      <c r="E787"/>
      <c r="F787"/>
      <c r="G787"/>
      <c r="H787"/>
      <c r="I787"/>
      <c r="J787"/>
      <c r="K787"/>
      <c r="L787"/>
      <c r="M787"/>
      <c r="N787"/>
      <c r="O787"/>
      <c r="P787"/>
      <c r="Q787"/>
      <c r="R787"/>
    </row>
    <row r="788" spans="2:18" ht="14.6" x14ac:dyDescent="0.4">
      <c r="B788"/>
      <c r="C788"/>
      <c r="D788"/>
      <c r="E788"/>
      <c r="F788"/>
      <c r="G788"/>
      <c r="H788"/>
      <c r="I788"/>
      <c r="J788"/>
      <c r="K788"/>
      <c r="L788"/>
      <c r="M788"/>
      <c r="N788"/>
      <c r="O788"/>
      <c r="P788"/>
      <c r="Q788"/>
      <c r="R788"/>
    </row>
    <row r="789" spans="2:18" ht="14.6" x14ac:dyDescent="0.4">
      <c r="B789"/>
      <c r="C789"/>
      <c r="D789"/>
      <c r="E789"/>
      <c r="F789"/>
      <c r="G789"/>
      <c r="H789"/>
      <c r="I789"/>
      <c r="J789"/>
      <c r="K789"/>
      <c r="L789"/>
      <c r="M789"/>
      <c r="N789"/>
      <c r="O789"/>
      <c r="P789"/>
      <c r="Q789"/>
      <c r="R789"/>
    </row>
    <row r="790" spans="2:18" ht="14.6" x14ac:dyDescent="0.4">
      <c r="B790"/>
      <c r="C790"/>
      <c r="D790"/>
      <c r="E790"/>
      <c r="F790"/>
      <c r="G790"/>
      <c r="H790"/>
      <c r="I790"/>
      <c r="J790"/>
      <c r="K790"/>
      <c r="L790"/>
      <c r="M790"/>
      <c r="N790"/>
      <c r="O790"/>
      <c r="P790"/>
      <c r="Q790"/>
      <c r="R790"/>
    </row>
    <row r="791" spans="2:18" ht="14.6" x14ac:dyDescent="0.4">
      <c r="B791"/>
      <c r="C791"/>
      <c r="D791"/>
      <c r="E791"/>
      <c r="F791"/>
      <c r="G791"/>
      <c r="H791"/>
      <c r="I791"/>
      <c r="J791"/>
      <c r="K791"/>
      <c r="L791"/>
      <c r="M791"/>
      <c r="N791"/>
      <c r="O791"/>
      <c r="P791"/>
      <c r="Q791"/>
      <c r="R791"/>
    </row>
    <row r="792" spans="2:18" ht="14.6" x14ac:dyDescent="0.4">
      <c r="B792"/>
      <c r="C792"/>
      <c r="D792"/>
      <c r="E792"/>
      <c r="F792"/>
      <c r="G792"/>
      <c r="H792"/>
      <c r="I792"/>
      <c r="J792"/>
      <c r="K792"/>
      <c r="L792"/>
      <c r="M792"/>
      <c r="N792"/>
      <c r="O792"/>
      <c r="P792"/>
      <c r="Q792"/>
      <c r="R792"/>
    </row>
    <row r="793" spans="2:18" ht="14.6" x14ac:dyDescent="0.4">
      <c r="B793"/>
      <c r="C793"/>
      <c r="D793"/>
      <c r="E793"/>
      <c r="F793"/>
      <c r="G793"/>
      <c r="H793"/>
      <c r="I793"/>
      <c r="J793"/>
      <c r="K793"/>
      <c r="L793"/>
      <c r="M793"/>
      <c r="N793"/>
      <c r="O793"/>
      <c r="P793"/>
      <c r="Q793"/>
      <c r="R793"/>
    </row>
    <row r="794" spans="2:18" ht="14.6" x14ac:dyDescent="0.4">
      <c r="B794"/>
      <c r="C794"/>
      <c r="D794"/>
      <c r="E794"/>
      <c r="F794"/>
      <c r="G794"/>
      <c r="H794"/>
      <c r="I794"/>
      <c r="J794"/>
      <c r="K794"/>
      <c r="L794"/>
      <c r="M794"/>
      <c r="N794"/>
      <c r="O794"/>
      <c r="P794"/>
      <c r="Q794"/>
      <c r="R794"/>
    </row>
    <row r="795" spans="2:18" ht="14.6" x14ac:dyDescent="0.4">
      <c r="B795"/>
      <c r="C795"/>
      <c r="D795"/>
      <c r="E795"/>
      <c r="F795"/>
      <c r="G795"/>
      <c r="H795"/>
      <c r="I795"/>
      <c r="J795"/>
      <c r="K795"/>
      <c r="L795"/>
      <c r="M795"/>
      <c r="N795"/>
      <c r="O795"/>
      <c r="P795"/>
      <c r="Q795"/>
      <c r="R795"/>
    </row>
    <row r="796" spans="2:18" ht="14.6" x14ac:dyDescent="0.4">
      <c r="B796"/>
      <c r="C796"/>
      <c r="D796"/>
      <c r="E796"/>
      <c r="F796"/>
      <c r="G796"/>
      <c r="H796"/>
      <c r="I796"/>
      <c r="J796"/>
      <c r="K796"/>
      <c r="L796"/>
      <c r="M796"/>
      <c r="N796"/>
      <c r="O796"/>
      <c r="P796"/>
      <c r="Q796"/>
      <c r="R796"/>
    </row>
    <row r="797" spans="2:18" ht="14.6" x14ac:dyDescent="0.4">
      <c r="B797"/>
      <c r="C797"/>
      <c r="D797"/>
      <c r="E797"/>
      <c r="F797"/>
      <c r="G797"/>
      <c r="H797"/>
      <c r="I797"/>
      <c r="J797"/>
      <c r="K797"/>
      <c r="L797"/>
      <c r="M797"/>
      <c r="N797"/>
      <c r="O797"/>
      <c r="P797"/>
      <c r="Q797"/>
      <c r="R797"/>
    </row>
    <row r="798" spans="2:18" ht="14.6" x14ac:dyDescent="0.4">
      <c r="B798"/>
      <c r="C798"/>
      <c r="D798"/>
      <c r="E798"/>
      <c r="F798"/>
      <c r="G798"/>
      <c r="H798"/>
      <c r="I798"/>
      <c r="J798"/>
      <c r="K798"/>
      <c r="L798"/>
      <c r="M798"/>
      <c r="N798"/>
      <c r="O798"/>
      <c r="P798"/>
      <c r="Q798"/>
      <c r="R798"/>
    </row>
    <row r="799" spans="2:18" ht="14.6" x14ac:dyDescent="0.4">
      <c r="B799"/>
      <c r="C799"/>
      <c r="D799"/>
      <c r="E799"/>
      <c r="F799"/>
      <c r="G799"/>
      <c r="H799"/>
      <c r="I799"/>
      <c r="J799"/>
      <c r="K799"/>
      <c r="L799"/>
      <c r="M799"/>
      <c r="N799"/>
      <c r="O799"/>
      <c r="P799"/>
      <c r="Q799"/>
      <c r="R799"/>
    </row>
    <row r="800" spans="2:18" ht="14.6" x14ac:dyDescent="0.4">
      <c r="B800"/>
      <c r="C800"/>
      <c r="D800"/>
      <c r="E800"/>
      <c r="F800"/>
      <c r="G800"/>
      <c r="H800"/>
      <c r="I800"/>
      <c r="J800"/>
      <c r="K800"/>
      <c r="L800"/>
      <c r="M800"/>
      <c r="N800"/>
      <c r="O800"/>
      <c r="P800"/>
      <c r="Q800"/>
      <c r="R800"/>
    </row>
    <row r="801" spans="2:18" ht="14.6" x14ac:dyDescent="0.4">
      <c r="B801"/>
      <c r="C801"/>
      <c r="D801"/>
      <c r="E801"/>
      <c r="F801"/>
      <c r="G801"/>
      <c r="H801"/>
      <c r="I801"/>
      <c r="J801"/>
      <c r="K801"/>
      <c r="L801"/>
      <c r="M801"/>
      <c r="N801"/>
      <c r="O801"/>
      <c r="P801"/>
      <c r="Q801"/>
      <c r="R801"/>
    </row>
    <row r="802" spans="2:18" ht="14.6" x14ac:dyDescent="0.4">
      <c r="B802"/>
      <c r="C802"/>
      <c r="D802"/>
      <c r="E802"/>
      <c r="F802"/>
      <c r="G802"/>
      <c r="H802"/>
      <c r="I802"/>
      <c r="J802"/>
      <c r="K802"/>
      <c r="L802"/>
      <c r="M802"/>
      <c r="N802"/>
      <c r="O802"/>
      <c r="P802"/>
      <c r="Q802"/>
      <c r="R802"/>
    </row>
    <row r="803" spans="2:18" ht="14.6" x14ac:dyDescent="0.4">
      <c r="B803"/>
      <c r="C803"/>
      <c r="D803"/>
      <c r="E803"/>
      <c r="F803"/>
      <c r="G803"/>
      <c r="H803"/>
      <c r="I803"/>
      <c r="J803"/>
      <c r="K803"/>
      <c r="L803"/>
      <c r="M803"/>
      <c r="N803"/>
      <c r="O803"/>
      <c r="P803"/>
      <c r="Q803"/>
      <c r="R803"/>
    </row>
    <row r="804" spans="2:18" ht="14.6" x14ac:dyDescent="0.4">
      <c r="B804"/>
      <c r="C804"/>
      <c r="D804"/>
      <c r="E804"/>
      <c r="F804"/>
      <c r="G804"/>
      <c r="H804"/>
      <c r="I804"/>
      <c r="J804"/>
      <c r="K804"/>
      <c r="L804"/>
      <c r="M804"/>
      <c r="N804"/>
      <c r="O804"/>
      <c r="P804"/>
      <c r="Q804"/>
      <c r="R804"/>
    </row>
    <row r="805" spans="2:18" ht="14.6" x14ac:dyDescent="0.4">
      <c r="B805"/>
      <c r="C805"/>
      <c r="D805"/>
      <c r="E805"/>
      <c r="F805"/>
      <c r="G805"/>
      <c r="H805"/>
      <c r="I805"/>
      <c r="J805"/>
      <c r="K805"/>
      <c r="L805"/>
      <c r="M805"/>
      <c r="N805"/>
      <c r="O805"/>
      <c r="P805"/>
      <c r="Q805"/>
      <c r="R805"/>
    </row>
    <row r="806" spans="2:18" ht="14.6" x14ac:dyDescent="0.4">
      <c r="B806"/>
      <c r="C806"/>
      <c r="D806"/>
      <c r="E806"/>
      <c r="F806"/>
      <c r="G806"/>
      <c r="H806"/>
      <c r="I806"/>
      <c r="J806"/>
      <c r="K806"/>
      <c r="L806"/>
      <c r="M806"/>
      <c r="N806"/>
      <c r="O806"/>
      <c r="P806"/>
      <c r="Q806"/>
      <c r="R806"/>
    </row>
    <row r="807" spans="2:18" ht="14.6" x14ac:dyDescent="0.4">
      <c r="B807"/>
      <c r="C807"/>
      <c r="D807"/>
      <c r="E807"/>
      <c r="F807"/>
      <c r="G807"/>
      <c r="H807"/>
      <c r="I807"/>
      <c r="J807"/>
      <c r="K807"/>
      <c r="L807"/>
      <c r="M807"/>
      <c r="N807"/>
      <c r="O807"/>
      <c r="P807"/>
      <c r="Q807"/>
      <c r="R807"/>
    </row>
    <row r="808" spans="2:18" ht="14.6" x14ac:dyDescent="0.4">
      <c r="B808"/>
      <c r="C808"/>
      <c r="D808"/>
      <c r="E808"/>
      <c r="F808"/>
      <c r="G808"/>
      <c r="H808"/>
      <c r="I808"/>
      <c r="J808"/>
      <c r="K808"/>
      <c r="L808"/>
      <c r="M808"/>
      <c r="N808"/>
      <c r="O808"/>
      <c r="P808"/>
      <c r="Q808"/>
      <c r="R808"/>
    </row>
    <row r="809" spans="2:18" ht="14.6" x14ac:dyDescent="0.4">
      <c r="B809"/>
      <c r="C809"/>
      <c r="D809"/>
      <c r="E809"/>
      <c r="F809"/>
      <c r="G809"/>
      <c r="H809"/>
      <c r="I809"/>
      <c r="J809"/>
      <c r="K809"/>
      <c r="L809"/>
      <c r="M809"/>
      <c r="N809"/>
      <c r="O809"/>
      <c r="P809"/>
      <c r="Q809"/>
      <c r="R809"/>
    </row>
    <row r="810" spans="2:18" ht="14.6" x14ac:dyDescent="0.4">
      <c r="B810"/>
      <c r="C810"/>
      <c r="D810"/>
      <c r="E810"/>
      <c r="F810"/>
      <c r="G810"/>
      <c r="H810"/>
      <c r="I810"/>
      <c r="J810"/>
      <c r="K810"/>
      <c r="L810"/>
      <c r="M810"/>
      <c r="N810"/>
      <c r="O810"/>
      <c r="P810"/>
      <c r="Q810"/>
      <c r="R810"/>
    </row>
    <row r="811" spans="2:18" ht="14.6" x14ac:dyDescent="0.4">
      <c r="B811"/>
      <c r="C811"/>
      <c r="D811"/>
      <c r="E811"/>
      <c r="F811"/>
      <c r="G811"/>
      <c r="H811"/>
      <c r="I811"/>
      <c r="J811"/>
      <c r="K811"/>
      <c r="L811"/>
      <c r="M811"/>
      <c r="N811"/>
      <c r="O811"/>
      <c r="P811"/>
      <c r="Q811"/>
      <c r="R811"/>
    </row>
    <row r="812" spans="2:18" ht="14.6" x14ac:dyDescent="0.4">
      <c r="B812"/>
      <c r="C812"/>
      <c r="D812"/>
      <c r="E812"/>
      <c r="F812"/>
      <c r="G812"/>
      <c r="H812"/>
      <c r="I812"/>
      <c r="J812"/>
      <c r="K812"/>
      <c r="L812"/>
      <c r="M812"/>
      <c r="N812"/>
      <c r="O812"/>
      <c r="P812"/>
      <c r="Q812"/>
      <c r="R812"/>
    </row>
    <row r="813" spans="2:18" ht="14.6" x14ac:dyDescent="0.4">
      <c r="B813"/>
      <c r="C813"/>
      <c r="D813"/>
      <c r="E813"/>
      <c r="F813"/>
      <c r="G813"/>
      <c r="H813"/>
      <c r="I813"/>
      <c r="J813"/>
      <c r="K813"/>
      <c r="L813"/>
      <c r="M813"/>
      <c r="N813"/>
      <c r="O813"/>
      <c r="P813"/>
      <c r="Q813"/>
      <c r="R813"/>
    </row>
    <row r="814" spans="2:18" ht="14.6" x14ac:dyDescent="0.4">
      <c r="B814"/>
      <c r="C814"/>
      <c r="D814"/>
      <c r="E814"/>
      <c r="F814"/>
      <c r="G814"/>
      <c r="H814"/>
      <c r="I814"/>
      <c r="J814"/>
      <c r="K814"/>
      <c r="L814"/>
      <c r="M814"/>
      <c r="N814"/>
      <c r="O814"/>
      <c r="P814"/>
      <c r="Q814"/>
      <c r="R814"/>
    </row>
    <row r="815" spans="2:18" ht="14.6" x14ac:dyDescent="0.4">
      <c r="B815"/>
      <c r="C815"/>
      <c r="D815"/>
      <c r="E815"/>
      <c r="F815"/>
      <c r="G815"/>
      <c r="H815"/>
      <c r="I815"/>
      <c r="J815"/>
      <c r="K815"/>
      <c r="L815"/>
      <c r="M815"/>
      <c r="N815"/>
      <c r="O815"/>
      <c r="P815"/>
      <c r="Q815"/>
      <c r="R815"/>
    </row>
    <row r="816" spans="2:18" ht="14.6" x14ac:dyDescent="0.4">
      <c r="B816"/>
      <c r="C816"/>
      <c r="D816"/>
      <c r="E816"/>
      <c r="F816"/>
      <c r="G816"/>
      <c r="H816"/>
      <c r="I816"/>
      <c r="J816"/>
      <c r="K816"/>
      <c r="L816"/>
      <c r="M816"/>
      <c r="N816"/>
      <c r="O816"/>
      <c r="P816"/>
      <c r="Q816"/>
      <c r="R816"/>
    </row>
    <row r="817" spans="2:18" ht="14.6" x14ac:dyDescent="0.4">
      <c r="B817"/>
      <c r="C817"/>
      <c r="D817"/>
      <c r="E817"/>
      <c r="F817"/>
      <c r="G817"/>
      <c r="H817"/>
      <c r="I817"/>
      <c r="J817"/>
      <c r="K817"/>
      <c r="L817"/>
      <c r="M817"/>
      <c r="N817"/>
      <c r="O817"/>
      <c r="P817"/>
      <c r="Q817"/>
      <c r="R817"/>
    </row>
    <row r="818" spans="2:18" ht="14.6" x14ac:dyDescent="0.4">
      <c r="B818"/>
      <c r="C818"/>
      <c r="D818"/>
      <c r="E818"/>
      <c r="F818"/>
      <c r="G818"/>
      <c r="H818"/>
      <c r="I818"/>
      <c r="J818"/>
      <c r="K818"/>
      <c r="L818"/>
      <c r="M818"/>
      <c r="N818"/>
      <c r="O818"/>
      <c r="P818"/>
      <c r="Q818"/>
      <c r="R818"/>
    </row>
    <row r="819" spans="2:18" ht="14.6" x14ac:dyDescent="0.4">
      <c r="B819"/>
      <c r="C819"/>
      <c r="D819"/>
      <c r="E819"/>
      <c r="F819"/>
      <c r="G819"/>
      <c r="H819"/>
      <c r="I819"/>
      <c r="J819"/>
      <c r="K819"/>
      <c r="L819"/>
      <c r="M819"/>
      <c r="N819"/>
      <c r="O819"/>
      <c r="P819"/>
      <c r="Q819"/>
      <c r="R819"/>
    </row>
    <row r="820" spans="2:18" ht="14.6" x14ac:dyDescent="0.4">
      <c r="B820"/>
      <c r="C820"/>
      <c r="D820"/>
      <c r="E820"/>
      <c r="F820"/>
      <c r="G820"/>
      <c r="H820"/>
      <c r="I820"/>
      <c r="J820"/>
      <c r="K820"/>
      <c r="L820"/>
      <c r="M820"/>
      <c r="N820"/>
      <c r="O820"/>
      <c r="P820"/>
      <c r="Q820"/>
      <c r="R820"/>
    </row>
    <row r="821" spans="2:18" ht="14.6" x14ac:dyDescent="0.4">
      <c r="B821"/>
      <c r="C821"/>
      <c r="D821"/>
      <c r="E821"/>
      <c r="F821"/>
      <c r="G821"/>
      <c r="H821"/>
      <c r="I821"/>
      <c r="J821"/>
      <c r="K821"/>
      <c r="L821"/>
      <c r="M821"/>
      <c r="N821"/>
      <c r="O821"/>
      <c r="P821"/>
      <c r="Q821"/>
      <c r="R821"/>
    </row>
    <row r="822" spans="2:18" ht="14.6" x14ac:dyDescent="0.4">
      <c r="B822"/>
      <c r="C822"/>
      <c r="D822"/>
      <c r="E822"/>
      <c r="F822"/>
      <c r="G822"/>
      <c r="H822"/>
      <c r="I822"/>
      <c r="J822"/>
      <c r="K822"/>
      <c r="L822"/>
      <c r="M822"/>
      <c r="N822"/>
      <c r="O822"/>
      <c r="P822"/>
      <c r="Q822"/>
      <c r="R822"/>
    </row>
    <row r="823" spans="2:18" ht="14.6" x14ac:dyDescent="0.4">
      <c r="B823"/>
      <c r="C823"/>
      <c r="D823"/>
      <c r="E823"/>
      <c r="F823"/>
      <c r="G823"/>
      <c r="H823"/>
      <c r="I823"/>
      <c r="J823"/>
      <c r="K823"/>
      <c r="L823"/>
      <c r="M823"/>
      <c r="N823"/>
      <c r="O823"/>
      <c r="P823"/>
      <c r="Q823"/>
      <c r="R823"/>
    </row>
    <row r="824" spans="2:18" ht="14.6" x14ac:dyDescent="0.4">
      <c r="B824"/>
      <c r="C824"/>
      <c r="D824"/>
      <c r="E824"/>
      <c r="F824"/>
      <c r="G824"/>
      <c r="H824"/>
      <c r="I824"/>
      <c r="J824"/>
      <c r="K824"/>
      <c r="L824"/>
      <c r="M824"/>
      <c r="N824"/>
      <c r="O824"/>
      <c r="P824"/>
      <c r="Q824"/>
      <c r="R824"/>
    </row>
    <row r="825" spans="2:18" ht="14.6" x14ac:dyDescent="0.4">
      <c r="B825"/>
      <c r="C825"/>
      <c r="D825"/>
      <c r="E825"/>
      <c r="F825"/>
      <c r="G825"/>
      <c r="H825"/>
      <c r="I825"/>
      <c r="J825"/>
      <c r="K825"/>
      <c r="L825"/>
      <c r="M825"/>
      <c r="N825"/>
      <c r="O825"/>
      <c r="P825"/>
      <c r="Q825"/>
      <c r="R825"/>
    </row>
    <row r="826" spans="2:18" ht="14.6" x14ac:dyDescent="0.4">
      <c r="B826"/>
      <c r="C826"/>
      <c r="D826"/>
      <c r="E826"/>
      <c r="F826"/>
      <c r="G826"/>
      <c r="H826"/>
      <c r="I826"/>
      <c r="J826"/>
      <c r="K826"/>
      <c r="L826"/>
      <c r="M826"/>
      <c r="N826"/>
      <c r="O826"/>
      <c r="P826"/>
      <c r="Q826"/>
      <c r="R826"/>
    </row>
    <row r="827" spans="2:18" ht="14.6" x14ac:dyDescent="0.4">
      <c r="B827"/>
      <c r="C827"/>
      <c r="D827"/>
      <c r="E827"/>
      <c r="F827"/>
      <c r="G827"/>
      <c r="H827"/>
      <c r="I827"/>
      <c r="J827"/>
      <c r="K827"/>
      <c r="L827"/>
      <c r="M827"/>
      <c r="N827"/>
      <c r="O827"/>
      <c r="P827"/>
      <c r="Q827"/>
      <c r="R827"/>
    </row>
    <row r="828" spans="2:18" ht="14.6" x14ac:dyDescent="0.4">
      <c r="B828"/>
      <c r="C828"/>
      <c r="D828"/>
      <c r="E828"/>
      <c r="F828"/>
      <c r="G828"/>
      <c r="H828"/>
      <c r="I828"/>
      <c r="J828"/>
      <c r="K828"/>
      <c r="L828"/>
      <c r="M828"/>
      <c r="N828"/>
      <c r="O828"/>
      <c r="P828"/>
      <c r="Q828"/>
      <c r="R828"/>
    </row>
    <row r="829" spans="2:18" ht="14.6" x14ac:dyDescent="0.4">
      <c r="B829"/>
      <c r="C829"/>
      <c r="D829"/>
      <c r="E829"/>
      <c r="F829"/>
      <c r="G829"/>
      <c r="H829"/>
      <c r="I829"/>
      <c r="J829"/>
      <c r="K829"/>
      <c r="L829"/>
      <c r="M829"/>
      <c r="N829"/>
      <c r="O829"/>
      <c r="P829"/>
      <c r="Q829"/>
      <c r="R829"/>
    </row>
    <row r="830" spans="2:18" ht="14.6" x14ac:dyDescent="0.4">
      <c r="B830"/>
      <c r="C830"/>
      <c r="D830"/>
      <c r="E830"/>
      <c r="F830"/>
      <c r="G830"/>
      <c r="H830"/>
      <c r="I830"/>
      <c r="J830"/>
      <c r="K830"/>
      <c r="L830"/>
      <c r="M830"/>
      <c r="N830"/>
      <c r="O830"/>
      <c r="P830"/>
      <c r="Q830"/>
      <c r="R830"/>
    </row>
    <row r="831" spans="2:18" ht="14.6" x14ac:dyDescent="0.4">
      <c r="B831"/>
      <c r="C831"/>
      <c r="D831"/>
      <c r="E831"/>
      <c r="F831"/>
      <c r="G831"/>
      <c r="H831"/>
      <c r="I831"/>
      <c r="J831"/>
      <c r="K831"/>
      <c r="L831"/>
      <c r="M831"/>
      <c r="N831"/>
      <c r="O831"/>
      <c r="P831"/>
      <c r="Q831"/>
      <c r="R831"/>
    </row>
    <row r="832" spans="2:18" ht="14.6" x14ac:dyDescent="0.4">
      <c r="B832"/>
      <c r="C832"/>
      <c r="D832"/>
      <c r="E832"/>
      <c r="F832"/>
      <c r="G832"/>
      <c r="H832"/>
      <c r="I832"/>
      <c r="J832"/>
      <c r="K832"/>
      <c r="L832"/>
      <c r="M832"/>
      <c r="N832"/>
      <c r="O832"/>
      <c r="P832"/>
      <c r="Q832"/>
      <c r="R832"/>
    </row>
    <row r="833" spans="2:18" ht="14.6" x14ac:dyDescent="0.4">
      <c r="B833"/>
      <c r="C833"/>
      <c r="D833"/>
      <c r="E833"/>
      <c r="F833"/>
      <c r="G833"/>
      <c r="H833"/>
      <c r="I833"/>
      <c r="J833"/>
      <c r="K833"/>
      <c r="L833"/>
      <c r="M833"/>
      <c r="N833"/>
      <c r="O833"/>
      <c r="P833"/>
      <c r="Q833"/>
      <c r="R833"/>
    </row>
    <row r="834" spans="2:18" ht="14.6" x14ac:dyDescent="0.4">
      <c r="B834"/>
      <c r="C834"/>
      <c r="D834"/>
      <c r="E834"/>
      <c r="F834"/>
      <c r="G834"/>
      <c r="H834"/>
      <c r="I834"/>
      <c r="J834"/>
      <c r="K834"/>
      <c r="L834"/>
      <c r="M834"/>
      <c r="N834"/>
      <c r="O834"/>
      <c r="P834"/>
      <c r="Q834"/>
      <c r="R834"/>
    </row>
    <row r="835" spans="2:18" ht="14.6" x14ac:dyDescent="0.4">
      <c r="B835"/>
      <c r="C835"/>
      <c r="D835"/>
      <c r="E835"/>
      <c r="F835"/>
      <c r="G835"/>
      <c r="H835"/>
      <c r="I835"/>
      <c r="J835"/>
      <c r="K835"/>
      <c r="L835"/>
      <c r="M835"/>
      <c r="N835"/>
      <c r="O835"/>
      <c r="P835"/>
      <c r="Q835"/>
      <c r="R835"/>
    </row>
    <row r="836" spans="2:18" ht="14.6" x14ac:dyDescent="0.4">
      <c r="B836"/>
      <c r="C836"/>
      <c r="D836"/>
      <c r="E836"/>
      <c r="F836"/>
      <c r="G836"/>
      <c r="H836"/>
      <c r="I836"/>
      <c r="J836"/>
      <c r="K836"/>
      <c r="L836"/>
      <c r="M836"/>
      <c r="N836"/>
      <c r="O836"/>
      <c r="P836"/>
      <c r="Q836"/>
      <c r="R836"/>
    </row>
    <row r="837" spans="2:18" ht="14.6" x14ac:dyDescent="0.4">
      <c r="B837"/>
      <c r="C837"/>
      <c r="D837"/>
      <c r="E837"/>
      <c r="F837"/>
      <c r="G837"/>
      <c r="H837"/>
      <c r="I837"/>
      <c r="J837"/>
      <c r="K837"/>
      <c r="L837"/>
      <c r="M837"/>
      <c r="N837"/>
      <c r="O837"/>
      <c r="P837"/>
      <c r="Q837"/>
      <c r="R837"/>
    </row>
    <row r="838" spans="2:18" ht="14.6" x14ac:dyDescent="0.4">
      <c r="B838"/>
      <c r="C838"/>
      <c r="D838"/>
      <c r="E838"/>
      <c r="F838"/>
      <c r="G838"/>
      <c r="H838"/>
      <c r="I838"/>
      <c r="J838"/>
      <c r="K838"/>
      <c r="L838"/>
      <c r="M838"/>
      <c r="N838"/>
      <c r="O838"/>
      <c r="P838"/>
      <c r="Q838"/>
      <c r="R838"/>
    </row>
    <row r="839" spans="2:18" ht="14.6" x14ac:dyDescent="0.4">
      <c r="B839"/>
      <c r="C839"/>
      <c r="D839"/>
      <c r="E839"/>
      <c r="F839"/>
      <c r="G839"/>
      <c r="H839"/>
      <c r="I839"/>
      <c r="J839"/>
      <c r="K839"/>
      <c r="L839"/>
      <c r="M839"/>
      <c r="N839"/>
      <c r="O839"/>
      <c r="P839"/>
      <c r="Q839"/>
      <c r="R839"/>
    </row>
    <row r="840" spans="2:18" ht="14.6" x14ac:dyDescent="0.4">
      <c r="B840"/>
      <c r="C840"/>
      <c r="D840"/>
      <c r="E840"/>
      <c r="F840"/>
      <c r="G840"/>
      <c r="H840"/>
      <c r="I840"/>
      <c r="J840"/>
      <c r="K840"/>
      <c r="L840"/>
      <c r="M840"/>
      <c r="N840"/>
      <c r="O840"/>
      <c r="P840"/>
      <c r="Q840"/>
      <c r="R840"/>
    </row>
    <row r="841" spans="2:18" ht="14.6" x14ac:dyDescent="0.4">
      <c r="B841"/>
      <c r="C841"/>
      <c r="D841"/>
      <c r="E841"/>
      <c r="F841"/>
      <c r="G841"/>
      <c r="H841"/>
      <c r="I841"/>
      <c r="J841"/>
      <c r="K841"/>
      <c r="L841"/>
      <c r="M841"/>
      <c r="N841"/>
      <c r="O841"/>
      <c r="P841"/>
      <c r="Q841"/>
      <c r="R841"/>
    </row>
    <row r="842" spans="2:18" ht="14.6" x14ac:dyDescent="0.4">
      <c r="B842"/>
      <c r="C842"/>
      <c r="D842"/>
      <c r="E842"/>
      <c r="F842"/>
      <c r="G842"/>
      <c r="H842"/>
      <c r="I842"/>
      <c r="J842"/>
      <c r="K842"/>
      <c r="L842"/>
      <c r="M842"/>
      <c r="N842"/>
      <c r="O842"/>
      <c r="P842"/>
      <c r="Q842"/>
      <c r="R842"/>
    </row>
    <row r="843" spans="2:18" ht="14.6" x14ac:dyDescent="0.4">
      <c r="B843"/>
      <c r="C843"/>
      <c r="D843"/>
      <c r="E843"/>
      <c r="F843"/>
      <c r="G843"/>
      <c r="H843"/>
      <c r="I843"/>
      <c r="J843"/>
      <c r="K843"/>
      <c r="L843"/>
      <c r="M843"/>
      <c r="N843"/>
      <c r="O843"/>
      <c r="P843"/>
      <c r="Q843"/>
      <c r="R843"/>
    </row>
    <row r="844" spans="2:18" ht="14.6" x14ac:dyDescent="0.4">
      <c r="B844"/>
      <c r="C844"/>
      <c r="D844"/>
      <c r="E844"/>
      <c r="F844"/>
      <c r="G844"/>
      <c r="H844"/>
      <c r="I844"/>
      <c r="J844"/>
      <c r="K844"/>
      <c r="L844"/>
      <c r="M844"/>
      <c r="N844"/>
      <c r="O844"/>
      <c r="P844"/>
      <c r="Q844"/>
      <c r="R844"/>
    </row>
    <row r="845" spans="2:18" ht="14.6" x14ac:dyDescent="0.4">
      <c r="B845"/>
      <c r="C845"/>
      <c r="D845"/>
      <c r="E845"/>
      <c r="F845"/>
      <c r="G845"/>
      <c r="H845"/>
      <c r="I845"/>
      <c r="J845"/>
      <c r="K845"/>
      <c r="L845"/>
      <c r="M845"/>
      <c r="N845"/>
      <c r="O845"/>
      <c r="P845"/>
      <c r="Q845"/>
      <c r="R845"/>
    </row>
    <row r="846" spans="2:18" ht="14.6" x14ac:dyDescent="0.4">
      <c r="B846"/>
      <c r="C846"/>
      <c r="D846"/>
      <c r="E846"/>
      <c r="F846"/>
      <c r="G846"/>
      <c r="H846"/>
      <c r="I846"/>
      <c r="J846"/>
      <c r="K846"/>
      <c r="L846"/>
      <c r="M846"/>
      <c r="N846"/>
      <c r="O846"/>
      <c r="P846"/>
      <c r="Q846"/>
      <c r="R846"/>
    </row>
    <row r="847" spans="2:18" ht="14.6" x14ac:dyDescent="0.4">
      <c r="B847"/>
      <c r="C847"/>
      <c r="D847"/>
      <c r="E847"/>
      <c r="F847"/>
      <c r="G847"/>
      <c r="H847"/>
      <c r="I847"/>
      <c r="J847"/>
      <c r="K847"/>
      <c r="L847"/>
      <c r="M847"/>
      <c r="N847"/>
      <c r="O847"/>
      <c r="P847"/>
      <c r="Q847"/>
      <c r="R847"/>
    </row>
    <row r="848" spans="2:18" ht="14.6" x14ac:dyDescent="0.4">
      <c r="B848"/>
      <c r="C848"/>
      <c r="D848"/>
      <c r="E848"/>
      <c r="F848"/>
      <c r="G848"/>
      <c r="H848"/>
      <c r="I848"/>
      <c r="J848"/>
      <c r="K848"/>
      <c r="L848"/>
      <c r="M848"/>
      <c r="N848"/>
      <c r="O848"/>
      <c r="P848"/>
      <c r="Q848"/>
      <c r="R848"/>
    </row>
    <row r="849" spans="2:18" ht="14.6" x14ac:dyDescent="0.4">
      <c r="B849"/>
      <c r="C849"/>
      <c r="D849"/>
      <c r="E849"/>
      <c r="F849"/>
      <c r="G849"/>
      <c r="H849"/>
      <c r="I849"/>
      <c r="J849"/>
      <c r="K849"/>
      <c r="L849"/>
      <c r="M849"/>
      <c r="N849"/>
      <c r="O849"/>
      <c r="P849"/>
      <c r="Q849"/>
      <c r="R849"/>
    </row>
    <row r="850" spans="2:18" ht="14.6" x14ac:dyDescent="0.4">
      <c r="B850"/>
      <c r="C850"/>
      <c r="D850"/>
      <c r="E850"/>
      <c r="F850"/>
      <c r="G850"/>
      <c r="H850"/>
      <c r="I850"/>
      <c r="J850"/>
      <c r="K850"/>
      <c r="L850"/>
      <c r="M850"/>
      <c r="N850"/>
      <c r="O850"/>
      <c r="P850"/>
      <c r="Q850"/>
      <c r="R850"/>
    </row>
    <row r="851" spans="2:18" ht="14.6" x14ac:dyDescent="0.4">
      <c r="B851"/>
      <c r="C851"/>
      <c r="D851"/>
      <c r="E851"/>
      <c r="F851"/>
      <c r="G851"/>
      <c r="H851"/>
      <c r="I851"/>
      <c r="J851"/>
      <c r="K851"/>
      <c r="L851"/>
      <c r="M851"/>
      <c r="N851"/>
      <c r="O851"/>
      <c r="P851"/>
      <c r="Q851"/>
      <c r="R851"/>
    </row>
    <row r="852" spans="2:18" ht="14.6" x14ac:dyDescent="0.4">
      <c r="B852"/>
      <c r="C852"/>
      <c r="D852"/>
      <c r="E852"/>
      <c r="F852"/>
      <c r="G852"/>
      <c r="H852"/>
      <c r="I852"/>
      <c r="J852"/>
      <c r="K852"/>
      <c r="L852"/>
      <c r="M852"/>
      <c r="N852"/>
      <c r="O852"/>
      <c r="P852"/>
      <c r="Q852"/>
      <c r="R852"/>
    </row>
    <row r="853" spans="2:18" ht="14.6" x14ac:dyDescent="0.4">
      <c r="B853"/>
      <c r="C853"/>
      <c r="D853"/>
      <c r="E853"/>
      <c r="F853"/>
      <c r="G853"/>
      <c r="H853"/>
      <c r="I853"/>
      <c r="J853"/>
      <c r="K853"/>
      <c r="L853"/>
      <c r="M853"/>
      <c r="N853"/>
      <c r="O853"/>
      <c r="P853"/>
      <c r="Q853"/>
      <c r="R853"/>
    </row>
    <row r="854" spans="2:18" ht="14.6" x14ac:dyDescent="0.4">
      <c r="B854"/>
      <c r="C854"/>
      <c r="D854"/>
      <c r="E854"/>
      <c r="F854"/>
      <c r="G854"/>
      <c r="H854"/>
      <c r="I854"/>
      <c r="J854"/>
      <c r="K854"/>
      <c r="L854"/>
      <c r="M854"/>
      <c r="N854"/>
      <c r="O854"/>
      <c r="P854"/>
      <c r="Q854"/>
      <c r="R854"/>
    </row>
    <row r="855" spans="2:18" ht="14.6" x14ac:dyDescent="0.4">
      <c r="B855"/>
      <c r="C855"/>
      <c r="D855"/>
      <c r="E855"/>
      <c r="F855"/>
      <c r="G855"/>
      <c r="H855"/>
      <c r="I855"/>
      <c r="J855"/>
      <c r="K855"/>
      <c r="L855"/>
      <c r="M855"/>
      <c r="N855"/>
      <c r="O855"/>
      <c r="P855"/>
      <c r="Q855"/>
      <c r="R855"/>
    </row>
    <row r="856" spans="2:18" ht="14.6" x14ac:dyDescent="0.4">
      <c r="B856"/>
      <c r="C856"/>
      <c r="D856"/>
      <c r="E856"/>
      <c r="F856"/>
      <c r="G856"/>
      <c r="H856"/>
      <c r="I856"/>
      <c r="J856"/>
      <c r="K856"/>
      <c r="L856"/>
      <c r="M856"/>
      <c r="N856"/>
      <c r="O856"/>
      <c r="P856"/>
      <c r="Q856"/>
      <c r="R856"/>
    </row>
    <row r="857" spans="2:18" ht="14.6" x14ac:dyDescent="0.4">
      <c r="B857"/>
      <c r="C857"/>
      <c r="D857"/>
      <c r="E857"/>
      <c r="F857"/>
      <c r="G857"/>
      <c r="H857"/>
      <c r="I857"/>
      <c r="J857"/>
      <c r="K857"/>
      <c r="L857"/>
      <c r="M857"/>
      <c r="N857"/>
      <c r="O857"/>
      <c r="P857"/>
      <c r="Q857"/>
      <c r="R857"/>
    </row>
    <row r="858" spans="2:18" ht="14.6" x14ac:dyDescent="0.4">
      <c r="B858"/>
      <c r="C858"/>
      <c r="D858"/>
      <c r="E858"/>
      <c r="F858"/>
      <c r="G858"/>
      <c r="H858"/>
      <c r="I858"/>
      <c r="J858"/>
      <c r="K858"/>
      <c r="L858"/>
      <c r="M858"/>
      <c r="N858"/>
      <c r="O858"/>
      <c r="P858"/>
      <c r="Q858"/>
      <c r="R858"/>
    </row>
    <row r="859" spans="2:18" ht="14.6" x14ac:dyDescent="0.4">
      <c r="B859"/>
      <c r="C859"/>
      <c r="D859"/>
      <c r="E859"/>
      <c r="F859"/>
      <c r="G859"/>
      <c r="H859"/>
      <c r="I859"/>
      <c r="J859"/>
      <c r="K859"/>
      <c r="L859"/>
      <c r="M859"/>
      <c r="N859"/>
      <c r="O859"/>
      <c r="P859"/>
      <c r="Q859"/>
      <c r="R859"/>
    </row>
    <row r="860" spans="2:18" ht="14.6" x14ac:dyDescent="0.4">
      <c r="B860"/>
      <c r="C860"/>
      <c r="D860"/>
      <c r="E860"/>
      <c r="F860"/>
      <c r="G860"/>
      <c r="H860"/>
      <c r="I860"/>
      <c r="J860"/>
      <c r="K860"/>
      <c r="L860"/>
      <c r="M860"/>
      <c r="N860"/>
      <c r="O860"/>
      <c r="P860"/>
      <c r="Q860"/>
      <c r="R860"/>
    </row>
    <row r="861" spans="2:18" ht="14.6" x14ac:dyDescent="0.4">
      <c r="B861"/>
      <c r="C861"/>
      <c r="D861"/>
      <c r="E861"/>
      <c r="F861"/>
      <c r="G861"/>
      <c r="H861"/>
      <c r="I861"/>
      <c r="J861"/>
      <c r="K861"/>
      <c r="L861"/>
      <c r="M861"/>
      <c r="N861"/>
      <c r="O861"/>
      <c r="P861"/>
      <c r="Q861"/>
      <c r="R861"/>
    </row>
    <row r="862" spans="2:18" ht="14.6" x14ac:dyDescent="0.4">
      <c r="B862"/>
      <c r="C862"/>
      <c r="D862"/>
      <c r="E862"/>
      <c r="F862"/>
      <c r="G862"/>
      <c r="H862"/>
      <c r="I862"/>
      <c r="J862"/>
      <c r="K862"/>
      <c r="L862"/>
      <c r="M862"/>
      <c r="N862"/>
      <c r="O862"/>
      <c r="P862"/>
      <c r="Q862"/>
      <c r="R862"/>
    </row>
    <row r="863" spans="2:18" ht="14.6" x14ac:dyDescent="0.4">
      <c r="B863"/>
      <c r="C863"/>
      <c r="D863"/>
      <c r="E863"/>
      <c r="F863"/>
      <c r="G863"/>
      <c r="H863"/>
      <c r="I863"/>
      <c r="J863"/>
      <c r="K863"/>
      <c r="L863"/>
      <c r="M863"/>
      <c r="N863"/>
      <c r="O863"/>
      <c r="P863"/>
      <c r="Q863"/>
      <c r="R863"/>
    </row>
    <row r="864" spans="2:18" ht="14.6" x14ac:dyDescent="0.4">
      <c r="B864"/>
      <c r="C864"/>
      <c r="D864"/>
      <c r="E864"/>
      <c r="F864"/>
      <c r="G864"/>
      <c r="H864"/>
      <c r="I864"/>
      <c r="J864"/>
      <c r="K864"/>
      <c r="L864"/>
      <c r="M864"/>
      <c r="N864"/>
      <c r="O864"/>
      <c r="P864"/>
      <c r="Q864"/>
      <c r="R864"/>
    </row>
    <row r="865" spans="2:18" ht="14.6" x14ac:dyDescent="0.4">
      <c r="B865"/>
      <c r="C865"/>
      <c r="D865"/>
      <c r="E865"/>
      <c r="F865"/>
      <c r="G865"/>
      <c r="H865"/>
      <c r="I865"/>
      <c r="J865"/>
      <c r="K865"/>
      <c r="L865"/>
      <c r="M865"/>
      <c r="N865"/>
      <c r="O865"/>
      <c r="P865"/>
      <c r="Q865"/>
      <c r="R865"/>
    </row>
    <row r="866" spans="2:18" ht="14.6" x14ac:dyDescent="0.4">
      <c r="B866"/>
      <c r="C866"/>
      <c r="D866"/>
      <c r="E866"/>
      <c r="F866"/>
      <c r="G866"/>
      <c r="H866"/>
      <c r="I866"/>
      <c r="J866"/>
      <c r="K866"/>
      <c r="L866"/>
      <c r="M866"/>
      <c r="N866"/>
      <c r="O866"/>
      <c r="P866"/>
      <c r="Q866"/>
      <c r="R866"/>
    </row>
    <row r="867" spans="2:18" ht="14.6" x14ac:dyDescent="0.4">
      <c r="B867"/>
      <c r="C867"/>
      <c r="D867"/>
      <c r="E867"/>
      <c r="F867"/>
      <c r="G867"/>
      <c r="H867"/>
      <c r="I867"/>
      <c r="J867"/>
      <c r="K867"/>
      <c r="L867"/>
      <c r="M867"/>
      <c r="N867"/>
      <c r="O867"/>
      <c r="P867"/>
      <c r="Q867"/>
      <c r="R867"/>
    </row>
    <row r="868" spans="2:18" ht="14.6" x14ac:dyDescent="0.4">
      <c r="B868"/>
      <c r="C868"/>
      <c r="D868"/>
      <c r="E868"/>
      <c r="F868"/>
      <c r="G868"/>
      <c r="H868"/>
      <c r="I868"/>
      <c r="J868"/>
      <c r="K868"/>
      <c r="L868"/>
      <c r="M868"/>
      <c r="N868"/>
      <c r="O868"/>
      <c r="P868"/>
      <c r="Q868"/>
      <c r="R868"/>
    </row>
    <row r="869" spans="2:18" ht="14.6" x14ac:dyDescent="0.4">
      <c r="B869"/>
      <c r="C869"/>
      <c r="D869"/>
      <c r="E869"/>
      <c r="F869"/>
      <c r="G869"/>
      <c r="H869"/>
      <c r="I869"/>
      <c r="J869"/>
      <c r="K869"/>
      <c r="L869"/>
      <c r="M869"/>
      <c r="N869"/>
      <c r="O869"/>
      <c r="P869"/>
      <c r="Q869"/>
      <c r="R869"/>
    </row>
    <row r="870" spans="2:18" ht="14.6" x14ac:dyDescent="0.4">
      <c r="B870"/>
      <c r="C870"/>
      <c r="D870"/>
      <c r="E870"/>
      <c r="F870"/>
      <c r="G870"/>
      <c r="H870"/>
      <c r="I870"/>
      <c r="J870"/>
      <c r="K870"/>
      <c r="L870"/>
      <c r="M870"/>
      <c r="N870"/>
      <c r="O870"/>
      <c r="P870"/>
      <c r="Q870"/>
      <c r="R870"/>
    </row>
    <row r="871" spans="2:18" ht="14.6" x14ac:dyDescent="0.4">
      <c r="B871"/>
      <c r="C871"/>
      <c r="D871"/>
      <c r="E871"/>
      <c r="F871"/>
      <c r="G871"/>
      <c r="H871"/>
      <c r="I871"/>
      <c r="J871"/>
      <c r="K871"/>
      <c r="L871"/>
      <c r="M871"/>
      <c r="N871"/>
      <c r="O871"/>
      <c r="P871"/>
      <c r="Q871"/>
      <c r="R871"/>
    </row>
    <row r="872" spans="2:18" ht="14.6" x14ac:dyDescent="0.4">
      <c r="B872"/>
      <c r="C872"/>
      <c r="D872"/>
      <c r="E872"/>
      <c r="F872"/>
      <c r="G872"/>
      <c r="H872"/>
      <c r="I872"/>
      <c r="J872"/>
      <c r="K872"/>
      <c r="L872"/>
      <c r="M872"/>
      <c r="N872"/>
      <c r="O872"/>
      <c r="P872"/>
      <c r="Q872"/>
      <c r="R872"/>
    </row>
    <row r="873" spans="2:18" ht="14.6" x14ac:dyDescent="0.4">
      <c r="B873"/>
      <c r="C873"/>
      <c r="D873"/>
      <c r="E873"/>
      <c r="F873"/>
      <c r="G873"/>
      <c r="H873"/>
      <c r="I873"/>
      <c r="J873"/>
      <c r="K873"/>
      <c r="L873"/>
      <c r="M873"/>
      <c r="N873"/>
      <c r="O873"/>
      <c r="P873"/>
      <c r="Q873"/>
      <c r="R873"/>
    </row>
    <row r="874" spans="2:18" ht="14.6" x14ac:dyDescent="0.4">
      <c r="B874"/>
      <c r="C874"/>
      <c r="D874"/>
      <c r="E874"/>
      <c r="F874"/>
      <c r="G874"/>
      <c r="H874"/>
      <c r="I874"/>
      <c r="J874"/>
      <c r="K874"/>
      <c r="L874"/>
      <c r="M874"/>
      <c r="N874"/>
      <c r="O874"/>
      <c r="P874"/>
      <c r="Q874"/>
      <c r="R874"/>
    </row>
    <row r="875" spans="2:18" ht="14.6" x14ac:dyDescent="0.4">
      <c r="B875"/>
      <c r="C875"/>
      <c r="D875"/>
      <c r="E875"/>
      <c r="F875"/>
      <c r="G875"/>
      <c r="H875"/>
      <c r="I875"/>
      <c r="J875"/>
      <c r="K875"/>
      <c r="L875"/>
      <c r="M875"/>
      <c r="N875"/>
      <c r="O875"/>
      <c r="P875"/>
      <c r="Q875"/>
      <c r="R875"/>
    </row>
    <row r="876" spans="2:18" ht="14.6" x14ac:dyDescent="0.4">
      <c r="B876"/>
      <c r="C876"/>
      <c r="D876"/>
      <c r="E876"/>
      <c r="F876"/>
      <c r="G876"/>
      <c r="H876"/>
      <c r="I876"/>
      <c r="J876"/>
      <c r="K876"/>
      <c r="L876"/>
      <c r="M876"/>
      <c r="N876"/>
      <c r="O876"/>
      <c r="P876"/>
      <c r="Q876"/>
      <c r="R876"/>
    </row>
    <row r="877" spans="2:18" ht="14.6" x14ac:dyDescent="0.4">
      <c r="B877"/>
      <c r="C877"/>
      <c r="D877"/>
      <c r="E877"/>
      <c r="F877"/>
      <c r="G877"/>
      <c r="H877"/>
      <c r="I877"/>
      <c r="J877"/>
      <c r="K877"/>
      <c r="L877"/>
      <c r="M877"/>
      <c r="N877"/>
      <c r="O877"/>
      <c r="P877"/>
      <c r="Q877"/>
      <c r="R877"/>
    </row>
    <row r="878" spans="2:18" ht="14.6" x14ac:dyDescent="0.4">
      <c r="B878"/>
      <c r="C878"/>
      <c r="D878"/>
      <c r="E878"/>
      <c r="F878"/>
      <c r="G878"/>
      <c r="H878"/>
      <c r="I878"/>
      <c r="J878"/>
      <c r="K878"/>
      <c r="L878"/>
      <c r="M878"/>
      <c r="N878"/>
      <c r="O878"/>
      <c r="P878"/>
      <c r="Q878"/>
      <c r="R878"/>
    </row>
    <row r="879" spans="2:18" ht="14.6" x14ac:dyDescent="0.4">
      <c r="B879"/>
      <c r="C879"/>
      <c r="D879"/>
      <c r="E879"/>
      <c r="F879"/>
      <c r="G879"/>
      <c r="H879"/>
      <c r="I879"/>
      <c r="J879"/>
      <c r="K879"/>
      <c r="L879"/>
      <c r="M879"/>
      <c r="N879"/>
      <c r="O879"/>
      <c r="P879"/>
      <c r="Q879"/>
      <c r="R879"/>
    </row>
    <row r="880" spans="2:18" ht="14.6" x14ac:dyDescent="0.4">
      <c r="B880"/>
      <c r="C880"/>
      <c r="D880"/>
      <c r="E880"/>
      <c r="F880"/>
      <c r="G880"/>
      <c r="H880"/>
      <c r="I880"/>
      <c r="J880"/>
      <c r="K880"/>
      <c r="L880"/>
      <c r="M880"/>
      <c r="N880"/>
      <c r="O880"/>
      <c r="P880"/>
      <c r="Q880"/>
      <c r="R880"/>
    </row>
    <row r="881" spans="2:18" ht="14.6" x14ac:dyDescent="0.4">
      <c r="B881"/>
      <c r="C881"/>
      <c r="D881"/>
      <c r="E881"/>
      <c r="F881"/>
      <c r="G881"/>
      <c r="H881"/>
      <c r="I881"/>
      <c r="J881"/>
      <c r="K881"/>
      <c r="L881"/>
      <c r="M881"/>
      <c r="N881"/>
      <c r="O881"/>
      <c r="P881"/>
      <c r="Q881"/>
      <c r="R881"/>
    </row>
    <row r="882" spans="2:18" ht="14.6" x14ac:dyDescent="0.4">
      <c r="B882"/>
      <c r="C882"/>
      <c r="D882"/>
      <c r="E882"/>
      <c r="F882"/>
      <c r="G882"/>
      <c r="H882"/>
      <c r="I882"/>
      <c r="J882"/>
      <c r="K882"/>
      <c r="L882"/>
      <c r="M882"/>
      <c r="N882"/>
      <c r="O882"/>
      <c r="P882"/>
      <c r="Q882"/>
      <c r="R882"/>
    </row>
    <row r="883" spans="2:18" ht="14.6" x14ac:dyDescent="0.4">
      <c r="B883"/>
      <c r="C883"/>
      <c r="D883"/>
      <c r="E883"/>
      <c r="F883"/>
      <c r="G883"/>
      <c r="H883"/>
      <c r="I883"/>
      <c r="J883"/>
      <c r="K883"/>
      <c r="L883"/>
      <c r="M883"/>
      <c r="N883"/>
      <c r="O883"/>
      <c r="P883"/>
      <c r="Q883"/>
      <c r="R883"/>
    </row>
    <row r="884" spans="2:18" ht="14.6" x14ac:dyDescent="0.4">
      <c r="B884"/>
      <c r="C884"/>
      <c r="D884"/>
      <c r="E884"/>
      <c r="F884"/>
      <c r="G884"/>
      <c r="H884"/>
      <c r="I884"/>
      <c r="J884"/>
      <c r="K884"/>
      <c r="L884"/>
      <c r="M884"/>
      <c r="N884"/>
      <c r="O884"/>
      <c r="P884"/>
      <c r="Q884"/>
      <c r="R884"/>
    </row>
    <row r="885" spans="2:18" ht="14.6" x14ac:dyDescent="0.4">
      <c r="B885"/>
      <c r="C885"/>
      <c r="D885"/>
      <c r="E885"/>
      <c r="F885"/>
      <c r="G885"/>
      <c r="H885"/>
      <c r="I885"/>
      <c r="J885"/>
      <c r="K885"/>
      <c r="L885"/>
      <c r="M885"/>
      <c r="N885"/>
      <c r="O885"/>
      <c r="P885"/>
      <c r="Q885"/>
      <c r="R885"/>
    </row>
    <row r="886" spans="2:18" ht="14.6" x14ac:dyDescent="0.4">
      <c r="B886"/>
      <c r="C886"/>
      <c r="D886"/>
      <c r="E886"/>
      <c r="F886"/>
      <c r="G886"/>
      <c r="H886"/>
      <c r="I886"/>
      <c r="J886"/>
      <c r="K886"/>
      <c r="L886"/>
      <c r="M886"/>
      <c r="N886"/>
      <c r="O886"/>
      <c r="P886"/>
      <c r="Q886"/>
      <c r="R886"/>
    </row>
    <row r="887" spans="2:18" ht="14.6" x14ac:dyDescent="0.4">
      <c r="B887"/>
      <c r="C887"/>
      <c r="D887"/>
      <c r="E887"/>
      <c r="F887"/>
      <c r="G887"/>
      <c r="H887"/>
      <c r="I887"/>
      <c r="J887"/>
      <c r="K887"/>
      <c r="L887"/>
      <c r="M887"/>
      <c r="N887"/>
      <c r="O887"/>
      <c r="P887"/>
      <c r="Q887"/>
      <c r="R887"/>
    </row>
    <row r="888" spans="2:18" ht="14.6" x14ac:dyDescent="0.4">
      <c r="B888"/>
      <c r="C888"/>
      <c r="D888"/>
      <c r="E888"/>
      <c r="F888"/>
      <c r="G888"/>
      <c r="H888"/>
      <c r="I888"/>
      <c r="J888"/>
      <c r="K888"/>
      <c r="L888"/>
      <c r="M888"/>
      <c r="N888"/>
      <c r="O888"/>
      <c r="P888"/>
      <c r="Q888"/>
      <c r="R888"/>
    </row>
    <row r="889" spans="2:18" ht="14.6" x14ac:dyDescent="0.4">
      <c r="B889"/>
      <c r="C889"/>
      <c r="D889"/>
      <c r="E889"/>
      <c r="F889"/>
      <c r="G889"/>
      <c r="H889"/>
      <c r="I889"/>
      <c r="J889"/>
      <c r="K889"/>
      <c r="L889"/>
      <c r="M889"/>
      <c r="N889"/>
      <c r="O889"/>
      <c r="P889"/>
      <c r="Q889"/>
      <c r="R889"/>
    </row>
    <row r="890" spans="2:18" ht="14.6" x14ac:dyDescent="0.4">
      <c r="B890"/>
      <c r="C890"/>
      <c r="D890"/>
      <c r="E890"/>
      <c r="F890"/>
      <c r="G890"/>
      <c r="H890"/>
      <c r="I890"/>
      <c r="J890"/>
      <c r="K890"/>
      <c r="L890"/>
      <c r="M890"/>
      <c r="N890"/>
      <c r="O890"/>
      <c r="P890"/>
      <c r="Q890"/>
      <c r="R890"/>
    </row>
    <row r="891" spans="2:18" ht="14.6" x14ac:dyDescent="0.4">
      <c r="B891"/>
      <c r="C891"/>
      <c r="D891"/>
      <c r="E891"/>
      <c r="F891"/>
      <c r="G891"/>
      <c r="H891"/>
      <c r="I891"/>
      <c r="J891"/>
      <c r="K891"/>
      <c r="L891"/>
      <c r="M891"/>
      <c r="N891"/>
      <c r="O891"/>
      <c r="P891"/>
      <c r="Q891"/>
      <c r="R891"/>
    </row>
    <row r="892" spans="2:18" ht="14.6" x14ac:dyDescent="0.4">
      <c r="B892"/>
      <c r="C892"/>
      <c r="D892"/>
      <c r="E892"/>
      <c r="F892"/>
      <c r="G892"/>
      <c r="H892"/>
      <c r="I892"/>
      <c r="J892"/>
      <c r="K892"/>
      <c r="L892"/>
      <c r="M892"/>
      <c r="N892"/>
      <c r="O892"/>
      <c r="P892"/>
      <c r="Q892"/>
      <c r="R892"/>
    </row>
    <row r="893" spans="2:18" ht="14.6" x14ac:dyDescent="0.4">
      <c r="B893"/>
      <c r="C893"/>
      <c r="D893"/>
      <c r="E893"/>
      <c r="F893"/>
      <c r="G893"/>
      <c r="H893"/>
      <c r="I893"/>
      <c r="J893"/>
      <c r="K893"/>
      <c r="L893"/>
      <c r="M893"/>
      <c r="N893"/>
      <c r="O893"/>
      <c r="P893"/>
      <c r="Q893"/>
      <c r="R893"/>
    </row>
    <row r="894" spans="2:18" ht="14.6" x14ac:dyDescent="0.4">
      <c r="B894"/>
      <c r="C894"/>
      <c r="D894"/>
      <c r="E894"/>
      <c r="F894"/>
      <c r="G894"/>
      <c r="H894"/>
      <c r="I894"/>
      <c r="J894"/>
      <c r="K894"/>
      <c r="L894"/>
      <c r="M894"/>
      <c r="N894"/>
      <c r="O894"/>
      <c r="P894"/>
      <c r="Q894"/>
      <c r="R894"/>
    </row>
    <row r="895" spans="2:18" ht="14.6" x14ac:dyDescent="0.4">
      <c r="B895"/>
      <c r="C895"/>
      <c r="D895"/>
      <c r="E895"/>
      <c r="F895"/>
      <c r="G895"/>
      <c r="H895"/>
      <c r="I895"/>
      <c r="J895"/>
      <c r="K895"/>
      <c r="L895"/>
      <c r="M895"/>
      <c r="N895"/>
      <c r="O895"/>
      <c r="P895"/>
      <c r="Q895"/>
      <c r="R895"/>
    </row>
    <row r="896" spans="2:18" ht="14.6" x14ac:dyDescent="0.4">
      <c r="B896"/>
      <c r="C896"/>
      <c r="D896"/>
      <c r="E896"/>
      <c r="F896"/>
      <c r="G896"/>
      <c r="H896"/>
      <c r="I896"/>
      <c r="J896"/>
      <c r="K896"/>
      <c r="L896"/>
      <c r="M896"/>
      <c r="N896"/>
      <c r="O896"/>
      <c r="P896"/>
      <c r="Q896"/>
      <c r="R896"/>
    </row>
    <row r="897" spans="2:18" ht="14.6" x14ac:dyDescent="0.4">
      <c r="B897"/>
      <c r="C897"/>
      <c r="D897"/>
      <c r="E897"/>
      <c r="F897"/>
      <c r="G897"/>
      <c r="H897"/>
      <c r="I897"/>
      <c r="J897"/>
      <c r="K897"/>
      <c r="L897"/>
      <c r="M897"/>
      <c r="N897"/>
      <c r="O897"/>
      <c r="P897"/>
      <c r="Q897"/>
      <c r="R897"/>
    </row>
    <row r="898" spans="2:18" ht="14.6" x14ac:dyDescent="0.4">
      <c r="B898"/>
      <c r="C898"/>
      <c r="D898"/>
      <c r="E898"/>
      <c r="F898"/>
      <c r="G898"/>
      <c r="H898"/>
      <c r="I898"/>
      <c r="J898"/>
      <c r="K898"/>
      <c r="L898"/>
      <c r="M898"/>
      <c r="N898"/>
      <c r="O898"/>
      <c r="P898"/>
      <c r="Q898"/>
      <c r="R898"/>
    </row>
    <row r="899" spans="2:18" ht="14.6" x14ac:dyDescent="0.4">
      <c r="B899"/>
      <c r="C899"/>
      <c r="D899"/>
      <c r="E899"/>
      <c r="F899"/>
      <c r="G899"/>
      <c r="H899"/>
      <c r="I899"/>
      <c r="J899"/>
      <c r="K899"/>
      <c r="L899"/>
      <c r="M899"/>
      <c r="N899"/>
      <c r="O899"/>
      <c r="P899"/>
      <c r="Q899"/>
      <c r="R899"/>
    </row>
    <row r="900" spans="2:18" ht="14.6" x14ac:dyDescent="0.4">
      <c r="B900"/>
      <c r="C900"/>
      <c r="D900"/>
      <c r="E900"/>
      <c r="F900"/>
      <c r="G900"/>
      <c r="H900"/>
      <c r="I900"/>
      <c r="J900"/>
      <c r="K900"/>
      <c r="L900"/>
      <c r="M900"/>
      <c r="N900"/>
      <c r="O900"/>
      <c r="P900"/>
      <c r="Q900"/>
      <c r="R900"/>
    </row>
    <row r="901" spans="2:18" ht="14.6" x14ac:dyDescent="0.4">
      <c r="B901"/>
      <c r="C901"/>
      <c r="D901"/>
      <c r="E901"/>
      <c r="F901"/>
      <c r="G901"/>
      <c r="H901"/>
      <c r="I901"/>
      <c r="J901"/>
      <c r="K901"/>
      <c r="L901"/>
      <c r="M901"/>
      <c r="N901"/>
      <c r="O901"/>
      <c r="P901"/>
      <c r="Q901"/>
      <c r="R901"/>
    </row>
    <row r="902" spans="2:18" ht="14.6" x14ac:dyDescent="0.4">
      <c r="B902"/>
      <c r="C902"/>
      <c r="D902"/>
      <c r="E902"/>
      <c r="F902"/>
      <c r="G902"/>
      <c r="H902"/>
      <c r="I902"/>
      <c r="J902"/>
      <c r="K902"/>
      <c r="L902"/>
      <c r="M902"/>
      <c r="N902"/>
      <c r="O902"/>
      <c r="P902"/>
      <c r="Q902"/>
      <c r="R902"/>
    </row>
    <row r="903" spans="2:18" ht="14.6" x14ac:dyDescent="0.4">
      <c r="B903"/>
      <c r="C903"/>
      <c r="D903"/>
      <c r="E903"/>
      <c r="F903"/>
      <c r="G903"/>
      <c r="H903"/>
      <c r="I903"/>
      <c r="J903"/>
      <c r="K903"/>
      <c r="L903"/>
      <c r="M903"/>
      <c r="N903"/>
      <c r="O903"/>
      <c r="P903"/>
      <c r="Q903"/>
      <c r="R903"/>
    </row>
  </sheetData>
  <mergeCells count="14">
    <mergeCell ref="B6:K6"/>
    <mergeCell ref="B1:K1"/>
    <mergeCell ref="B2:K2"/>
    <mergeCell ref="B3:K3"/>
    <mergeCell ref="B4:K4"/>
    <mergeCell ref="B5:K5"/>
    <mergeCell ref="B13:K13"/>
    <mergeCell ref="B14:K14"/>
    <mergeCell ref="B7:K7"/>
    <mergeCell ref="B8:K8"/>
    <mergeCell ref="B9:K9"/>
    <mergeCell ref="B10:K10"/>
    <mergeCell ref="B11:K11"/>
    <mergeCell ref="B12:K12"/>
  </mergeCells>
  <conditionalFormatting sqref="B15:C1048576">
    <cfRule type="notContainsBlanks" dxfId="88" priority="51">
      <formula>LEN(TRIM(B15))&gt;0</formula>
    </cfRule>
  </conditionalFormatting>
  <conditionalFormatting sqref="K15 J17:K1048576">
    <cfRule type="cellIs" dxfId="87" priority="30" operator="equal">
      <formula>0</formula>
    </cfRule>
  </conditionalFormatting>
  <conditionalFormatting sqref="I17:I1048576">
    <cfRule type="expression" dxfId="86" priority="1">
      <formula>IF($C17=0,TRUE,FALSE)</formula>
    </cfRule>
    <cfRule type="cellIs" dxfId="85" priority="2" operator="equal">
      <formula>"(blank)"</formula>
    </cfRule>
    <cfRule type="expression" dxfId="84" priority="3">
      <formula>IF(ISNUMBER($C17),TRUE,FALSE)</formula>
    </cfRule>
  </conditionalFormatting>
  <conditionalFormatting sqref="I15">
    <cfRule type="expression" dxfId="83" priority="20">
      <formula>IF($C15=0,TRUE,FALSE)</formula>
    </cfRule>
    <cfRule type="cellIs" dxfId="82" priority="21" operator="equal">
      <formula>"(blank)"</formula>
    </cfRule>
  </conditionalFormatting>
  <conditionalFormatting sqref="J15">
    <cfRule type="expression" dxfId="81" priority="17">
      <formula>IF($C15=0,TRUE,FALSE)</formula>
    </cfRule>
    <cfRule type="cellIs" dxfId="80" priority="18" operator="notEqual">
      <formula>0</formula>
    </cfRule>
    <cfRule type="cellIs" dxfId="79" priority="19" operator="equal">
      <formula>0</formula>
    </cfRule>
  </conditionalFormatting>
  <conditionalFormatting sqref="D18:D1048576 H18:H1048576">
    <cfRule type="expression" dxfId="78" priority="65">
      <formula>IF($C18=0,TRUE,FALSE)</formula>
    </cfRule>
  </conditionalFormatting>
  <conditionalFormatting sqref="H15:H1048576">
    <cfRule type="cellIs" dxfId="77" priority="71" operator="equal">
      <formula>"(blank)"</formula>
    </cfRule>
    <cfRule type="cellIs" dxfId="76" priority="72" operator="equal">
      <formula>"N"</formula>
    </cfRule>
    <cfRule type="cellIs" dxfId="75" priority="73" operator="equal">
      <formula>"Y"</formula>
    </cfRule>
  </conditionalFormatting>
  <conditionalFormatting sqref="J15:K15 J17:K1048576">
    <cfRule type="expression" dxfId="74" priority="4">
      <formula>IF($C15=0,TRUE,FALSE)</formula>
    </cfRule>
  </conditionalFormatting>
  <conditionalFormatting sqref="F18:F1048576">
    <cfRule type="expression" dxfId="73" priority="63">
      <formula>IF($C18=0,TRUE,FALSE)</formula>
    </cfRule>
    <cfRule type="expression" dxfId="72" priority="64">
      <formula>IF($C18=2,TRUE,FALSE)</formula>
    </cfRule>
  </conditionalFormatting>
  <conditionalFormatting sqref="E18:E1048576">
    <cfRule type="expression" dxfId="71" priority="66">
      <formula>IF($C18=0,TRUE,FALSE)</formula>
    </cfRule>
    <cfRule type="expression" dxfId="70" priority="67">
      <formula>IF($C18=1,TRUE,FALSE)</formula>
    </cfRule>
  </conditionalFormatting>
  <conditionalFormatting sqref="G18:G1048576">
    <cfRule type="expression" dxfId="69" priority="68">
      <formula>IF($C18=0,TRUE,FALSE)</formula>
    </cfRule>
    <cfRule type="expression" dxfId="68" priority="69">
      <formula>IF($C18=3,TRUE,FALSE)</formula>
    </cfRule>
  </conditionalFormatting>
  <conditionalFormatting sqref="K16">
    <cfRule type="cellIs" dxfId="67" priority="13" operator="equal">
      <formula>0</formula>
    </cfRule>
  </conditionalFormatting>
  <conditionalFormatting sqref="I16">
    <cfRule type="expression" dxfId="66" priority="9">
      <formula>IF($C16=0,TRUE,FALSE)</formula>
    </cfRule>
    <cfRule type="cellIs" dxfId="65" priority="10" operator="equal">
      <formula>"(blank)"</formula>
    </cfRule>
  </conditionalFormatting>
  <conditionalFormatting sqref="J16">
    <cfRule type="expression" dxfId="64" priority="6">
      <formula>IF($C16=0,TRUE,FALSE)</formula>
    </cfRule>
    <cfRule type="cellIs" dxfId="63" priority="7" operator="notEqual">
      <formula>0</formula>
    </cfRule>
    <cfRule type="cellIs" dxfId="62" priority="8" operator="equal">
      <formula>0</formula>
    </cfRule>
  </conditionalFormatting>
  <conditionalFormatting sqref="J16:K16">
    <cfRule type="expression" dxfId="61" priority="11">
      <formula>IF($C16=0,TRUE,FALSE)</formula>
    </cfRule>
    <cfRule type="cellIs" dxfId="60" priority="12" operator="notEqual">
      <formula>0</formula>
    </cfRule>
  </conditionalFormatting>
  <conditionalFormatting sqref="K17:K1048576">
    <cfRule type="cellIs" dxfId="59" priority="22" operator="notEqual">
      <formula>0</formula>
    </cfRule>
    <cfRule type="expression" dxfId="58" priority="27">
      <formula>$I17="Included"</formula>
    </cfRule>
    <cfRule type="expression" dxfId="57" priority="29">
      <formula>$I17="C - Country"</formula>
    </cfRule>
  </conditionalFormatting>
  <conditionalFormatting sqref="J17:J1048576">
    <cfRule type="cellIs" dxfId="56" priority="5" operator="notEqual">
      <formula>0</formula>
    </cfRule>
    <cfRule type="expression" dxfId="55" priority="26">
      <formula>$I17="Included"</formula>
    </cfRule>
    <cfRule type="expression" dxfId="54" priority="28">
      <formula>$I17="C - Country"</formula>
    </cfRule>
  </conditionalFormatting>
  <pageMargins left="0.70866141732283472" right="0.70866141732283472" top="0.74803149606299213" bottom="0.74803149606299213" header="0.31496062992125984" footer="0.31496062992125984"/>
  <pageSetup orientation="portrait" horizontalDpi="300" verticalDpi="300" r:id="rId2"/>
  <headerFooter>
    <oddHeader>&amp;L&amp;G</oddHeader>
    <oddFooter>&amp;L&amp;"DM Sans,Regular"&amp;8&amp;K1D1765© 2023 WiseTech Global&amp;C&amp;"DM Sans,Regular"&amp;8&amp;K1D1765CargoWise One STL Price List&amp;R&amp;"DM Sans,Regular"&amp;8&amp;K1D1765Page &amp;P</oddFooter>
  </headerFooter>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7D67A-143D-4E55-9DC1-A4C128723E2D}">
  <sheetPr codeName="Sheet11">
    <tabColor rgb="FF92D050"/>
  </sheetPr>
  <dimension ref="B1:S187"/>
  <sheetViews>
    <sheetView showGridLines="0" zoomScaleNormal="100" workbookViewId="0">
      <selection activeCell="L31" sqref="L31"/>
    </sheetView>
  </sheetViews>
  <sheetFormatPr defaultColWidth="9" defaultRowHeight="12.45" x14ac:dyDescent="0.4"/>
  <cols>
    <col min="1" max="1" width="9" style="23"/>
    <col min="2" max="2" width="4.69140625" style="23" customWidth="1"/>
    <col min="3" max="3" width="3.84375" style="23" customWidth="1"/>
    <col min="4" max="6" width="3.15234375" style="23" customWidth="1"/>
    <col min="7" max="7" width="66.84375" style="23" customWidth="1"/>
    <col min="8" max="8" width="2.3828125" style="23" customWidth="1"/>
    <col min="9" max="9" width="25.69140625" style="23" customWidth="1"/>
    <col min="10" max="10" width="15.84375" style="23" bestFit="1" customWidth="1"/>
    <col min="11" max="11" width="16.921875" style="23" bestFit="1" customWidth="1"/>
    <col min="12" max="13" width="15.84375" style="23" bestFit="1" customWidth="1"/>
    <col min="14" max="16384" width="9" style="23"/>
  </cols>
  <sheetData>
    <row r="1" spans="2:19" s="99" customFormat="1" ht="21" x14ac:dyDescent="0.6">
      <c r="B1" s="320" t="s">
        <v>724</v>
      </c>
      <c r="C1" s="320"/>
      <c r="D1" s="320"/>
      <c r="E1" s="320"/>
      <c r="F1" s="320"/>
      <c r="G1" s="320"/>
      <c r="H1" s="320"/>
      <c r="I1" s="320"/>
      <c r="J1" s="320"/>
      <c r="K1" s="320"/>
    </row>
    <row r="2" spans="2:19" s="99" customFormat="1" x14ac:dyDescent="0.4">
      <c r="B2" s="321"/>
      <c r="C2" s="321"/>
      <c r="D2" s="321"/>
      <c r="E2" s="321"/>
      <c r="F2" s="321"/>
      <c r="G2" s="321"/>
      <c r="H2" s="321"/>
      <c r="I2" s="321"/>
      <c r="J2" s="321"/>
      <c r="K2" s="321"/>
    </row>
    <row r="3" spans="2:19" x14ac:dyDescent="0.4">
      <c r="B3" s="242" t="s">
        <v>806</v>
      </c>
      <c r="C3" s="309" t="s">
        <v>820</v>
      </c>
      <c r="F3" s="24"/>
      <c r="G3" s="24"/>
      <c r="I3" s="245"/>
      <c r="J3" s="245"/>
      <c r="K3" s="246"/>
    </row>
    <row r="4" spans="2:19" s="239" customFormat="1" x14ac:dyDescent="0.4">
      <c r="F4" s="24"/>
      <c r="G4" s="24"/>
      <c r="I4" s="280" t="str" cm="1">
        <f t="array" ref="I4">STLClientSpecificSettings[Pricelist Version]</f>
        <v>V23.01</v>
      </c>
      <c r="J4" s="281" t="str" cm="1">
        <f t="array" ref="J4">STLClientSpecificSettings[Currency]</f>
        <v>AUD</v>
      </c>
      <c r="K4" s="283"/>
    </row>
    <row r="5" spans="2:19" ht="48" x14ac:dyDescent="0.4">
      <c r="B5" s="126" t="s">
        <v>14</v>
      </c>
      <c r="C5" s="126" t="s">
        <v>15</v>
      </c>
      <c r="D5" s="127" t="s">
        <v>501</v>
      </c>
      <c r="E5" s="127" t="s">
        <v>502</v>
      </c>
      <c r="F5" s="127" t="s">
        <v>503</v>
      </c>
      <c r="G5" s="128" t="s">
        <v>378</v>
      </c>
      <c r="H5" s="127" t="s">
        <v>10</v>
      </c>
      <c r="I5" s="126" t="s">
        <v>8</v>
      </c>
      <c r="J5" s="126" t="s">
        <v>381</v>
      </c>
      <c r="K5" s="126" t="s">
        <v>0</v>
      </c>
      <c r="L5"/>
      <c r="M5"/>
      <c r="N5"/>
      <c r="O5"/>
      <c r="P5"/>
      <c r="Q5"/>
      <c r="R5"/>
      <c r="S5"/>
    </row>
    <row r="6" spans="2:19" ht="14.6" x14ac:dyDescent="0.4">
      <c r="B6" s="309">
        <v>259</v>
      </c>
      <c r="C6" s="309">
        <v>3</v>
      </c>
      <c r="D6" s="309"/>
      <c r="E6" s="309"/>
      <c r="F6" s="309"/>
      <c r="G6" s="309" t="s">
        <v>645</v>
      </c>
      <c r="H6" s="309" t="s">
        <v>376</v>
      </c>
      <c r="I6" s="309" t="s">
        <v>375</v>
      </c>
      <c r="J6" s="309">
        <v>718.048947</v>
      </c>
      <c r="K6" s="309">
        <v>0</v>
      </c>
      <c r="L6"/>
      <c r="M6"/>
      <c r="N6"/>
      <c r="O6"/>
      <c r="P6"/>
      <c r="Q6"/>
      <c r="R6"/>
      <c r="S6"/>
    </row>
    <row r="7" spans="2:19" ht="14.6" x14ac:dyDescent="0.4">
      <c r="B7"/>
      <c r="C7"/>
      <c r="D7"/>
      <c r="E7"/>
      <c r="F7"/>
      <c r="G7"/>
      <c r="H7"/>
      <c r="I7"/>
      <c r="J7"/>
      <c r="K7"/>
      <c r="L7"/>
      <c r="M7"/>
      <c r="N7"/>
      <c r="O7"/>
      <c r="P7"/>
      <c r="Q7"/>
      <c r="R7"/>
      <c r="S7"/>
    </row>
    <row r="8" spans="2:19" ht="14.6" x14ac:dyDescent="0.4">
      <c r="B8"/>
      <c r="C8"/>
      <c r="D8"/>
      <c r="E8"/>
      <c r="F8"/>
      <c r="G8"/>
      <c r="H8"/>
      <c r="I8"/>
      <c r="J8"/>
      <c r="K8"/>
      <c r="L8"/>
      <c r="M8"/>
      <c r="N8"/>
      <c r="O8"/>
      <c r="P8"/>
      <c r="Q8"/>
      <c r="R8"/>
      <c r="S8"/>
    </row>
    <row r="9" spans="2:19" ht="14.6" x14ac:dyDescent="0.4">
      <c r="B9"/>
      <c r="C9"/>
      <c r="D9"/>
      <c r="E9"/>
      <c r="F9"/>
      <c r="G9"/>
      <c r="H9"/>
      <c r="I9"/>
      <c r="J9"/>
      <c r="K9"/>
      <c r="L9"/>
      <c r="M9"/>
      <c r="N9"/>
      <c r="O9"/>
      <c r="P9"/>
      <c r="Q9"/>
      <c r="R9"/>
      <c r="S9"/>
    </row>
    <row r="10" spans="2:19" ht="14.6" x14ac:dyDescent="0.4">
      <c r="B10"/>
      <c r="C10"/>
      <c r="D10"/>
      <c r="E10"/>
      <c r="F10"/>
      <c r="G10"/>
      <c r="H10"/>
      <c r="I10"/>
      <c r="J10"/>
      <c r="K10"/>
      <c r="L10"/>
      <c r="M10"/>
      <c r="N10"/>
      <c r="O10"/>
      <c r="P10"/>
      <c r="Q10"/>
      <c r="R10"/>
      <c r="S10"/>
    </row>
    <row r="11" spans="2:19" ht="14.6" x14ac:dyDescent="0.4">
      <c r="B11"/>
      <c r="C11"/>
      <c r="D11"/>
      <c r="E11"/>
      <c r="F11"/>
      <c r="G11"/>
      <c r="H11"/>
      <c r="I11"/>
      <c r="J11"/>
      <c r="K11"/>
      <c r="L11"/>
      <c r="M11"/>
      <c r="N11"/>
      <c r="O11"/>
      <c r="P11"/>
      <c r="Q11"/>
      <c r="R11"/>
      <c r="S11"/>
    </row>
    <row r="12" spans="2:19" ht="14.6" x14ac:dyDescent="0.4">
      <c r="B12"/>
      <c r="C12"/>
      <c r="D12"/>
      <c r="E12"/>
      <c r="F12"/>
      <c r="G12"/>
      <c r="H12"/>
      <c r="I12"/>
      <c r="J12"/>
      <c r="K12"/>
      <c r="L12"/>
      <c r="M12"/>
      <c r="N12"/>
      <c r="O12"/>
      <c r="P12"/>
      <c r="Q12"/>
      <c r="R12"/>
      <c r="S12"/>
    </row>
    <row r="13" spans="2:19" ht="14.6" x14ac:dyDescent="0.4">
      <c r="B13"/>
      <c r="C13"/>
      <c r="D13"/>
      <c r="E13"/>
      <c r="F13"/>
      <c r="G13"/>
      <c r="H13"/>
      <c r="I13"/>
      <c r="J13"/>
      <c r="K13"/>
      <c r="L13"/>
      <c r="M13"/>
      <c r="N13"/>
      <c r="O13"/>
      <c r="P13"/>
      <c r="Q13"/>
      <c r="R13"/>
      <c r="S13"/>
    </row>
    <row r="14" spans="2:19" ht="14.6" x14ac:dyDescent="0.4">
      <c r="B14"/>
      <c r="C14"/>
      <c r="D14"/>
      <c r="E14"/>
      <c r="F14"/>
      <c r="G14"/>
      <c r="H14"/>
      <c r="I14"/>
      <c r="J14"/>
      <c r="K14"/>
      <c r="L14"/>
      <c r="M14"/>
      <c r="N14"/>
      <c r="O14"/>
      <c r="P14"/>
      <c r="Q14"/>
      <c r="R14"/>
      <c r="S14"/>
    </row>
    <row r="15" spans="2:19" ht="14.6" x14ac:dyDescent="0.4">
      <c r="B15"/>
      <c r="C15"/>
      <c r="D15"/>
      <c r="E15"/>
      <c r="F15"/>
      <c r="G15"/>
      <c r="H15"/>
      <c r="I15"/>
      <c r="J15"/>
      <c r="K15"/>
      <c r="L15"/>
      <c r="M15"/>
      <c r="N15"/>
      <c r="O15"/>
      <c r="P15"/>
      <c r="Q15"/>
      <c r="R15"/>
      <c r="S15"/>
    </row>
    <row r="16" spans="2:19" ht="14.6" x14ac:dyDescent="0.4">
      <c r="B16"/>
      <c r="C16"/>
      <c r="D16"/>
      <c r="E16"/>
      <c r="F16"/>
      <c r="G16"/>
      <c r="H16"/>
      <c r="I16"/>
      <c r="J16"/>
      <c r="K16"/>
      <c r="L16"/>
      <c r="M16"/>
      <c r="N16"/>
      <c r="O16"/>
      <c r="P16"/>
      <c r="Q16"/>
      <c r="R16"/>
      <c r="S16"/>
    </row>
    <row r="17" spans="2:19" ht="14.6" x14ac:dyDescent="0.4">
      <c r="B17"/>
      <c r="C17"/>
      <c r="D17"/>
      <c r="E17"/>
      <c r="F17"/>
      <c r="G17"/>
      <c r="H17"/>
      <c r="I17"/>
      <c r="J17"/>
      <c r="K17"/>
      <c r="L17"/>
      <c r="M17"/>
      <c r="N17"/>
      <c r="O17"/>
      <c r="P17"/>
      <c r="Q17"/>
      <c r="R17"/>
      <c r="S17"/>
    </row>
    <row r="18" spans="2:19" ht="14.6" x14ac:dyDescent="0.4">
      <c r="B18"/>
      <c r="C18"/>
      <c r="D18"/>
      <c r="E18"/>
      <c r="F18"/>
      <c r="G18"/>
      <c r="H18"/>
      <c r="I18"/>
      <c r="J18"/>
      <c r="K18"/>
      <c r="L18"/>
      <c r="M18"/>
      <c r="N18"/>
      <c r="O18"/>
      <c r="P18"/>
      <c r="Q18"/>
      <c r="R18"/>
      <c r="S18"/>
    </row>
    <row r="19" spans="2:19" ht="14.6" x14ac:dyDescent="0.4">
      <c r="B19"/>
      <c r="C19"/>
      <c r="D19"/>
      <c r="E19"/>
      <c r="F19"/>
      <c r="G19"/>
      <c r="H19"/>
      <c r="I19"/>
      <c r="J19"/>
      <c r="K19"/>
      <c r="L19"/>
      <c r="M19"/>
      <c r="N19"/>
      <c r="O19"/>
      <c r="P19"/>
      <c r="Q19"/>
      <c r="R19"/>
      <c r="S19"/>
    </row>
    <row r="20" spans="2:19" ht="14.6" x14ac:dyDescent="0.4">
      <c r="B20"/>
      <c r="C20"/>
      <c r="D20"/>
      <c r="E20"/>
      <c r="F20"/>
      <c r="G20"/>
      <c r="H20"/>
      <c r="I20"/>
      <c r="J20"/>
      <c r="K20"/>
      <c r="L20"/>
      <c r="M20"/>
      <c r="N20"/>
      <c r="O20"/>
      <c r="P20"/>
      <c r="Q20"/>
      <c r="R20"/>
      <c r="S20"/>
    </row>
    <row r="21" spans="2:19" ht="14.6" x14ac:dyDescent="0.4">
      <c r="B21"/>
      <c r="C21"/>
      <c r="D21"/>
      <c r="E21"/>
      <c r="F21"/>
      <c r="G21"/>
      <c r="H21"/>
      <c r="I21"/>
      <c r="J21"/>
      <c r="K21"/>
      <c r="L21"/>
      <c r="M21"/>
      <c r="N21"/>
      <c r="O21"/>
      <c r="P21"/>
      <c r="Q21"/>
      <c r="R21"/>
      <c r="S21"/>
    </row>
    <row r="22" spans="2:19" ht="14.6" x14ac:dyDescent="0.4">
      <c r="B22"/>
      <c r="C22"/>
      <c r="D22"/>
      <c r="E22"/>
      <c r="F22"/>
      <c r="G22"/>
      <c r="H22"/>
      <c r="I22"/>
      <c r="J22"/>
      <c r="K22"/>
      <c r="L22"/>
      <c r="M22"/>
      <c r="N22"/>
      <c r="O22"/>
      <c r="P22"/>
      <c r="Q22"/>
      <c r="R22"/>
      <c r="S22"/>
    </row>
    <row r="23" spans="2:19" ht="14.6" x14ac:dyDescent="0.4">
      <c r="B23"/>
      <c r="C23"/>
      <c r="D23"/>
      <c r="E23"/>
      <c r="F23"/>
      <c r="G23"/>
      <c r="H23"/>
      <c r="I23"/>
      <c r="J23"/>
      <c r="K23"/>
      <c r="L23"/>
      <c r="M23"/>
      <c r="N23"/>
      <c r="O23"/>
      <c r="P23"/>
      <c r="Q23"/>
      <c r="R23"/>
      <c r="S23"/>
    </row>
    <row r="24" spans="2:19" ht="14.6" x14ac:dyDescent="0.4">
      <c r="B24"/>
      <c r="C24"/>
      <c r="D24"/>
      <c r="E24"/>
      <c r="F24"/>
      <c r="G24"/>
      <c r="H24"/>
      <c r="I24"/>
      <c r="J24"/>
      <c r="K24"/>
      <c r="L24"/>
      <c r="M24"/>
      <c r="N24"/>
      <c r="O24"/>
      <c r="P24"/>
      <c r="Q24"/>
      <c r="R24"/>
      <c r="S24"/>
    </row>
    <row r="25" spans="2:19" ht="14.6" x14ac:dyDescent="0.4">
      <c r="B25"/>
      <c r="C25"/>
      <c r="D25"/>
      <c r="E25"/>
      <c r="F25"/>
      <c r="G25"/>
      <c r="H25"/>
      <c r="I25"/>
      <c r="J25"/>
      <c r="K25"/>
      <c r="L25"/>
      <c r="M25"/>
      <c r="N25"/>
      <c r="O25"/>
      <c r="P25"/>
      <c r="Q25"/>
      <c r="R25"/>
      <c r="S25"/>
    </row>
    <row r="26" spans="2:19" ht="14.6" x14ac:dyDescent="0.4">
      <c r="B26"/>
      <c r="C26"/>
      <c r="D26"/>
      <c r="E26"/>
      <c r="F26"/>
      <c r="G26"/>
      <c r="H26"/>
      <c r="I26"/>
      <c r="J26"/>
      <c r="K26"/>
      <c r="L26"/>
      <c r="M26"/>
      <c r="N26"/>
      <c r="O26"/>
      <c r="P26"/>
      <c r="Q26"/>
      <c r="R26"/>
      <c r="S26"/>
    </row>
    <row r="27" spans="2:19" ht="14.6" x14ac:dyDescent="0.4">
      <c r="B27"/>
      <c r="C27"/>
      <c r="D27"/>
      <c r="E27"/>
      <c r="F27"/>
      <c r="G27"/>
      <c r="H27"/>
      <c r="I27"/>
      <c r="J27"/>
      <c r="K27"/>
      <c r="L27"/>
      <c r="M27"/>
      <c r="N27"/>
      <c r="O27"/>
      <c r="P27"/>
      <c r="Q27"/>
      <c r="R27"/>
      <c r="S27"/>
    </row>
    <row r="28" spans="2:19" ht="14.6" x14ac:dyDescent="0.4">
      <c r="B28"/>
      <c r="C28"/>
      <c r="D28"/>
      <c r="E28"/>
      <c r="F28"/>
      <c r="G28"/>
      <c r="H28"/>
      <c r="I28"/>
      <c r="J28"/>
      <c r="K28"/>
      <c r="L28"/>
      <c r="M28"/>
      <c r="N28"/>
      <c r="O28"/>
      <c r="P28"/>
      <c r="Q28"/>
      <c r="R28"/>
      <c r="S28"/>
    </row>
    <row r="29" spans="2:19" ht="14.6" x14ac:dyDescent="0.4">
      <c r="B29"/>
      <c r="C29"/>
      <c r="D29"/>
      <c r="E29"/>
      <c r="F29"/>
      <c r="G29"/>
      <c r="H29"/>
      <c r="I29"/>
      <c r="J29"/>
      <c r="K29"/>
      <c r="L29"/>
      <c r="M29"/>
      <c r="N29"/>
      <c r="O29"/>
      <c r="P29"/>
      <c r="Q29"/>
      <c r="R29"/>
      <c r="S29"/>
    </row>
    <row r="30" spans="2:19" ht="14.6" x14ac:dyDescent="0.4">
      <c r="B30"/>
      <c r="C30"/>
      <c r="D30"/>
      <c r="E30"/>
      <c r="F30"/>
      <c r="G30"/>
      <c r="H30"/>
      <c r="I30"/>
      <c r="J30"/>
      <c r="K30"/>
      <c r="L30"/>
      <c r="M30"/>
      <c r="N30"/>
      <c r="O30"/>
      <c r="P30"/>
      <c r="Q30"/>
      <c r="R30"/>
      <c r="S30"/>
    </row>
    <row r="31" spans="2:19" ht="14.6" x14ac:dyDescent="0.4">
      <c r="B31"/>
      <c r="C31"/>
      <c r="D31"/>
      <c r="E31"/>
      <c r="F31"/>
      <c r="G31"/>
      <c r="H31"/>
      <c r="I31"/>
      <c r="J31"/>
      <c r="K31"/>
      <c r="L31"/>
      <c r="M31"/>
      <c r="N31"/>
      <c r="O31"/>
      <c r="P31"/>
      <c r="Q31"/>
      <c r="R31"/>
      <c r="S31"/>
    </row>
    <row r="32" spans="2:19" ht="14.6" x14ac:dyDescent="0.4">
      <c r="B32"/>
      <c r="C32"/>
      <c r="D32"/>
      <c r="E32"/>
      <c r="F32"/>
      <c r="G32"/>
      <c r="H32"/>
      <c r="I32"/>
      <c r="J32"/>
      <c r="K32"/>
      <c r="L32"/>
      <c r="M32"/>
      <c r="N32"/>
      <c r="O32"/>
      <c r="P32"/>
      <c r="Q32"/>
      <c r="R32"/>
      <c r="S32"/>
    </row>
    <row r="33" spans="2:19" ht="14.6" x14ac:dyDescent="0.4">
      <c r="B33"/>
      <c r="C33"/>
      <c r="D33"/>
      <c r="E33"/>
      <c r="F33"/>
      <c r="G33"/>
      <c r="H33"/>
      <c r="I33"/>
      <c r="J33"/>
      <c r="K33"/>
      <c r="L33"/>
      <c r="M33"/>
      <c r="N33"/>
      <c r="O33"/>
      <c r="P33"/>
      <c r="Q33"/>
      <c r="R33"/>
      <c r="S33"/>
    </row>
    <row r="34" spans="2:19" ht="14.6" x14ac:dyDescent="0.4">
      <c r="B34"/>
      <c r="C34"/>
      <c r="D34"/>
      <c r="E34"/>
      <c r="F34"/>
      <c r="G34"/>
      <c r="H34"/>
      <c r="I34"/>
      <c r="J34"/>
      <c r="K34"/>
      <c r="L34"/>
      <c r="M34"/>
      <c r="N34"/>
      <c r="O34"/>
      <c r="P34"/>
      <c r="Q34"/>
      <c r="R34"/>
      <c r="S34"/>
    </row>
    <row r="35" spans="2:19" ht="14.6" x14ac:dyDescent="0.4">
      <c r="B35"/>
      <c r="C35"/>
      <c r="D35"/>
      <c r="E35"/>
      <c r="F35"/>
      <c r="G35"/>
      <c r="H35"/>
      <c r="I35"/>
      <c r="J35"/>
      <c r="K35"/>
      <c r="L35"/>
      <c r="M35"/>
      <c r="N35"/>
      <c r="O35"/>
      <c r="P35"/>
      <c r="Q35"/>
      <c r="R35"/>
      <c r="S35"/>
    </row>
    <row r="36" spans="2:19" ht="14.6" x14ac:dyDescent="0.4">
      <c r="B36"/>
      <c r="C36"/>
      <c r="D36"/>
      <c r="E36"/>
      <c r="F36"/>
      <c r="G36"/>
      <c r="H36"/>
      <c r="I36"/>
      <c r="J36"/>
      <c r="K36"/>
      <c r="L36"/>
      <c r="M36"/>
      <c r="N36"/>
      <c r="O36"/>
      <c r="P36"/>
      <c r="Q36"/>
      <c r="R36"/>
      <c r="S36"/>
    </row>
    <row r="37" spans="2:19" ht="14.6" x14ac:dyDescent="0.4">
      <c r="B37"/>
      <c r="C37"/>
      <c r="D37"/>
      <c r="E37"/>
      <c r="F37"/>
      <c r="G37"/>
      <c r="H37"/>
      <c r="I37"/>
      <c r="J37"/>
      <c r="K37"/>
      <c r="L37"/>
      <c r="M37"/>
      <c r="N37"/>
      <c r="O37"/>
      <c r="P37"/>
      <c r="Q37"/>
      <c r="R37"/>
      <c r="S37"/>
    </row>
    <row r="38" spans="2:19" ht="14.6" x14ac:dyDescent="0.4">
      <c r="B38"/>
      <c r="C38"/>
      <c r="D38"/>
      <c r="E38"/>
      <c r="F38"/>
      <c r="G38"/>
      <c r="H38"/>
      <c r="I38"/>
      <c r="J38"/>
      <c r="K38"/>
      <c r="L38"/>
      <c r="M38"/>
      <c r="N38"/>
      <c r="O38"/>
      <c r="P38"/>
      <c r="Q38"/>
      <c r="R38"/>
      <c r="S38"/>
    </row>
    <row r="39" spans="2:19" ht="14.6" x14ac:dyDescent="0.4">
      <c r="B39"/>
      <c r="C39"/>
      <c r="D39"/>
      <c r="E39"/>
      <c r="F39"/>
      <c r="G39"/>
      <c r="H39"/>
      <c r="I39"/>
      <c r="J39"/>
      <c r="K39"/>
      <c r="L39"/>
      <c r="M39"/>
      <c r="N39"/>
      <c r="O39"/>
      <c r="P39"/>
      <c r="Q39"/>
      <c r="R39"/>
      <c r="S39"/>
    </row>
    <row r="40" spans="2:19" ht="14.6" x14ac:dyDescent="0.4">
      <c r="B40"/>
      <c r="C40"/>
      <c r="D40"/>
      <c r="E40"/>
      <c r="F40"/>
      <c r="G40"/>
      <c r="H40"/>
      <c r="I40"/>
      <c r="J40"/>
      <c r="K40"/>
      <c r="L40"/>
      <c r="M40"/>
      <c r="N40"/>
      <c r="O40"/>
      <c r="P40"/>
      <c r="Q40"/>
      <c r="R40"/>
      <c r="S40"/>
    </row>
    <row r="41" spans="2:19" ht="14.6" x14ac:dyDescent="0.4">
      <c r="B41"/>
      <c r="C41"/>
      <c r="D41"/>
      <c r="E41"/>
      <c r="F41"/>
      <c r="G41"/>
      <c r="H41"/>
      <c r="I41"/>
      <c r="J41"/>
      <c r="K41"/>
      <c r="L41"/>
      <c r="M41"/>
      <c r="N41"/>
      <c r="O41"/>
      <c r="P41"/>
      <c r="Q41"/>
      <c r="R41"/>
      <c r="S41"/>
    </row>
    <row r="42" spans="2:19" ht="14.6" x14ac:dyDescent="0.4">
      <c r="B42"/>
      <c r="C42"/>
      <c r="D42"/>
      <c r="E42"/>
      <c r="F42"/>
      <c r="G42"/>
      <c r="H42"/>
      <c r="I42"/>
      <c r="J42"/>
      <c r="K42"/>
      <c r="L42"/>
      <c r="M42"/>
      <c r="N42"/>
      <c r="O42"/>
      <c r="P42"/>
      <c r="Q42"/>
      <c r="R42"/>
      <c r="S42"/>
    </row>
    <row r="43" spans="2:19" ht="14.6" x14ac:dyDescent="0.4">
      <c r="B43"/>
      <c r="C43"/>
      <c r="D43"/>
      <c r="E43"/>
      <c r="F43"/>
      <c r="G43"/>
      <c r="H43"/>
      <c r="I43"/>
      <c r="J43"/>
      <c r="K43"/>
      <c r="L43"/>
      <c r="M43"/>
      <c r="N43"/>
      <c r="O43"/>
      <c r="P43"/>
      <c r="Q43"/>
      <c r="R43"/>
      <c r="S43"/>
    </row>
    <row r="44" spans="2:19" ht="14.6" x14ac:dyDescent="0.4">
      <c r="B44"/>
      <c r="C44"/>
      <c r="D44"/>
      <c r="E44"/>
      <c r="F44"/>
      <c r="G44"/>
      <c r="H44"/>
      <c r="I44"/>
      <c r="J44"/>
      <c r="K44"/>
      <c r="L44"/>
      <c r="M44"/>
      <c r="N44"/>
      <c r="O44"/>
      <c r="P44"/>
      <c r="Q44"/>
      <c r="R44"/>
      <c r="S44"/>
    </row>
    <row r="45" spans="2:19" ht="14.6" x14ac:dyDescent="0.4">
      <c r="B45"/>
      <c r="C45"/>
      <c r="D45"/>
      <c r="E45"/>
      <c r="F45"/>
      <c r="G45"/>
      <c r="H45"/>
      <c r="I45"/>
      <c r="J45"/>
      <c r="K45"/>
      <c r="L45"/>
      <c r="M45"/>
      <c r="N45"/>
      <c r="O45"/>
      <c r="P45"/>
      <c r="Q45"/>
      <c r="R45"/>
      <c r="S45"/>
    </row>
    <row r="46" spans="2:19" ht="14.6" x14ac:dyDescent="0.4">
      <c r="B46"/>
      <c r="C46"/>
      <c r="D46"/>
      <c r="E46"/>
      <c r="F46"/>
      <c r="G46"/>
      <c r="H46"/>
      <c r="I46"/>
      <c r="J46"/>
      <c r="K46"/>
      <c r="L46"/>
      <c r="M46"/>
      <c r="N46"/>
      <c r="O46"/>
      <c r="P46"/>
      <c r="Q46"/>
      <c r="R46"/>
      <c r="S46"/>
    </row>
    <row r="47" spans="2:19" ht="14.6" x14ac:dyDescent="0.4">
      <c r="B47"/>
      <c r="C47"/>
      <c r="D47"/>
      <c r="E47"/>
      <c r="F47"/>
      <c r="G47"/>
      <c r="H47"/>
      <c r="I47"/>
      <c r="J47"/>
      <c r="K47"/>
      <c r="L47"/>
      <c r="M47"/>
      <c r="N47"/>
      <c r="O47"/>
      <c r="P47"/>
      <c r="Q47"/>
      <c r="R47"/>
      <c r="S47"/>
    </row>
    <row r="48" spans="2:19" ht="14.6" x14ac:dyDescent="0.4">
      <c r="B48"/>
      <c r="C48"/>
      <c r="D48"/>
      <c r="E48"/>
      <c r="F48"/>
      <c r="G48"/>
      <c r="H48"/>
      <c r="I48"/>
      <c r="J48"/>
      <c r="K48"/>
      <c r="L48"/>
      <c r="M48"/>
      <c r="N48"/>
      <c r="O48"/>
      <c r="P48"/>
      <c r="Q48"/>
      <c r="R48"/>
      <c r="S48"/>
    </row>
    <row r="49" spans="2:19" ht="14.6" x14ac:dyDescent="0.4">
      <c r="B49"/>
      <c r="C49"/>
      <c r="D49"/>
      <c r="E49"/>
      <c r="F49"/>
      <c r="G49"/>
      <c r="H49"/>
      <c r="I49"/>
      <c r="J49"/>
      <c r="K49"/>
      <c r="L49"/>
      <c r="M49"/>
      <c r="N49"/>
      <c r="O49"/>
      <c r="P49"/>
      <c r="Q49"/>
      <c r="R49"/>
      <c r="S49"/>
    </row>
    <row r="50" spans="2:19" ht="14.6" x14ac:dyDescent="0.4">
      <c r="B50"/>
      <c r="C50"/>
      <c r="D50"/>
      <c r="E50"/>
      <c r="F50"/>
      <c r="G50"/>
      <c r="H50"/>
      <c r="I50"/>
      <c r="J50"/>
      <c r="K50"/>
      <c r="L50"/>
      <c r="M50"/>
      <c r="N50"/>
      <c r="O50"/>
      <c r="P50"/>
      <c r="Q50"/>
      <c r="R50"/>
      <c r="S50"/>
    </row>
    <row r="51" spans="2:19" ht="14.6" x14ac:dyDescent="0.4">
      <c r="B51"/>
      <c r="C51"/>
      <c r="D51"/>
      <c r="E51"/>
      <c r="F51"/>
      <c r="G51"/>
      <c r="H51"/>
      <c r="I51"/>
      <c r="J51"/>
      <c r="K51"/>
      <c r="L51"/>
      <c r="M51"/>
      <c r="N51"/>
      <c r="O51"/>
      <c r="P51"/>
      <c r="Q51"/>
      <c r="R51"/>
      <c r="S51"/>
    </row>
    <row r="52" spans="2:19" ht="14.6" x14ac:dyDescent="0.4">
      <c r="B52"/>
      <c r="C52"/>
      <c r="D52"/>
      <c r="E52"/>
      <c r="F52"/>
      <c r="G52"/>
      <c r="H52"/>
      <c r="I52"/>
      <c r="J52"/>
      <c r="K52"/>
      <c r="L52"/>
      <c r="M52"/>
      <c r="N52"/>
      <c r="O52"/>
      <c r="P52"/>
      <c r="Q52"/>
      <c r="R52"/>
      <c r="S52"/>
    </row>
    <row r="53" spans="2:19" ht="14.6" x14ac:dyDescent="0.4">
      <c r="B53"/>
      <c r="C53"/>
      <c r="D53"/>
      <c r="E53"/>
      <c r="F53"/>
      <c r="G53"/>
      <c r="H53"/>
      <c r="I53"/>
      <c r="J53"/>
      <c r="K53"/>
      <c r="L53"/>
      <c r="M53"/>
      <c r="N53"/>
      <c r="O53"/>
      <c r="P53"/>
      <c r="Q53"/>
      <c r="R53"/>
      <c r="S53"/>
    </row>
    <row r="54" spans="2:19" ht="14.6" x14ac:dyDescent="0.4">
      <c r="B54"/>
      <c r="C54"/>
      <c r="D54"/>
      <c r="E54"/>
      <c r="F54"/>
      <c r="G54"/>
      <c r="H54"/>
      <c r="I54"/>
      <c r="J54"/>
      <c r="K54"/>
      <c r="L54"/>
      <c r="M54"/>
      <c r="N54"/>
      <c r="O54"/>
      <c r="P54"/>
      <c r="Q54"/>
      <c r="R54"/>
      <c r="S54"/>
    </row>
    <row r="55" spans="2:19" ht="14.6" x14ac:dyDescent="0.4">
      <c r="B55"/>
      <c r="C55"/>
      <c r="D55"/>
      <c r="E55"/>
      <c r="F55"/>
      <c r="G55"/>
      <c r="H55"/>
      <c r="I55"/>
      <c r="J55"/>
      <c r="K55"/>
      <c r="L55"/>
      <c r="M55"/>
      <c r="N55"/>
      <c r="O55"/>
      <c r="P55"/>
      <c r="Q55"/>
      <c r="R55"/>
      <c r="S55"/>
    </row>
    <row r="56" spans="2:19" ht="14.6" x14ac:dyDescent="0.4">
      <c r="B56"/>
      <c r="C56"/>
      <c r="D56"/>
      <c r="E56"/>
      <c r="F56"/>
      <c r="G56"/>
      <c r="H56"/>
      <c r="I56"/>
      <c r="J56"/>
      <c r="K56"/>
      <c r="L56"/>
      <c r="M56"/>
      <c r="N56"/>
      <c r="O56"/>
      <c r="P56"/>
      <c r="Q56"/>
      <c r="R56"/>
      <c r="S56"/>
    </row>
    <row r="57" spans="2:19" ht="14.6" x14ac:dyDescent="0.4">
      <c r="B57"/>
      <c r="C57"/>
      <c r="D57"/>
      <c r="E57"/>
      <c r="F57"/>
      <c r="G57"/>
      <c r="H57"/>
      <c r="I57"/>
      <c r="J57"/>
      <c r="K57"/>
      <c r="L57"/>
      <c r="M57"/>
      <c r="N57"/>
    </row>
    <row r="58" spans="2:19" ht="14.6" x14ac:dyDescent="0.4">
      <c r="B58"/>
      <c r="C58"/>
      <c r="D58"/>
      <c r="E58"/>
      <c r="F58"/>
      <c r="G58"/>
      <c r="H58"/>
      <c r="I58"/>
      <c r="J58"/>
      <c r="K58"/>
      <c r="L58"/>
      <c r="M58"/>
      <c r="N58"/>
    </row>
    <row r="59" spans="2:19" ht="14.6" x14ac:dyDescent="0.4">
      <c r="B59"/>
      <c r="C59"/>
      <c r="D59"/>
      <c r="E59"/>
      <c r="F59"/>
      <c r="G59"/>
      <c r="H59"/>
      <c r="I59"/>
      <c r="J59"/>
      <c r="K59"/>
      <c r="L59"/>
      <c r="M59"/>
      <c r="N59"/>
    </row>
    <row r="60" spans="2:19" ht="14.6" x14ac:dyDescent="0.4">
      <c r="B60"/>
      <c r="C60"/>
      <c r="D60"/>
      <c r="E60"/>
      <c r="F60"/>
      <c r="G60"/>
      <c r="H60"/>
      <c r="I60"/>
      <c r="J60"/>
      <c r="K60"/>
      <c r="L60"/>
      <c r="M60"/>
      <c r="N60"/>
    </row>
    <row r="61" spans="2:19" ht="14.6" x14ac:dyDescent="0.4">
      <c r="B61"/>
      <c r="C61"/>
      <c r="D61"/>
      <c r="E61"/>
      <c r="F61"/>
      <c r="G61"/>
      <c r="H61"/>
      <c r="I61"/>
      <c r="J61"/>
      <c r="K61"/>
      <c r="L61"/>
      <c r="M61"/>
      <c r="N61"/>
    </row>
    <row r="62" spans="2:19" ht="14.6" x14ac:dyDescent="0.4">
      <c r="B62"/>
      <c r="C62"/>
      <c r="D62"/>
      <c r="E62"/>
      <c r="F62"/>
      <c r="G62"/>
      <c r="H62"/>
      <c r="I62"/>
      <c r="J62"/>
      <c r="K62"/>
      <c r="L62"/>
      <c r="M62"/>
      <c r="N62"/>
    </row>
    <row r="63" spans="2:19" ht="14.6" x14ac:dyDescent="0.4">
      <c r="B63"/>
      <c r="C63"/>
      <c r="D63"/>
      <c r="E63"/>
      <c r="F63"/>
      <c r="G63"/>
      <c r="H63"/>
      <c r="I63"/>
      <c r="J63"/>
      <c r="K63"/>
      <c r="L63"/>
      <c r="M63"/>
      <c r="N63"/>
    </row>
    <row r="64" spans="2:19" ht="14.6" x14ac:dyDescent="0.4">
      <c r="B64"/>
      <c r="C64"/>
      <c r="D64"/>
      <c r="E64"/>
      <c r="F64"/>
      <c r="G64"/>
      <c r="H64"/>
      <c r="I64"/>
      <c r="J64"/>
      <c r="K64"/>
      <c r="L64"/>
      <c r="M64"/>
      <c r="N64"/>
    </row>
    <row r="65" spans="2:14" ht="14.6" x14ac:dyDescent="0.4">
      <c r="B65"/>
      <c r="C65"/>
      <c r="D65"/>
      <c r="E65"/>
      <c r="F65"/>
      <c r="G65"/>
      <c r="H65"/>
      <c r="I65"/>
      <c r="J65"/>
      <c r="K65"/>
      <c r="L65"/>
      <c r="M65"/>
      <c r="N65"/>
    </row>
    <row r="66" spans="2:14" ht="14.6" x14ac:dyDescent="0.4">
      <c r="B66"/>
      <c r="C66"/>
      <c r="D66"/>
      <c r="E66"/>
      <c r="F66"/>
      <c r="G66"/>
      <c r="H66"/>
      <c r="I66"/>
      <c r="J66"/>
      <c r="K66"/>
      <c r="L66"/>
      <c r="M66"/>
      <c r="N66"/>
    </row>
    <row r="67" spans="2:14" ht="14.6" x14ac:dyDescent="0.4">
      <c r="B67"/>
      <c r="C67"/>
      <c r="D67"/>
      <c r="E67"/>
      <c r="F67"/>
      <c r="G67"/>
      <c r="H67"/>
      <c r="I67"/>
      <c r="J67"/>
      <c r="K67"/>
      <c r="L67"/>
      <c r="M67"/>
      <c r="N67"/>
    </row>
    <row r="68" spans="2:14" ht="14.6" x14ac:dyDescent="0.4">
      <c r="B68"/>
      <c r="C68"/>
      <c r="D68"/>
      <c r="E68"/>
      <c r="F68"/>
      <c r="G68"/>
      <c r="H68"/>
      <c r="I68"/>
      <c r="J68"/>
      <c r="K68"/>
      <c r="L68"/>
      <c r="M68"/>
      <c r="N68"/>
    </row>
    <row r="69" spans="2:14" ht="14.6" x14ac:dyDescent="0.4">
      <c r="B69"/>
      <c r="C69"/>
      <c r="D69"/>
      <c r="E69"/>
      <c r="F69"/>
      <c r="G69"/>
      <c r="H69"/>
      <c r="I69"/>
      <c r="J69"/>
      <c r="K69"/>
      <c r="L69"/>
      <c r="M69"/>
      <c r="N69"/>
    </row>
    <row r="70" spans="2:14" ht="14.6" x14ac:dyDescent="0.4">
      <c r="B70"/>
      <c r="C70"/>
      <c r="D70"/>
      <c r="E70"/>
      <c r="F70"/>
      <c r="G70"/>
      <c r="H70"/>
      <c r="I70"/>
      <c r="J70"/>
      <c r="K70"/>
      <c r="L70"/>
      <c r="M70"/>
      <c r="N70"/>
    </row>
    <row r="71" spans="2:14" ht="14.6" x14ac:dyDescent="0.4">
      <c r="B71"/>
      <c r="C71"/>
      <c r="D71"/>
      <c r="E71"/>
      <c r="F71"/>
      <c r="G71"/>
      <c r="H71"/>
      <c r="I71"/>
      <c r="J71"/>
      <c r="K71"/>
      <c r="L71"/>
      <c r="M71"/>
      <c r="N71"/>
    </row>
    <row r="72" spans="2:14" ht="14.6" x14ac:dyDescent="0.4">
      <c r="B72"/>
      <c r="C72"/>
      <c r="D72"/>
      <c r="E72"/>
      <c r="F72"/>
      <c r="G72"/>
      <c r="H72"/>
      <c r="I72"/>
      <c r="J72"/>
      <c r="K72"/>
      <c r="L72"/>
      <c r="M72"/>
      <c r="N72"/>
    </row>
    <row r="73" spans="2:14" ht="14.6" x14ac:dyDescent="0.4">
      <c r="B73"/>
      <c r="C73"/>
      <c r="D73"/>
      <c r="E73"/>
      <c r="F73"/>
      <c r="G73"/>
      <c r="H73"/>
      <c r="I73"/>
      <c r="J73"/>
      <c r="K73"/>
      <c r="L73"/>
      <c r="M73"/>
      <c r="N73"/>
    </row>
    <row r="74" spans="2:14" ht="14.6" x14ac:dyDescent="0.4">
      <c r="B74"/>
      <c r="C74"/>
      <c r="D74"/>
      <c r="E74"/>
      <c r="F74"/>
      <c r="G74"/>
      <c r="H74"/>
      <c r="I74"/>
      <c r="J74"/>
      <c r="K74"/>
      <c r="L74"/>
      <c r="M74"/>
      <c r="N74"/>
    </row>
    <row r="75" spans="2:14" ht="14.6" x14ac:dyDescent="0.4">
      <c r="B75"/>
      <c r="C75"/>
      <c r="D75"/>
      <c r="E75"/>
      <c r="F75"/>
      <c r="G75"/>
      <c r="H75"/>
      <c r="I75"/>
      <c r="J75"/>
      <c r="K75"/>
      <c r="L75"/>
      <c r="M75"/>
      <c r="N75"/>
    </row>
    <row r="76" spans="2:14" ht="14.6" x14ac:dyDescent="0.4">
      <c r="B76"/>
      <c r="C76"/>
      <c r="D76"/>
      <c r="E76"/>
      <c r="F76"/>
      <c r="G76"/>
      <c r="H76"/>
      <c r="I76"/>
      <c r="J76"/>
      <c r="K76"/>
      <c r="L76"/>
      <c r="M76"/>
      <c r="N76"/>
    </row>
    <row r="77" spans="2:14" ht="14.6" x14ac:dyDescent="0.4">
      <c r="B77"/>
      <c r="C77"/>
      <c r="D77"/>
      <c r="E77"/>
      <c r="F77"/>
      <c r="G77"/>
      <c r="H77"/>
      <c r="I77"/>
      <c r="J77"/>
      <c r="K77"/>
      <c r="L77"/>
      <c r="M77"/>
      <c r="N77"/>
    </row>
    <row r="78" spans="2:14" ht="14.6" x14ac:dyDescent="0.4">
      <c r="B78"/>
      <c r="C78"/>
      <c r="D78"/>
      <c r="E78"/>
      <c r="F78"/>
      <c r="G78"/>
      <c r="H78"/>
      <c r="I78"/>
      <c r="J78"/>
      <c r="K78"/>
      <c r="L78"/>
      <c r="M78"/>
      <c r="N78"/>
    </row>
    <row r="79" spans="2:14" ht="14.6" x14ac:dyDescent="0.4">
      <c r="B79"/>
      <c r="C79"/>
      <c r="D79"/>
      <c r="E79"/>
      <c r="F79"/>
      <c r="G79"/>
      <c r="H79"/>
      <c r="I79"/>
      <c r="J79"/>
      <c r="K79"/>
      <c r="L79"/>
      <c r="M79"/>
      <c r="N79"/>
    </row>
    <row r="80" spans="2:14" ht="14.6" x14ac:dyDescent="0.4">
      <c r="B80"/>
      <c r="C80"/>
      <c r="D80"/>
      <c r="E80"/>
      <c r="F80"/>
      <c r="G80"/>
      <c r="H80"/>
      <c r="I80"/>
      <c r="J80"/>
      <c r="K80"/>
      <c r="L80"/>
      <c r="M80"/>
      <c r="N80"/>
    </row>
    <row r="81" spans="2:14" ht="14.6" x14ac:dyDescent="0.4">
      <c r="B81"/>
      <c r="C81"/>
      <c r="D81"/>
      <c r="E81"/>
      <c r="F81"/>
      <c r="G81"/>
      <c r="H81"/>
      <c r="I81"/>
      <c r="J81"/>
      <c r="K81"/>
      <c r="L81"/>
      <c r="M81"/>
      <c r="N81"/>
    </row>
    <row r="82" spans="2:14" ht="14.6" x14ac:dyDescent="0.4">
      <c r="B82"/>
      <c r="C82"/>
      <c r="D82"/>
      <c r="E82"/>
      <c r="F82"/>
      <c r="G82"/>
      <c r="H82"/>
      <c r="I82"/>
      <c r="J82"/>
      <c r="K82"/>
      <c r="L82"/>
      <c r="M82"/>
      <c r="N82"/>
    </row>
    <row r="83" spans="2:14" ht="14.6" x14ac:dyDescent="0.4">
      <c r="B83"/>
      <c r="C83"/>
      <c r="D83"/>
      <c r="E83"/>
      <c r="F83"/>
      <c r="G83"/>
      <c r="H83"/>
      <c r="I83"/>
      <c r="J83"/>
      <c r="K83"/>
      <c r="L83"/>
      <c r="M83"/>
      <c r="N83"/>
    </row>
    <row r="84" spans="2:14" ht="14.6" x14ac:dyDescent="0.4">
      <c r="B84"/>
      <c r="C84"/>
      <c r="D84"/>
      <c r="E84"/>
      <c r="F84"/>
      <c r="G84"/>
      <c r="H84"/>
      <c r="I84"/>
      <c r="J84"/>
      <c r="K84"/>
      <c r="L84"/>
      <c r="M84"/>
      <c r="N84"/>
    </row>
    <row r="85" spans="2:14" ht="14.6" x14ac:dyDescent="0.4">
      <c r="B85"/>
      <c r="C85"/>
      <c r="D85"/>
      <c r="E85"/>
      <c r="F85"/>
      <c r="G85"/>
      <c r="H85"/>
      <c r="I85"/>
      <c r="J85"/>
      <c r="K85"/>
      <c r="L85"/>
      <c r="M85"/>
      <c r="N85"/>
    </row>
    <row r="86" spans="2:14" ht="14.6" x14ac:dyDescent="0.4">
      <c r="B86"/>
      <c r="C86"/>
      <c r="D86"/>
      <c r="E86"/>
      <c r="F86"/>
      <c r="G86"/>
      <c r="H86"/>
      <c r="I86"/>
      <c r="J86"/>
      <c r="K86"/>
      <c r="L86"/>
      <c r="M86"/>
      <c r="N86"/>
    </row>
    <row r="87" spans="2:14" ht="14.6" x14ac:dyDescent="0.4">
      <c r="B87"/>
      <c r="C87"/>
      <c r="D87"/>
      <c r="E87"/>
      <c r="F87"/>
      <c r="G87"/>
      <c r="H87"/>
      <c r="I87"/>
      <c r="J87"/>
      <c r="K87"/>
      <c r="L87"/>
      <c r="M87"/>
      <c r="N87"/>
    </row>
    <row r="88" spans="2:14" ht="14.6" x14ac:dyDescent="0.4">
      <c r="B88"/>
      <c r="C88"/>
      <c r="D88"/>
      <c r="E88"/>
      <c r="F88"/>
      <c r="G88"/>
      <c r="H88"/>
      <c r="I88"/>
      <c r="J88"/>
      <c r="K88"/>
      <c r="L88"/>
      <c r="M88"/>
      <c r="N88"/>
    </row>
    <row r="89" spans="2:14" ht="14.6" x14ac:dyDescent="0.4">
      <c r="B89"/>
      <c r="C89"/>
      <c r="D89"/>
      <c r="E89"/>
      <c r="F89"/>
      <c r="G89"/>
      <c r="H89"/>
      <c r="I89"/>
      <c r="J89"/>
      <c r="K89"/>
      <c r="L89"/>
      <c r="M89"/>
      <c r="N89"/>
    </row>
    <row r="90" spans="2:14" ht="14.6" x14ac:dyDescent="0.4">
      <c r="B90"/>
      <c r="C90"/>
      <c r="D90"/>
      <c r="E90"/>
      <c r="F90"/>
      <c r="G90"/>
      <c r="H90"/>
      <c r="I90"/>
      <c r="J90"/>
      <c r="K90"/>
    </row>
    <row r="91" spans="2:14" ht="14.6" x14ac:dyDescent="0.4">
      <c r="B91"/>
      <c r="C91"/>
      <c r="D91"/>
      <c r="E91"/>
      <c r="F91"/>
      <c r="G91"/>
      <c r="H91"/>
      <c r="I91"/>
      <c r="J91"/>
      <c r="K91"/>
    </row>
    <row r="92" spans="2:14" ht="14.6" x14ac:dyDescent="0.4">
      <c r="B92"/>
      <c r="C92"/>
      <c r="D92"/>
      <c r="E92"/>
      <c r="F92"/>
      <c r="G92"/>
      <c r="H92"/>
      <c r="I92"/>
      <c r="J92"/>
      <c r="K92"/>
    </row>
    <row r="93" spans="2:14" ht="14.6" x14ac:dyDescent="0.4">
      <c r="B93"/>
      <c r="C93"/>
      <c r="D93"/>
      <c r="E93"/>
      <c r="F93"/>
      <c r="G93"/>
      <c r="H93"/>
      <c r="I93"/>
      <c r="J93"/>
      <c r="K93"/>
    </row>
    <row r="94" spans="2:14" ht="14.6" x14ac:dyDescent="0.4">
      <c r="B94"/>
      <c r="C94"/>
      <c r="D94"/>
      <c r="E94"/>
      <c r="F94"/>
      <c r="G94"/>
      <c r="H94"/>
      <c r="I94"/>
      <c r="J94"/>
      <c r="K94"/>
    </row>
    <row r="95" spans="2:14" ht="14.6" x14ac:dyDescent="0.4">
      <c r="B95"/>
      <c r="C95"/>
      <c r="D95"/>
      <c r="E95"/>
      <c r="F95"/>
      <c r="G95"/>
      <c r="H95"/>
      <c r="I95"/>
      <c r="J95"/>
      <c r="K95"/>
    </row>
    <row r="96" spans="2:14" ht="14.6" x14ac:dyDescent="0.4">
      <c r="B96"/>
      <c r="C96"/>
      <c r="D96"/>
      <c r="E96"/>
      <c r="F96"/>
      <c r="G96"/>
      <c r="H96"/>
      <c r="I96"/>
      <c r="J96"/>
      <c r="K96"/>
    </row>
    <row r="97" spans="2:11" ht="14.6" x14ac:dyDescent="0.4">
      <c r="B97"/>
      <c r="C97"/>
      <c r="D97"/>
      <c r="E97"/>
      <c r="F97"/>
      <c r="G97"/>
      <c r="H97"/>
      <c r="I97"/>
      <c r="J97"/>
      <c r="K97"/>
    </row>
    <row r="98" spans="2:11" ht="14.6" x14ac:dyDescent="0.4">
      <c r="B98"/>
      <c r="C98"/>
      <c r="D98"/>
      <c r="E98"/>
      <c r="F98"/>
      <c r="G98"/>
      <c r="H98"/>
      <c r="I98"/>
      <c r="J98"/>
      <c r="K98"/>
    </row>
    <row r="99" spans="2:11" ht="14.6" x14ac:dyDescent="0.4">
      <c r="B99"/>
      <c r="C99"/>
      <c r="D99"/>
      <c r="E99"/>
      <c r="F99"/>
      <c r="G99"/>
      <c r="H99"/>
      <c r="I99"/>
      <c r="J99"/>
      <c r="K99"/>
    </row>
    <row r="100" spans="2:11" ht="14.6" x14ac:dyDescent="0.4">
      <c r="B100"/>
      <c r="C100"/>
      <c r="D100"/>
      <c r="E100"/>
      <c r="F100"/>
      <c r="G100"/>
      <c r="H100"/>
      <c r="I100"/>
      <c r="J100"/>
      <c r="K100"/>
    </row>
    <row r="101" spans="2:11" ht="14.6" x14ac:dyDescent="0.4">
      <c r="B101"/>
      <c r="C101"/>
      <c r="D101"/>
      <c r="E101"/>
      <c r="F101"/>
      <c r="G101"/>
      <c r="H101"/>
      <c r="I101"/>
      <c r="J101"/>
      <c r="K101"/>
    </row>
    <row r="102" spans="2:11" ht="14.6" x14ac:dyDescent="0.4">
      <c r="B102"/>
      <c r="C102"/>
      <c r="D102"/>
      <c r="E102"/>
      <c r="F102"/>
      <c r="G102"/>
      <c r="H102"/>
      <c r="I102"/>
      <c r="J102"/>
      <c r="K102"/>
    </row>
    <row r="103" spans="2:11" ht="14.6" x14ac:dyDescent="0.4">
      <c r="B103"/>
      <c r="C103"/>
      <c r="D103"/>
      <c r="E103"/>
      <c r="F103"/>
      <c r="G103"/>
      <c r="H103"/>
      <c r="I103"/>
      <c r="J103"/>
      <c r="K103"/>
    </row>
    <row r="104" spans="2:11" ht="14.6" x14ac:dyDescent="0.4">
      <c r="B104"/>
      <c r="C104"/>
      <c r="D104"/>
      <c r="E104"/>
      <c r="F104"/>
      <c r="G104"/>
      <c r="H104"/>
      <c r="I104"/>
      <c r="J104"/>
      <c r="K104"/>
    </row>
    <row r="105" spans="2:11" ht="14.6" x14ac:dyDescent="0.4">
      <c r="B105"/>
      <c r="C105"/>
      <c r="D105"/>
      <c r="E105"/>
      <c r="F105"/>
      <c r="G105"/>
      <c r="H105"/>
      <c r="I105"/>
      <c r="J105"/>
      <c r="K105"/>
    </row>
    <row r="106" spans="2:11" ht="14.6" x14ac:dyDescent="0.4">
      <c r="B106"/>
      <c r="C106"/>
      <c r="D106"/>
      <c r="E106"/>
      <c r="F106"/>
      <c r="G106"/>
      <c r="H106"/>
      <c r="I106"/>
      <c r="J106"/>
      <c r="K106"/>
    </row>
    <row r="107" spans="2:11" ht="14.6" x14ac:dyDescent="0.4">
      <c r="B107"/>
      <c r="C107"/>
      <c r="D107"/>
      <c r="E107"/>
      <c r="F107"/>
      <c r="G107"/>
      <c r="H107"/>
      <c r="I107"/>
      <c r="J107"/>
      <c r="K107"/>
    </row>
    <row r="108" spans="2:11" ht="14.6" x14ac:dyDescent="0.4">
      <c r="B108"/>
      <c r="C108"/>
      <c r="D108"/>
      <c r="E108"/>
      <c r="F108"/>
      <c r="G108"/>
      <c r="H108"/>
      <c r="I108"/>
      <c r="J108"/>
      <c r="K108"/>
    </row>
    <row r="109" spans="2:11" ht="14.6" x14ac:dyDescent="0.4">
      <c r="B109"/>
      <c r="C109"/>
      <c r="D109"/>
      <c r="E109"/>
      <c r="F109"/>
      <c r="G109"/>
      <c r="H109"/>
      <c r="I109"/>
      <c r="J109"/>
      <c r="K109"/>
    </row>
    <row r="110" spans="2:11" ht="14.6" x14ac:dyDescent="0.4">
      <c r="B110"/>
      <c r="C110"/>
      <c r="D110"/>
      <c r="E110"/>
      <c r="F110"/>
      <c r="G110"/>
      <c r="H110"/>
      <c r="I110"/>
      <c r="J110"/>
      <c r="K110"/>
    </row>
    <row r="111" spans="2:11" ht="14.6" x14ac:dyDescent="0.4">
      <c r="B111"/>
      <c r="C111"/>
      <c r="D111"/>
      <c r="E111"/>
      <c r="F111"/>
      <c r="G111"/>
      <c r="H111"/>
      <c r="I111"/>
      <c r="J111"/>
      <c r="K111"/>
    </row>
    <row r="112" spans="2:11" ht="14.6" x14ac:dyDescent="0.4">
      <c r="B112"/>
      <c r="C112"/>
      <c r="D112"/>
      <c r="E112"/>
      <c r="F112"/>
      <c r="G112"/>
      <c r="H112"/>
      <c r="I112"/>
      <c r="J112"/>
      <c r="K112"/>
    </row>
    <row r="113" spans="2:11" ht="14.6" x14ac:dyDescent="0.4">
      <c r="B113"/>
      <c r="C113"/>
      <c r="D113"/>
      <c r="E113"/>
      <c r="F113"/>
      <c r="G113"/>
      <c r="H113"/>
      <c r="I113"/>
      <c r="J113"/>
      <c r="K113"/>
    </row>
    <row r="114" spans="2:11" ht="14.6" x14ac:dyDescent="0.4">
      <c r="B114"/>
      <c r="C114"/>
      <c r="D114"/>
      <c r="E114"/>
      <c r="F114"/>
      <c r="G114"/>
      <c r="H114"/>
      <c r="I114"/>
      <c r="J114"/>
      <c r="K114"/>
    </row>
    <row r="115" spans="2:11" ht="14.6" x14ac:dyDescent="0.4">
      <c r="B115"/>
      <c r="C115"/>
      <c r="D115"/>
      <c r="E115"/>
      <c r="F115"/>
      <c r="G115"/>
      <c r="H115"/>
      <c r="I115"/>
      <c r="J115"/>
      <c r="K115"/>
    </row>
    <row r="116" spans="2:11" ht="14.6" x14ac:dyDescent="0.4">
      <c r="B116"/>
      <c r="C116"/>
      <c r="D116"/>
      <c r="E116"/>
      <c r="F116"/>
      <c r="G116"/>
      <c r="H116"/>
      <c r="I116"/>
      <c r="J116"/>
      <c r="K116"/>
    </row>
    <row r="117" spans="2:11" ht="14.6" x14ac:dyDescent="0.4">
      <c r="B117"/>
      <c r="C117"/>
      <c r="D117"/>
      <c r="E117"/>
      <c r="F117"/>
      <c r="G117"/>
      <c r="H117"/>
      <c r="I117"/>
      <c r="J117"/>
      <c r="K117"/>
    </row>
    <row r="118" spans="2:11" ht="14.6" x14ac:dyDescent="0.4">
      <c r="B118"/>
      <c r="C118"/>
      <c r="D118"/>
      <c r="E118"/>
      <c r="F118"/>
      <c r="G118"/>
      <c r="H118"/>
      <c r="I118"/>
      <c r="J118"/>
      <c r="K118"/>
    </row>
    <row r="119" spans="2:11" ht="14.6" x14ac:dyDescent="0.4">
      <c r="B119"/>
      <c r="C119"/>
      <c r="D119"/>
      <c r="E119"/>
      <c r="F119"/>
      <c r="G119"/>
      <c r="H119"/>
      <c r="I119"/>
      <c r="J119"/>
      <c r="K119"/>
    </row>
    <row r="120" spans="2:11" ht="14.6" x14ac:dyDescent="0.4">
      <c r="B120"/>
      <c r="C120"/>
      <c r="D120"/>
      <c r="E120"/>
      <c r="F120"/>
      <c r="G120"/>
      <c r="H120"/>
      <c r="I120"/>
      <c r="J120"/>
      <c r="K120"/>
    </row>
    <row r="121" spans="2:11" ht="14.6" x14ac:dyDescent="0.4">
      <c r="B121"/>
      <c r="C121"/>
      <c r="D121"/>
      <c r="E121"/>
      <c r="F121"/>
      <c r="G121"/>
      <c r="H121"/>
      <c r="I121"/>
      <c r="J121"/>
      <c r="K121"/>
    </row>
    <row r="122" spans="2:11" ht="14.6" x14ac:dyDescent="0.4">
      <c r="B122"/>
      <c r="C122"/>
      <c r="D122"/>
      <c r="E122"/>
      <c r="F122"/>
      <c r="G122"/>
      <c r="H122"/>
      <c r="I122"/>
      <c r="J122"/>
      <c r="K122"/>
    </row>
    <row r="123" spans="2:11" ht="14.6" x14ac:dyDescent="0.4">
      <c r="B123"/>
      <c r="C123"/>
      <c r="D123"/>
      <c r="E123"/>
      <c r="F123"/>
      <c r="G123"/>
      <c r="H123"/>
      <c r="I123"/>
      <c r="J123"/>
      <c r="K123"/>
    </row>
    <row r="124" spans="2:11" ht="14.6" x14ac:dyDescent="0.4">
      <c r="B124"/>
      <c r="C124"/>
      <c r="D124"/>
      <c r="E124"/>
      <c r="F124"/>
      <c r="G124"/>
      <c r="H124"/>
      <c r="I124"/>
      <c r="J124"/>
      <c r="K124"/>
    </row>
    <row r="125" spans="2:11" ht="14.6" x14ac:dyDescent="0.4">
      <c r="B125"/>
      <c r="C125"/>
      <c r="D125"/>
      <c r="E125"/>
      <c r="F125"/>
      <c r="G125"/>
      <c r="H125"/>
      <c r="I125"/>
      <c r="J125"/>
      <c r="K125"/>
    </row>
    <row r="126" spans="2:11" ht="14.6" x14ac:dyDescent="0.4">
      <c r="B126"/>
      <c r="C126"/>
      <c r="D126"/>
      <c r="E126"/>
      <c r="F126"/>
      <c r="G126"/>
      <c r="H126"/>
      <c r="I126"/>
      <c r="J126"/>
      <c r="K126"/>
    </row>
    <row r="127" spans="2:11" ht="14.6" x14ac:dyDescent="0.4">
      <c r="B127"/>
      <c r="C127"/>
      <c r="D127"/>
      <c r="E127"/>
      <c r="F127"/>
      <c r="G127"/>
      <c r="H127"/>
      <c r="I127"/>
      <c r="J127"/>
      <c r="K127"/>
    </row>
    <row r="128" spans="2:11" ht="14.6" x14ac:dyDescent="0.4">
      <c r="B128"/>
      <c r="C128"/>
      <c r="D128"/>
      <c r="E128"/>
      <c r="F128"/>
      <c r="G128"/>
      <c r="H128"/>
      <c r="I128"/>
      <c r="J128"/>
      <c r="K128"/>
    </row>
    <row r="129" spans="2:11" ht="14.6" x14ac:dyDescent="0.4">
      <c r="B129"/>
      <c r="C129"/>
      <c r="D129"/>
      <c r="E129"/>
      <c r="F129"/>
      <c r="G129"/>
      <c r="H129"/>
      <c r="I129"/>
      <c r="J129"/>
      <c r="K129"/>
    </row>
    <row r="130" spans="2:11" ht="14.6" x14ac:dyDescent="0.4">
      <c r="B130"/>
      <c r="C130"/>
      <c r="D130"/>
      <c r="E130"/>
      <c r="F130"/>
      <c r="G130"/>
      <c r="H130"/>
      <c r="I130"/>
      <c r="J130"/>
      <c r="K130"/>
    </row>
    <row r="131" spans="2:11" ht="14.6" x14ac:dyDescent="0.4">
      <c r="B131"/>
      <c r="C131"/>
      <c r="D131"/>
      <c r="E131"/>
      <c r="F131"/>
      <c r="G131"/>
      <c r="H131"/>
      <c r="I131"/>
      <c r="J131"/>
      <c r="K131"/>
    </row>
    <row r="132" spans="2:11" ht="14.6" x14ac:dyDescent="0.4">
      <c r="B132"/>
      <c r="C132"/>
      <c r="D132"/>
      <c r="E132"/>
      <c r="F132"/>
      <c r="G132"/>
      <c r="H132"/>
      <c r="I132"/>
      <c r="J132"/>
      <c r="K132"/>
    </row>
    <row r="133" spans="2:11" ht="14.6" x14ac:dyDescent="0.4">
      <c r="B133"/>
      <c r="C133"/>
      <c r="D133"/>
      <c r="E133"/>
      <c r="F133"/>
      <c r="G133"/>
      <c r="H133"/>
      <c r="I133"/>
      <c r="J133"/>
      <c r="K133"/>
    </row>
    <row r="134" spans="2:11" ht="14.6" x14ac:dyDescent="0.4">
      <c r="B134"/>
      <c r="C134"/>
      <c r="D134"/>
      <c r="E134"/>
      <c r="F134"/>
      <c r="G134"/>
      <c r="H134"/>
      <c r="I134"/>
      <c r="J134"/>
      <c r="K134"/>
    </row>
    <row r="135" spans="2:11" ht="14.6" x14ac:dyDescent="0.4">
      <c r="B135"/>
      <c r="C135"/>
      <c r="D135"/>
      <c r="E135"/>
      <c r="F135"/>
      <c r="G135"/>
      <c r="H135"/>
      <c r="I135"/>
      <c r="J135"/>
      <c r="K135"/>
    </row>
    <row r="136" spans="2:11" ht="14.6" x14ac:dyDescent="0.4">
      <c r="B136"/>
      <c r="C136"/>
      <c r="D136"/>
      <c r="E136"/>
      <c r="F136"/>
      <c r="G136"/>
      <c r="H136"/>
      <c r="I136"/>
      <c r="J136"/>
      <c r="K136"/>
    </row>
    <row r="137" spans="2:11" ht="14.6" x14ac:dyDescent="0.4">
      <c r="B137"/>
      <c r="C137"/>
      <c r="D137"/>
      <c r="E137"/>
      <c r="F137"/>
      <c r="G137"/>
      <c r="H137"/>
      <c r="I137"/>
      <c r="J137"/>
      <c r="K137"/>
    </row>
    <row r="138" spans="2:11" ht="14.6" x14ac:dyDescent="0.4">
      <c r="B138"/>
      <c r="C138"/>
      <c r="D138"/>
      <c r="E138"/>
      <c r="F138"/>
      <c r="G138"/>
      <c r="H138"/>
      <c r="I138"/>
      <c r="J138"/>
      <c r="K138"/>
    </row>
    <row r="139" spans="2:11" ht="14.6" x14ac:dyDescent="0.4">
      <c r="B139"/>
      <c r="C139"/>
      <c r="D139"/>
      <c r="E139"/>
      <c r="F139"/>
      <c r="G139"/>
      <c r="H139"/>
      <c r="I139"/>
      <c r="J139"/>
      <c r="K139"/>
    </row>
    <row r="140" spans="2:11" ht="14.6" x14ac:dyDescent="0.4">
      <c r="B140"/>
      <c r="C140"/>
      <c r="D140"/>
      <c r="E140"/>
      <c r="F140"/>
      <c r="G140"/>
      <c r="H140"/>
      <c r="I140"/>
      <c r="J140"/>
      <c r="K140"/>
    </row>
    <row r="141" spans="2:11" ht="14.6" x14ac:dyDescent="0.4">
      <c r="B141"/>
      <c r="C141"/>
      <c r="D141"/>
      <c r="E141"/>
      <c r="F141"/>
      <c r="G141"/>
      <c r="H141"/>
      <c r="I141"/>
      <c r="J141"/>
      <c r="K141"/>
    </row>
    <row r="142" spans="2:11" ht="14.6" x14ac:dyDescent="0.4">
      <c r="B142"/>
      <c r="C142"/>
      <c r="D142"/>
      <c r="E142"/>
      <c r="F142"/>
      <c r="G142"/>
      <c r="H142"/>
      <c r="I142"/>
      <c r="J142"/>
      <c r="K142"/>
    </row>
    <row r="143" spans="2:11" ht="14.6" x14ac:dyDescent="0.4">
      <c r="B143"/>
      <c r="C143"/>
      <c r="D143"/>
      <c r="E143"/>
      <c r="F143"/>
      <c r="G143"/>
      <c r="H143"/>
      <c r="I143"/>
      <c r="J143"/>
      <c r="K143"/>
    </row>
    <row r="144" spans="2:11" ht="14.6" x14ac:dyDescent="0.4">
      <c r="B144"/>
      <c r="C144"/>
      <c r="D144"/>
      <c r="E144"/>
      <c r="F144"/>
      <c r="G144"/>
      <c r="H144"/>
      <c r="I144"/>
      <c r="J144"/>
      <c r="K144"/>
    </row>
    <row r="145" spans="2:11" ht="14.6" x14ac:dyDescent="0.4">
      <c r="B145"/>
      <c r="C145"/>
      <c r="D145"/>
      <c r="E145"/>
      <c r="F145"/>
      <c r="G145"/>
      <c r="H145"/>
      <c r="I145"/>
      <c r="J145"/>
      <c r="K145"/>
    </row>
    <row r="146" spans="2:11" ht="14.6" x14ac:dyDescent="0.4">
      <c r="B146"/>
      <c r="C146"/>
      <c r="D146"/>
      <c r="E146"/>
      <c r="F146"/>
      <c r="G146"/>
      <c r="H146"/>
      <c r="I146"/>
      <c r="J146"/>
      <c r="K146"/>
    </row>
    <row r="147" spans="2:11" ht="14.6" x14ac:dyDescent="0.4">
      <c r="B147"/>
      <c r="C147"/>
      <c r="D147"/>
      <c r="E147"/>
      <c r="F147"/>
      <c r="G147"/>
      <c r="H147"/>
      <c r="I147"/>
      <c r="J147"/>
      <c r="K147"/>
    </row>
    <row r="148" spans="2:11" ht="14.6" x14ac:dyDescent="0.4">
      <c r="B148"/>
      <c r="C148"/>
      <c r="D148"/>
      <c r="E148"/>
      <c r="F148"/>
      <c r="G148"/>
      <c r="H148"/>
      <c r="I148"/>
      <c r="J148"/>
      <c r="K148"/>
    </row>
    <row r="149" spans="2:11" ht="14.6" x14ac:dyDescent="0.4">
      <c r="B149"/>
      <c r="C149"/>
      <c r="D149"/>
      <c r="E149"/>
      <c r="F149"/>
      <c r="G149"/>
      <c r="H149"/>
      <c r="I149"/>
      <c r="J149"/>
      <c r="K149"/>
    </row>
    <row r="150" spans="2:11" ht="14.6" x14ac:dyDescent="0.4">
      <c r="B150"/>
      <c r="C150"/>
      <c r="D150"/>
      <c r="E150"/>
      <c r="F150"/>
      <c r="G150"/>
      <c r="H150"/>
      <c r="I150"/>
      <c r="J150"/>
      <c r="K150"/>
    </row>
    <row r="151" spans="2:11" ht="14.6" x14ac:dyDescent="0.4">
      <c r="B151"/>
      <c r="C151"/>
      <c r="D151"/>
      <c r="E151"/>
      <c r="F151"/>
      <c r="G151"/>
      <c r="H151"/>
      <c r="I151"/>
      <c r="J151"/>
      <c r="K151"/>
    </row>
    <row r="152" spans="2:11" ht="14.6" x14ac:dyDescent="0.4">
      <c r="B152"/>
      <c r="C152"/>
      <c r="D152"/>
      <c r="E152"/>
      <c r="F152"/>
      <c r="G152"/>
      <c r="H152"/>
      <c r="I152"/>
      <c r="J152"/>
      <c r="K152"/>
    </row>
    <row r="153" spans="2:11" ht="14.6" x14ac:dyDescent="0.4">
      <c r="B153"/>
      <c r="C153"/>
      <c r="D153"/>
      <c r="E153"/>
      <c r="F153"/>
      <c r="G153"/>
      <c r="H153"/>
      <c r="I153"/>
      <c r="J153"/>
      <c r="K153"/>
    </row>
    <row r="154" spans="2:11" ht="14.6" x14ac:dyDescent="0.4">
      <c r="B154"/>
      <c r="C154"/>
      <c r="D154"/>
      <c r="E154"/>
      <c r="F154"/>
      <c r="G154"/>
      <c r="H154"/>
      <c r="I154"/>
      <c r="J154"/>
      <c r="K154"/>
    </row>
    <row r="155" spans="2:11" ht="14.6" x14ac:dyDescent="0.4">
      <c r="B155"/>
      <c r="C155"/>
      <c r="D155"/>
      <c r="E155"/>
      <c r="F155"/>
      <c r="G155"/>
      <c r="H155"/>
      <c r="I155"/>
      <c r="J155"/>
      <c r="K155"/>
    </row>
    <row r="156" spans="2:11" ht="14.6" x14ac:dyDescent="0.4">
      <c r="B156"/>
      <c r="C156"/>
      <c r="D156"/>
      <c r="E156"/>
      <c r="F156"/>
      <c r="G156"/>
      <c r="H156"/>
      <c r="I156"/>
      <c r="J156"/>
      <c r="K156"/>
    </row>
    <row r="157" spans="2:11" ht="14.6" x14ac:dyDescent="0.4">
      <c r="B157"/>
      <c r="C157"/>
      <c r="D157"/>
      <c r="E157"/>
      <c r="F157"/>
      <c r="G157"/>
      <c r="H157"/>
      <c r="I157"/>
      <c r="J157"/>
      <c r="K157"/>
    </row>
    <row r="158" spans="2:11" ht="14.6" x14ac:dyDescent="0.4">
      <c r="B158"/>
      <c r="C158"/>
      <c r="D158"/>
      <c r="E158"/>
      <c r="F158"/>
      <c r="G158"/>
      <c r="H158"/>
      <c r="I158"/>
      <c r="J158"/>
      <c r="K158"/>
    </row>
    <row r="159" spans="2:11" ht="14.6" x14ac:dyDescent="0.4">
      <c r="B159"/>
      <c r="C159"/>
      <c r="D159"/>
      <c r="E159"/>
      <c r="F159"/>
      <c r="G159"/>
      <c r="H159"/>
      <c r="I159"/>
      <c r="J159"/>
      <c r="K159"/>
    </row>
    <row r="160" spans="2:11" ht="14.6" x14ac:dyDescent="0.4">
      <c r="B160"/>
      <c r="C160"/>
      <c r="D160"/>
      <c r="E160"/>
      <c r="F160"/>
      <c r="G160"/>
      <c r="H160"/>
      <c r="I160"/>
      <c r="J160"/>
      <c r="K160"/>
    </row>
    <row r="161" spans="2:11" ht="14.6" x14ac:dyDescent="0.4">
      <c r="B161"/>
      <c r="C161"/>
      <c r="D161"/>
      <c r="E161"/>
      <c r="F161"/>
      <c r="G161"/>
      <c r="H161"/>
      <c r="I161"/>
      <c r="J161"/>
      <c r="K161"/>
    </row>
    <row r="162" spans="2:11" ht="14.6" x14ac:dyDescent="0.4">
      <c r="B162"/>
      <c r="C162"/>
      <c r="D162"/>
      <c r="E162"/>
      <c r="F162"/>
      <c r="G162"/>
      <c r="H162"/>
      <c r="I162"/>
      <c r="J162"/>
      <c r="K162"/>
    </row>
    <row r="163" spans="2:11" ht="14.6" x14ac:dyDescent="0.4">
      <c r="B163"/>
      <c r="C163"/>
      <c r="D163"/>
      <c r="E163"/>
      <c r="F163"/>
      <c r="G163"/>
      <c r="H163"/>
      <c r="I163"/>
      <c r="J163"/>
      <c r="K163"/>
    </row>
    <row r="164" spans="2:11" ht="14.6" x14ac:dyDescent="0.4">
      <c r="B164"/>
      <c r="C164"/>
      <c r="D164"/>
      <c r="E164"/>
      <c r="F164"/>
      <c r="G164"/>
      <c r="H164"/>
      <c r="I164"/>
      <c r="J164"/>
      <c r="K164"/>
    </row>
    <row r="165" spans="2:11" ht="14.6" x14ac:dyDescent="0.4">
      <c r="B165"/>
      <c r="C165"/>
      <c r="D165"/>
      <c r="E165"/>
      <c r="F165"/>
      <c r="G165"/>
      <c r="H165"/>
      <c r="I165"/>
      <c r="J165"/>
      <c r="K165"/>
    </row>
    <row r="166" spans="2:11" ht="14.6" x14ac:dyDescent="0.4">
      <c r="B166"/>
      <c r="C166"/>
      <c r="D166"/>
      <c r="E166"/>
      <c r="F166"/>
      <c r="G166"/>
      <c r="H166"/>
      <c r="I166"/>
      <c r="J166"/>
      <c r="K166"/>
    </row>
    <row r="167" spans="2:11" ht="14.6" x14ac:dyDescent="0.4">
      <c r="B167"/>
      <c r="C167"/>
      <c r="D167"/>
      <c r="E167"/>
      <c r="F167"/>
      <c r="G167"/>
      <c r="H167"/>
      <c r="I167"/>
      <c r="J167"/>
      <c r="K167"/>
    </row>
    <row r="168" spans="2:11" ht="14.6" x14ac:dyDescent="0.4">
      <c r="B168"/>
      <c r="C168"/>
      <c r="D168"/>
      <c r="E168"/>
      <c r="F168"/>
      <c r="G168"/>
      <c r="H168"/>
      <c r="I168"/>
      <c r="J168"/>
      <c r="K168"/>
    </row>
    <row r="169" spans="2:11" ht="14.6" x14ac:dyDescent="0.4">
      <c r="B169"/>
      <c r="C169"/>
      <c r="D169"/>
      <c r="E169"/>
      <c r="F169"/>
      <c r="G169"/>
      <c r="H169"/>
      <c r="I169"/>
      <c r="J169"/>
      <c r="K169"/>
    </row>
    <row r="170" spans="2:11" ht="14.6" x14ac:dyDescent="0.4">
      <c r="B170"/>
      <c r="C170"/>
      <c r="D170"/>
      <c r="E170"/>
      <c r="F170"/>
      <c r="G170"/>
      <c r="H170"/>
      <c r="I170"/>
      <c r="J170"/>
      <c r="K170"/>
    </row>
    <row r="171" spans="2:11" ht="14.6" x14ac:dyDescent="0.4">
      <c r="B171"/>
      <c r="C171"/>
      <c r="D171"/>
      <c r="E171"/>
      <c r="F171"/>
      <c r="G171"/>
      <c r="H171"/>
      <c r="I171"/>
      <c r="J171"/>
      <c r="K171"/>
    </row>
    <row r="172" spans="2:11" ht="14.6" x14ac:dyDescent="0.4">
      <c r="B172"/>
      <c r="C172"/>
      <c r="D172"/>
      <c r="E172"/>
      <c r="F172"/>
      <c r="G172"/>
      <c r="H172"/>
      <c r="I172"/>
      <c r="J172"/>
      <c r="K172"/>
    </row>
    <row r="173" spans="2:11" ht="14.6" x14ac:dyDescent="0.4">
      <c r="B173"/>
      <c r="C173"/>
      <c r="D173"/>
      <c r="E173"/>
      <c r="F173"/>
      <c r="G173"/>
      <c r="H173"/>
      <c r="I173"/>
      <c r="J173"/>
      <c r="K173"/>
    </row>
    <row r="174" spans="2:11" ht="14.6" x14ac:dyDescent="0.4">
      <c r="B174"/>
      <c r="C174"/>
      <c r="D174"/>
      <c r="E174"/>
      <c r="F174"/>
      <c r="G174"/>
      <c r="H174"/>
      <c r="I174"/>
      <c r="J174"/>
      <c r="K174"/>
    </row>
    <row r="175" spans="2:11" ht="14.6" x14ac:dyDescent="0.4">
      <c r="B175"/>
      <c r="C175"/>
      <c r="D175"/>
      <c r="E175"/>
      <c r="F175"/>
      <c r="G175"/>
      <c r="H175"/>
      <c r="I175"/>
      <c r="J175"/>
      <c r="K175"/>
    </row>
    <row r="176" spans="2:11" ht="14.6" x14ac:dyDescent="0.4">
      <c r="B176"/>
      <c r="C176"/>
      <c r="D176"/>
      <c r="E176"/>
      <c r="F176"/>
      <c r="G176"/>
      <c r="H176"/>
      <c r="I176"/>
      <c r="J176"/>
      <c r="K176"/>
    </row>
    <row r="177" spans="2:11" ht="14.6" x14ac:dyDescent="0.4">
      <c r="B177"/>
      <c r="C177"/>
      <c r="D177"/>
      <c r="E177"/>
      <c r="F177"/>
      <c r="G177"/>
      <c r="H177"/>
      <c r="I177"/>
      <c r="J177"/>
      <c r="K177"/>
    </row>
    <row r="178" spans="2:11" ht="14.6" x14ac:dyDescent="0.4">
      <c r="B178"/>
      <c r="C178"/>
      <c r="D178"/>
      <c r="E178"/>
      <c r="F178"/>
      <c r="G178"/>
      <c r="H178"/>
      <c r="I178"/>
      <c r="J178"/>
      <c r="K178"/>
    </row>
    <row r="179" spans="2:11" ht="14.6" x14ac:dyDescent="0.4">
      <c r="B179"/>
      <c r="C179"/>
      <c r="D179"/>
      <c r="E179"/>
      <c r="F179"/>
      <c r="G179"/>
      <c r="H179"/>
      <c r="I179"/>
      <c r="J179"/>
      <c r="K179"/>
    </row>
    <row r="180" spans="2:11" ht="14.6" x14ac:dyDescent="0.4">
      <c r="B180"/>
      <c r="C180"/>
      <c r="D180"/>
      <c r="E180"/>
      <c r="F180"/>
      <c r="G180"/>
      <c r="H180"/>
      <c r="I180"/>
      <c r="J180"/>
      <c r="K180"/>
    </row>
    <row r="181" spans="2:11" ht="14.6" x14ac:dyDescent="0.4">
      <c r="B181"/>
      <c r="C181"/>
      <c r="D181"/>
      <c r="E181"/>
      <c r="F181"/>
      <c r="G181"/>
      <c r="H181"/>
      <c r="I181"/>
      <c r="J181"/>
      <c r="K181"/>
    </row>
    <row r="182" spans="2:11" ht="14.6" x14ac:dyDescent="0.4">
      <c r="B182"/>
      <c r="C182"/>
      <c r="D182"/>
      <c r="E182"/>
      <c r="F182"/>
      <c r="G182"/>
      <c r="H182"/>
      <c r="I182"/>
      <c r="J182"/>
      <c r="K182"/>
    </row>
    <row r="183" spans="2:11" ht="14.6" x14ac:dyDescent="0.4">
      <c r="B183"/>
      <c r="C183"/>
      <c r="D183"/>
      <c r="E183"/>
      <c r="F183"/>
      <c r="G183"/>
      <c r="H183"/>
      <c r="I183"/>
      <c r="J183"/>
      <c r="K183"/>
    </row>
    <row r="184" spans="2:11" ht="14.6" x14ac:dyDescent="0.4">
      <c r="B184"/>
      <c r="C184"/>
      <c r="D184"/>
      <c r="E184"/>
      <c r="F184"/>
      <c r="G184"/>
      <c r="H184"/>
      <c r="I184"/>
      <c r="J184"/>
      <c r="K184"/>
    </row>
    <row r="185" spans="2:11" ht="14.6" x14ac:dyDescent="0.4">
      <c r="B185"/>
      <c r="C185"/>
      <c r="D185"/>
      <c r="E185"/>
      <c r="F185"/>
      <c r="G185"/>
      <c r="H185"/>
      <c r="I185"/>
      <c r="J185"/>
      <c r="K185"/>
    </row>
    <row r="186" spans="2:11" ht="14.6" x14ac:dyDescent="0.4">
      <c r="B186"/>
      <c r="C186"/>
      <c r="D186"/>
      <c r="E186"/>
      <c r="F186"/>
      <c r="G186"/>
      <c r="H186"/>
      <c r="I186"/>
      <c r="J186"/>
      <c r="K186"/>
    </row>
    <row r="187" spans="2:11" ht="14.6" x14ac:dyDescent="0.4">
      <c r="B187"/>
      <c r="C187"/>
      <c r="D187"/>
      <c r="E187"/>
      <c r="F187"/>
      <c r="G187"/>
      <c r="H187"/>
      <c r="I187"/>
      <c r="J187"/>
      <c r="K187"/>
    </row>
  </sheetData>
  <mergeCells count="2">
    <mergeCell ref="B1:K1"/>
    <mergeCell ref="B2:K2"/>
  </mergeCells>
  <conditionalFormatting sqref="B6:C1048576">
    <cfRule type="expression" dxfId="53" priority="21">
      <formula>ISNUMBER($B6)</formula>
    </cfRule>
  </conditionalFormatting>
  <conditionalFormatting sqref="I3:I4 F6:F1048576">
    <cfRule type="expression" dxfId="52" priority="4">
      <formula>IF($C3=2,TRUE,FALSE)</formula>
    </cfRule>
  </conditionalFormatting>
  <conditionalFormatting sqref="B6:K1048576">
    <cfRule type="expression" dxfId="51" priority="63">
      <formula>IF(AND($C6=0,NOT(ISBLANK($C6))),TRUE,FALSE)</formula>
    </cfRule>
  </conditionalFormatting>
  <conditionalFormatting sqref="G6:G1048576">
    <cfRule type="expression" dxfId="50" priority="64">
      <formula>IF($C6=3,TRUE,FALSE)</formula>
    </cfRule>
  </conditionalFormatting>
  <conditionalFormatting sqref="E6:E1048576">
    <cfRule type="expression" dxfId="49" priority="66">
      <formula>IF($C6=1,TRUE,FALSE)</formula>
    </cfRule>
  </conditionalFormatting>
  <conditionalFormatting sqref="H5:H1048576">
    <cfRule type="cellIs" dxfId="48" priority="9" operator="equal">
      <formula>"N"</formula>
    </cfRule>
    <cfRule type="cellIs" dxfId="47" priority="20" operator="equal">
      <formula>"Y"</formula>
    </cfRule>
    <cfRule type="cellIs" dxfId="46" priority="23" operator="equal">
      <formula>"(blank)"</formula>
    </cfRule>
  </conditionalFormatting>
  <conditionalFormatting sqref="J5:K1048576">
    <cfRule type="cellIs" dxfId="45" priority="16" operator="notEqual">
      <formula>0</formula>
    </cfRule>
    <cfRule type="cellIs" dxfId="44" priority="17" operator="equal">
      <formula>0</formula>
    </cfRule>
  </conditionalFormatting>
  <conditionalFormatting sqref="I6:I1048576">
    <cfRule type="cellIs" dxfId="43" priority="68" operator="equal">
      <formula>"(blank)"</formula>
    </cfRule>
    <cfRule type="expression" dxfId="42" priority="69">
      <formula>IF(ISNUMBER($C6),TRUE,FALSE)</formula>
    </cfRule>
  </conditionalFormatting>
  <conditionalFormatting sqref="B5:C5">
    <cfRule type="notContainsBlanks" dxfId="41" priority="2">
      <formula>LEN(TRIM(B5))&gt;0</formula>
    </cfRule>
  </conditionalFormatting>
  <conditionalFormatting sqref="B6:K6">
    <cfRule type="cellIs" dxfId="40" priority="1" operator="equal">
      <formula>"(blank)"</formula>
    </cfRule>
  </conditionalFormatting>
  <pageMargins left="0.70866141732283472" right="0.70866141732283472" top="0.74803149606299213" bottom="0.74803149606299213" header="0.31496062992125984" footer="0.31496062992125984"/>
  <pageSetup orientation="portrait" r:id="rId2"/>
  <headerFooter>
    <oddHeader>&amp;L&amp;G</oddHeader>
    <oddFooter>&amp;L&amp;"DM Sans,Regular"&amp;8&amp;K1D1765© 2022 WiseTech Global&amp;C&amp;"DM Sans,Regular"&amp;8&amp;K1D1765CargoWise One STL Price List&amp;R&amp;"DM Sans,Regular"&amp;8&amp;K1D1765Page &amp;P</oddFooter>
  </headerFooter>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24E2-2A98-475D-B44E-FF0F506A8EB8}">
  <sheetPr codeName="Sheet16"/>
  <dimension ref="B1:H21"/>
  <sheetViews>
    <sheetView topLeftCell="B1" workbookViewId="0">
      <selection activeCell="E24" sqref="E24"/>
    </sheetView>
  </sheetViews>
  <sheetFormatPr defaultColWidth="9.15234375" defaultRowHeight="14.6" x14ac:dyDescent="0.4"/>
  <cols>
    <col min="1" max="1" width="0" style="105" hidden="1" customWidth="1"/>
    <col min="2" max="26" width="9.15234375" style="105"/>
    <col min="27" max="27" width="9.84375" style="105" customWidth="1"/>
    <col min="28" max="28" width="10.84375" style="105" customWidth="1"/>
    <col min="29" max="29" width="20.69140625" style="105" customWidth="1"/>
    <col min="30" max="16384" width="9.15234375" style="105"/>
  </cols>
  <sheetData>
    <row r="1" spans="2:8" x14ac:dyDescent="0.4">
      <c r="C1" s="106"/>
    </row>
    <row r="3" spans="2:8" x14ac:dyDescent="0.4">
      <c r="B3" s="134" t="s">
        <v>726</v>
      </c>
      <c r="C3" s="131"/>
      <c r="D3" s="103"/>
      <c r="E3" s="103"/>
      <c r="F3" s="107"/>
      <c r="G3" s="103"/>
      <c r="H3" s="108"/>
    </row>
    <row r="4" spans="2:8" x14ac:dyDescent="0.4">
      <c r="B4" s="131" t="s">
        <v>727</v>
      </c>
      <c r="C4" s="130"/>
      <c r="D4" s="104"/>
      <c r="E4" s="104"/>
      <c r="F4" s="110"/>
      <c r="G4" s="111"/>
      <c r="H4" s="112"/>
    </row>
    <row r="5" spans="2:8" x14ac:dyDescent="0.4">
      <c r="B5" s="135"/>
      <c r="C5" s="136" t="s">
        <v>728</v>
      </c>
      <c r="D5" s="104"/>
      <c r="E5" s="104"/>
      <c r="F5" s="110"/>
      <c r="G5" s="111"/>
      <c r="H5" s="112"/>
    </row>
    <row r="6" spans="2:8" x14ac:dyDescent="0.4">
      <c r="B6" s="135"/>
      <c r="C6" s="136" t="s">
        <v>729</v>
      </c>
      <c r="D6" s="104"/>
      <c r="E6" s="104"/>
      <c r="F6" s="110"/>
      <c r="G6" s="111"/>
      <c r="H6" s="112"/>
    </row>
    <row r="7" spans="2:8" x14ac:dyDescent="0.4">
      <c r="B7" s="135"/>
      <c r="C7" s="136" t="s">
        <v>730</v>
      </c>
      <c r="D7" s="104"/>
      <c r="E7" s="104"/>
      <c r="F7" s="110"/>
      <c r="G7" s="111"/>
      <c r="H7" s="112"/>
    </row>
    <row r="8" spans="2:8" x14ac:dyDescent="0.4">
      <c r="B8" s="135"/>
      <c r="C8" s="136"/>
      <c r="D8" s="104"/>
      <c r="E8" s="104"/>
      <c r="F8" s="110"/>
      <c r="G8" s="111"/>
      <c r="H8" s="112"/>
    </row>
    <row r="9" spans="2:8" x14ac:dyDescent="0.4">
      <c r="B9" s="131" t="s">
        <v>731</v>
      </c>
      <c r="C9" s="136"/>
      <c r="D9" s="104"/>
      <c r="E9" s="104"/>
      <c r="F9" s="110"/>
      <c r="G9" s="111"/>
      <c r="H9" s="112"/>
    </row>
    <row r="10" spans="2:8" x14ac:dyDescent="0.4">
      <c r="B10" s="135"/>
      <c r="C10" s="130"/>
      <c r="D10" s="104"/>
      <c r="E10" s="104"/>
      <c r="F10" s="110"/>
      <c r="G10" s="111"/>
      <c r="H10" s="112"/>
    </row>
    <row r="11" spans="2:8" x14ac:dyDescent="0.4">
      <c r="B11" s="135"/>
      <c r="C11" s="131"/>
      <c r="D11" s="104"/>
      <c r="E11" s="104"/>
      <c r="F11" s="28"/>
      <c r="G11" s="108"/>
      <c r="H11" s="114"/>
    </row>
    <row r="12" spans="2:8" x14ac:dyDescent="0.4">
      <c r="B12" s="136" t="s">
        <v>732</v>
      </c>
      <c r="C12" s="131"/>
      <c r="D12" s="103"/>
      <c r="E12" s="103"/>
      <c r="F12" s="28"/>
      <c r="G12" s="108"/>
      <c r="H12" s="114"/>
    </row>
    <row r="13" spans="2:8" x14ac:dyDescent="0.4">
      <c r="B13" s="136"/>
      <c r="C13" s="136" t="s">
        <v>733</v>
      </c>
      <c r="D13" s="113"/>
      <c r="E13" s="113"/>
      <c r="F13" s="115"/>
      <c r="G13" s="113"/>
      <c r="H13" s="113"/>
    </row>
    <row r="14" spans="2:8" x14ac:dyDescent="0.4">
      <c r="B14" s="136"/>
      <c r="C14" s="136" t="s">
        <v>734</v>
      </c>
      <c r="D14" s="113"/>
      <c r="E14" s="113"/>
      <c r="F14" s="115"/>
      <c r="G14" s="113"/>
      <c r="H14" s="113"/>
    </row>
    <row r="15" spans="2:8" x14ac:dyDescent="0.4">
      <c r="B15" s="136"/>
      <c r="C15" s="136" t="s">
        <v>735</v>
      </c>
      <c r="D15" s="113"/>
      <c r="E15" s="113"/>
      <c r="F15" s="115"/>
      <c r="G15" s="113"/>
      <c r="H15" s="113"/>
    </row>
    <row r="16" spans="2:8" x14ac:dyDescent="0.4">
      <c r="B16" s="136"/>
      <c r="C16" s="136"/>
      <c r="D16" s="113"/>
      <c r="E16" s="113"/>
      <c r="F16" s="115"/>
      <c r="G16" s="113"/>
      <c r="H16" s="113"/>
    </row>
    <row r="17" spans="2:8" x14ac:dyDescent="0.4">
      <c r="B17" s="131" t="s">
        <v>736</v>
      </c>
      <c r="C17" s="131"/>
      <c r="D17" s="103"/>
      <c r="E17" s="103"/>
      <c r="F17" s="28"/>
      <c r="G17" s="108"/>
      <c r="H17" s="114"/>
    </row>
    <row r="18" spans="2:8" x14ac:dyDescent="0.4">
      <c r="B18" s="131"/>
      <c r="C18" s="131" t="s">
        <v>737</v>
      </c>
      <c r="D18" s="103"/>
      <c r="E18" s="103"/>
      <c r="F18" s="107"/>
      <c r="G18" s="103"/>
      <c r="H18" s="108"/>
    </row>
    <row r="19" spans="2:8" x14ac:dyDescent="0.4">
      <c r="B19" s="131"/>
      <c r="C19" s="131" t="s">
        <v>738</v>
      </c>
      <c r="D19" s="103"/>
      <c r="E19" s="103"/>
      <c r="F19" s="107"/>
      <c r="G19" s="103"/>
      <c r="H19" s="108"/>
    </row>
    <row r="20" spans="2:8" x14ac:dyDescent="0.4">
      <c r="B20" s="135"/>
      <c r="C20" s="136" t="s">
        <v>739</v>
      </c>
      <c r="D20" s="113"/>
      <c r="E20" s="113"/>
      <c r="F20" s="107"/>
      <c r="G20" s="103"/>
      <c r="H20" s="108"/>
    </row>
    <row r="21" spans="2:8" x14ac:dyDescent="0.4">
      <c r="B21" s="131"/>
      <c r="C21" s="136" t="s">
        <v>740</v>
      </c>
      <c r="D21" s="113"/>
      <c r="E21" s="113"/>
      <c r="F21" s="107"/>
      <c r="G21" s="103"/>
      <c r="H21" s="108"/>
    </row>
  </sheetData>
  <conditionalFormatting sqref="H3 H18:H21">
    <cfRule type="expression" dxfId="39" priority="17">
      <formula>$H$5="EUR"</formula>
    </cfRule>
    <cfRule type="expression" dxfId="38" priority="18">
      <formula>$H$5="GBP"</formula>
    </cfRule>
  </conditionalFormatting>
  <conditionalFormatting sqref="H3 H18:H21">
    <cfRule type="expression" dxfId="37" priority="10">
      <formula>$H$5="CAD"</formula>
    </cfRule>
  </conditionalFormatting>
  <conditionalFormatting sqref="H3 H18:H21">
    <cfRule type="expression" dxfId="36" priority="11">
      <formula>$H$5="HKD"</formula>
    </cfRule>
  </conditionalFormatting>
  <conditionalFormatting sqref="H3 H18:H21">
    <cfRule type="expression" dxfId="35" priority="12">
      <formula>$H$5="NZD"</formula>
    </cfRule>
  </conditionalFormatting>
  <conditionalFormatting sqref="H3 H18:H21">
    <cfRule type="expression" dxfId="34" priority="13">
      <formula>$H$5="USD"</formula>
    </cfRule>
  </conditionalFormatting>
  <conditionalFormatting sqref="H3 H18:H21">
    <cfRule type="expression" dxfId="33" priority="14">
      <formula>$H$5="SGD"</formula>
    </cfRule>
  </conditionalFormatting>
  <conditionalFormatting sqref="H3 H18:H21">
    <cfRule type="expression" dxfId="32" priority="15">
      <formula>$H$5="AUD"</formula>
    </cfRule>
  </conditionalFormatting>
  <conditionalFormatting sqref="H3 H18:H21">
    <cfRule type="expression" dxfId="31" priority="16">
      <formula>$H$5="ZAR"</formula>
    </cfRule>
  </conditionalFormatting>
  <conditionalFormatting sqref="G4:H10">
    <cfRule type="expression" dxfId="30" priority="1">
      <formula>$E$3="CAD"</formula>
    </cfRule>
    <cfRule type="expression" dxfId="29" priority="2">
      <formula>$E$3="HKD"</formula>
    </cfRule>
    <cfRule type="expression" dxfId="28" priority="3">
      <formula>$E$3="NZD"</formula>
    </cfRule>
    <cfRule type="expression" dxfId="27" priority="4">
      <formula>$E$3="USD"</formula>
    </cfRule>
    <cfRule type="expression" dxfId="26" priority="5">
      <formula>$E$3="SGD"</formula>
    </cfRule>
    <cfRule type="expression" dxfId="25" priority="6">
      <formula>$E$3="AUD"</formula>
    </cfRule>
    <cfRule type="expression" dxfId="24" priority="7">
      <formula>$E$3="ZAR"</formula>
    </cfRule>
    <cfRule type="expression" dxfId="23" priority="8">
      <formula>$E$3="EUR"</formula>
    </cfRule>
  </conditionalFormatting>
  <conditionalFormatting sqref="G4:H10">
    <cfRule type="expression" dxfId="22" priority="9">
      <formula>$E$3="GBP"</formula>
    </cfRule>
  </conditionalFormatting>
  <dataValidations count="1">
    <dataValidation type="list" allowBlank="1" showInputMessage="1" showErrorMessage="1" sqref="G4:G10" xr:uid="{1C79B82D-441E-4327-AE04-DE3ED702265F}">
      <formula1>BillingBasisPer</formula1>
    </dataValidation>
  </dataValidations>
  <pageMargins left="0.7" right="0.7" top="0.75" bottom="0.75" header="0.3" footer="0.3"/>
  <pageSetup paperSize="9" orientation="portrait" r:id="rId1"/>
  <rowBreaks count="1" manualBreakCount="1">
    <brk id="2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76CD-B811-47F8-BCEA-B6B5CE112AD3}">
  <sheetPr codeName="Sheet21">
    <tabColor rgb="FF92D050"/>
  </sheetPr>
  <dimension ref="B1:R503"/>
  <sheetViews>
    <sheetView showGridLines="0" workbookViewId="0">
      <selection activeCell="G28" sqref="G28"/>
    </sheetView>
  </sheetViews>
  <sheetFormatPr defaultColWidth="9" defaultRowHeight="12.45" x14ac:dyDescent="0.4"/>
  <cols>
    <col min="1" max="1" width="9" style="23"/>
    <col min="2" max="2" width="4.69140625" style="23" customWidth="1"/>
    <col min="3" max="3" width="3.84375" style="23" customWidth="1"/>
    <col min="4" max="4" width="3" style="23" customWidth="1"/>
    <col min="5" max="6" width="3.15234375" style="23" customWidth="1"/>
    <col min="7" max="7" width="85.84375" style="23" customWidth="1"/>
    <col min="8" max="8" width="2.84375" style="23" customWidth="1"/>
    <col min="9" max="9" width="26" style="23" customWidth="1"/>
    <col min="10" max="10" width="15.84375" style="23" bestFit="1" customWidth="1"/>
    <col min="11" max="11" width="16.921875" style="23" bestFit="1" customWidth="1"/>
    <col min="12" max="12" width="15.84375" style="23" bestFit="1" customWidth="1"/>
    <col min="13" max="16384" width="9" style="23"/>
  </cols>
  <sheetData>
    <row r="1" spans="2:18" s="100" customFormat="1" ht="26.25" customHeight="1" x14ac:dyDescent="0.6">
      <c r="B1" s="320" t="s">
        <v>725</v>
      </c>
      <c r="C1" s="320"/>
      <c r="D1" s="320"/>
      <c r="E1" s="320"/>
      <c r="F1" s="320"/>
      <c r="G1" s="320"/>
      <c r="H1" s="320"/>
      <c r="I1" s="320"/>
      <c r="J1" s="320"/>
      <c r="K1" s="320"/>
    </row>
    <row r="2" spans="2:18" s="100" customFormat="1" x14ac:dyDescent="0.4">
      <c r="B2" s="322" t="s">
        <v>806</v>
      </c>
      <c r="C2" s="316" t="s">
        <v>819</v>
      </c>
      <c r="D2" s="321"/>
      <c r="E2" s="321"/>
      <c r="F2" s="321"/>
      <c r="G2" s="321"/>
      <c r="H2" s="321"/>
      <c r="I2" s="321"/>
      <c r="J2" s="321"/>
      <c r="K2" s="321"/>
    </row>
    <row r="3" spans="2:18" x14ac:dyDescent="0.4">
      <c r="F3" s="24"/>
      <c r="G3" s="24"/>
      <c r="I3" s="280" t="str" cm="1">
        <f t="array" ref="I3">STLClientSpecificSettings[Pricelist Version]</f>
        <v>V23.01</v>
      </c>
      <c r="J3" s="281" t="str" cm="1">
        <f t="array" ref="J3">STLClientSpecificSettings[Currency]</f>
        <v>AUD</v>
      </c>
      <c r="K3" s="282"/>
    </row>
    <row r="4" spans="2:18" ht="14.6" x14ac:dyDescent="0.4">
      <c r="B4" s="126" t="s">
        <v>14</v>
      </c>
      <c r="C4" s="126" t="s">
        <v>15</v>
      </c>
      <c r="D4" s="126" t="s">
        <v>501</v>
      </c>
      <c r="E4" s="126" t="s">
        <v>502</v>
      </c>
      <c r="F4" s="126" t="s">
        <v>503</v>
      </c>
      <c r="G4" s="126" t="s">
        <v>378</v>
      </c>
      <c r="H4" s="126" t="s">
        <v>10</v>
      </c>
      <c r="I4" s="126" t="s">
        <v>8</v>
      </c>
      <c r="J4" s="126" t="s">
        <v>381</v>
      </c>
      <c r="K4" s="126" t="s">
        <v>0</v>
      </c>
      <c r="L4"/>
      <c r="M4"/>
      <c r="N4"/>
      <c r="O4"/>
      <c r="P4"/>
      <c r="Q4"/>
      <c r="R4"/>
    </row>
    <row r="5" spans="2:18" ht="14.6" x14ac:dyDescent="0.4">
      <c r="B5" s="309">
        <v>258</v>
      </c>
      <c r="C5" s="309">
        <v>4</v>
      </c>
      <c r="D5" s="309"/>
      <c r="E5" s="309"/>
      <c r="F5" s="309"/>
      <c r="G5" s="309" t="s">
        <v>863</v>
      </c>
      <c r="H5" s="309" t="s">
        <v>376</v>
      </c>
      <c r="I5" s="309">
        <v>0</v>
      </c>
      <c r="J5" s="309">
        <v>1523.5562557446001</v>
      </c>
      <c r="K5" s="309">
        <v>0</v>
      </c>
      <c r="L5"/>
      <c r="M5"/>
      <c r="N5"/>
      <c r="O5"/>
      <c r="P5"/>
      <c r="Q5"/>
      <c r="R5"/>
    </row>
    <row r="6" spans="2:18" ht="14.6" x14ac:dyDescent="0.4">
      <c r="B6"/>
      <c r="C6"/>
      <c r="D6"/>
      <c r="E6"/>
      <c r="F6"/>
      <c r="G6"/>
      <c r="H6"/>
      <c r="I6"/>
      <c r="J6"/>
      <c r="K6"/>
      <c r="L6"/>
      <c r="M6"/>
      <c r="N6"/>
      <c r="O6"/>
      <c r="P6"/>
      <c r="Q6"/>
      <c r="R6"/>
    </row>
    <row r="7" spans="2:18" ht="14.6" x14ac:dyDescent="0.4">
      <c r="B7"/>
      <c r="C7"/>
      <c r="D7"/>
      <c r="E7"/>
      <c r="F7"/>
      <c r="G7"/>
      <c r="H7"/>
      <c r="I7"/>
      <c r="J7"/>
      <c r="K7"/>
      <c r="L7"/>
      <c r="M7"/>
      <c r="N7"/>
      <c r="O7"/>
      <c r="P7"/>
      <c r="Q7"/>
      <c r="R7"/>
    </row>
    <row r="8" spans="2:18" ht="14.6" x14ac:dyDescent="0.4">
      <c r="B8"/>
      <c r="C8"/>
      <c r="D8"/>
      <c r="E8"/>
      <c r="F8"/>
      <c r="G8"/>
      <c r="H8"/>
      <c r="I8"/>
      <c r="J8"/>
      <c r="K8"/>
      <c r="L8"/>
      <c r="M8"/>
      <c r="N8"/>
      <c r="O8"/>
      <c r="P8"/>
      <c r="Q8"/>
      <c r="R8"/>
    </row>
    <row r="9" spans="2:18" ht="14.6" x14ac:dyDescent="0.4">
      <c r="B9"/>
      <c r="C9"/>
      <c r="D9"/>
      <c r="E9"/>
      <c r="F9"/>
      <c r="G9"/>
      <c r="H9"/>
      <c r="I9"/>
      <c r="J9"/>
      <c r="K9"/>
      <c r="L9"/>
      <c r="M9"/>
      <c r="N9"/>
      <c r="O9"/>
      <c r="P9"/>
      <c r="Q9"/>
      <c r="R9"/>
    </row>
    <row r="10" spans="2:18" ht="14.6" x14ac:dyDescent="0.4">
      <c r="B10"/>
      <c r="C10"/>
      <c r="D10"/>
      <c r="E10"/>
      <c r="F10"/>
      <c r="G10"/>
      <c r="H10"/>
      <c r="I10"/>
      <c r="J10"/>
      <c r="K10"/>
      <c r="L10"/>
      <c r="M10"/>
      <c r="N10"/>
      <c r="O10"/>
      <c r="P10"/>
      <c r="Q10"/>
      <c r="R10"/>
    </row>
    <row r="11" spans="2:18" ht="14.6" x14ac:dyDescent="0.4">
      <c r="B11"/>
      <c r="C11"/>
      <c r="D11"/>
      <c r="E11"/>
      <c r="F11"/>
      <c r="G11"/>
      <c r="H11"/>
      <c r="I11"/>
      <c r="J11"/>
      <c r="K11"/>
      <c r="L11"/>
      <c r="M11"/>
      <c r="N11"/>
      <c r="O11"/>
      <c r="P11"/>
      <c r="Q11"/>
      <c r="R11"/>
    </row>
    <row r="12" spans="2:18" ht="14.6" x14ac:dyDescent="0.4">
      <c r="B12"/>
      <c r="C12"/>
      <c r="D12"/>
      <c r="E12"/>
      <c r="F12"/>
      <c r="G12"/>
      <c r="H12"/>
      <c r="I12"/>
      <c r="J12"/>
      <c r="K12"/>
      <c r="L12"/>
      <c r="M12"/>
      <c r="N12"/>
      <c r="O12"/>
      <c r="P12"/>
      <c r="Q12"/>
      <c r="R12"/>
    </row>
    <row r="13" spans="2:18" ht="14.6" x14ac:dyDescent="0.4">
      <c r="B13"/>
      <c r="C13"/>
      <c r="D13"/>
      <c r="E13"/>
      <c r="F13"/>
      <c r="G13"/>
      <c r="H13"/>
      <c r="I13"/>
      <c r="J13"/>
      <c r="K13"/>
      <c r="L13"/>
      <c r="M13"/>
      <c r="N13"/>
      <c r="O13"/>
      <c r="P13"/>
      <c r="Q13"/>
      <c r="R13"/>
    </row>
    <row r="14" spans="2:18" ht="14.6" x14ac:dyDescent="0.4">
      <c r="B14"/>
      <c r="C14"/>
      <c r="D14"/>
      <c r="E14"/>
      <c r="F14"/>
      <c r="G14"/>
      <c r="H14"/>
      <c r="I14"/>
      <c r="J14"/>
      <c r="K14"/>
      <c r="L14"/>
      <c r="M14"/>
      <c r="N14"/>
      <c r="O14"/>
      <c r="P14"/>
      <c r="Q14"/>
      <c r="R14"/>
    </row>
    <row r="15" spans="2:18" ht="14.6" x14ac:dyDescent="0.4">
      <c r="B15"/>
      <c r="C15"/>
      <c r="D15"/>
      <c r="E15"/>
      <c r="F15"/>
      <c r="G15"/>
      <c r="H15"/>
      <c r="I15"/>
      <c r="J15"/>
      <c r="K15"/>
      <c r="L15"/>
      <c r="M15"/>
      <c r="N15"/>
      <c r="O15"/>
      <c r="P15"/>
      <c r="Q15"/>
      <c r="R15"/>
    </row>
    <row r="16" spans="2:18" ht="14.6" x14ac:dyDescent="0.4">
      <c r="B16"/>
      <c r="C16"/>
      <c r="D16"/>
      <c r="E16"/>
      <c r="F16"/>
      <c r="G16"/>
      <c r="H16"/>
      <c r="I16"/>
      <c r="J16"/>
      <c r="K16"/>
      <c r="L16"/>
      <c r="M16"/>
      <c r="N16"/>
      <c r="O16"/>
      <c r="P16"/>
      <c r="Q16"/>
      <c r="R16"/>
    </row>
    <row r="17" spans="2:18" ht="14.6" x14ac:dyDescent="0.4">
      <c r="B17"/>
      <c r="C17"/>
      <c r="D17"/>
      <c r="E17"/>
      <c r="F17"/>
      <c r="G17"/>
      <c r="H17"/>
      <c r="I17"/>
      <c r="J17"/>
      <c r="K17"/>
      <c r="L17"/>
      <c r="M17"/>
      <c r="N17"/>
      <c r="O17"/>
      <c r="P17"/>
      <c r="Q17"/>
      <c r="R17"/>
    </row>
    <row r="18" spans="2:18" ht="14.6" x14ac:dyDescent="0.4">
      <c r="B18"/>
      <c r="C18"/>
      <c r="D18"/>
      <c r="E18"/>
      <c r="F18"/>
      <c r="G18"/>
      <c r="H18"/>
      <c r="I18"/>
      <c r="J18"/>
      <c r="K18"/>
      <c r="L18"/>
      <c r="M18"/>
      <c r="N18"/>
      <c r="O18"/>
      <c r="P18"/>
      <c r="Q18"/>
      <c r="R18"/>
    </row>
    <row r="19" spans="2:18" ht="14.6" x14ac:dyDescent="0.4">
      <c r="B19"/>
      <c r="C19"/>
      <c r="D19"/>
      <c r="E19"/>
      <c r="F19"/>
      <c r="G19"/>
      <c r="H19"/>
      <c r="I19"/>
      <c r="J19"/>
      <c r="K19"/>
      <c r="L19"/>
      <c r="M19"/>
      <c r="N19"/>
      <c r="O19"/>
      <c r="P19"/>
      <c r="Q19"/>
      <c r="R19"/>
    </row>
    <row r="20" spans="2:18" ht="14.6" x14ac:dyDescent="0.4">
      <c r="B20"/>
      <c r="C20"/>
      <c r="D20"/>
      <c r="E20"/>
      <c r="F20"/>
      <c r="G20"/>
      <c r="H20"/>
      <c r="I20"/>
      <c r="J20"/>
      <c r="K20"/>
      <c r="L20"/>
      <c r="M20"/>
      <c r="N20"/>
      <c r="O20"/>
      <c r="P20"/>
      <c r="Q20"/>
      <c r="R20"/>
    </row>
    <row r="21" spans="2:18" ht="14.6" x14ac:dyDescent="0.4">
      <c r="B21"/>
      <c r="C21"/>
      <c r="D21"/>
      <c r="E21"/>
      <c r="F21"/>
      <c r="G21"/>
      <c r="H21"/>
      <c r="I21"/>
      <c r="J21"/>
      <c r="K21"/>
      <c r="L21"/>
      <c r="M21"/>
      <c r="N21"/>
      <c r="O21"/>
      <c r="P21"/>
      <c r="Q21"/>
      <c r="R21"/>
    </row>
    <row r="22" spans="2:18" ht="14.6" x14ac:dyDescent="0.4">
      <c r="B22"/>
      <c r="C22"/>
      <c r="D22"/>
      <c r="E22"/>
      <c r="F22"/>
      <c r="G22"/>
      <c r="H22"/>
      <c r="I22"/>
      <c r="J22"/>
      <c r="K22"/>
      <c r="L22"/>
      <c r="M22"/>
      <c r="N22"/>
      <c r="O22"/>
      <c r="P22"/>
      <c r="Q22"/>
      <c r="R22"/>
    </row>
    <row r="23" spans="2:18" ht="14.6" x14ac:dyDescent="0.4">
      <c r="B23"/>
      <c r="C23"/>
      <c r="D23"/>
      <c r="E23"/>
      <c r="F23"/>
      <c r="G23"/>
      <c r="H23"/>
      <c r="I23"/>
      <c r="J23"/>
      <c r="K23"/>
      <c r="L23"/>
      <c r="M23"/>
      <c r="N23"/>
      <c r="O23"/>
      <c r="P23"/>
      <c r="Q23"/>
      <c r="R23"/>
    </row>
    <row r="24" spans="2:18" ht="14.6" x14ac:dyDescent="0.4">
      <c r="B24"/>
      <c r="C24"/>
      <c r="D24"/>
      <c r="E24"/>
      <c r="F24"/>
      <c r="G24"/>
      <c r="H24"/>
      <c r="I24"/>
      <c r="J24"/>
      <c r="K24"/>
      <c r="L24"/>
      <c r="M24"/>
      <c r="N24"/>
      <c r="O24"/>
      <c r="P24"/>
      <c r="Q24"/>
      <c r="R24"/>
    </row>
    <row r="25" spans="2:18" ht="14.6" x14ac:dyDescent="0.4">
      <c r="B25"/>
      <c r="C25"/>
      <c r="D25"/>
      <c r="E25"/>
      <c r="F25"/>
      <c r="G25"/>
      <c r="H25"/>
      <c r="I25"/>
      <c r="J25"/>
      <c r="K25"/>
      <c r="L25"/>
      <c r="M25"/>
      <c r="N25"/>
      <c r="O25"/>
      <c r="P25"/>
      <c r="Q25"/>
      <c r="R25"/>
    </row>
    <row r="26" spans="2:18" ht="14.6" x14ac:dyDescent="0.4">
      <c r="B26"/>
      <c r="C26"/>
      <c r="D26"/>
      <c r="E26"/>
      <c r="F26"/>
      <c r="G26"/>
      <c r="H26"/>
      <c r="I26"/>
      <c r="J26"/>
      <c r="K26"/>
      <c r="L26"/>
      <c r="M26"/>
      <c r="N26"/>
      <c r="O26"/>
      <c r="P26"/>
      <c r="Q26"/>
      <c r="R26"/>
    </row>
    <row r="27" spans="2:18" ht="14.6" x14ac:dyDescent="0.4">
      <c r="B27"/>
      <c r="C27"/>
      <c r="D27"/>
      <c r="E27"/>
      <c r="F27"/>
      <c r="G27"/>
      <c r="H27"/>
      <c r="I27"/>
      <c r="J27"/>
      <c r="K27"/>
      <c r="L27"/>
      <c r="M27"/>
      <c r="N27"/>
      <c r="O27"/>
      <c r="P27"/>
      <c r="Q27"/>
      <c r="R27"/>
    </row>
    <row r="28" spans="2:18" ht="14.6" x14ac:dyDescent="0.4">
      <c r="B28"/>
      <c r="C28"/>
      <c r="D28"/>
      <c r="E28"/>
      <c r="F28"/>
      <c r="G28"/>
      <c r="H28"/>
      <c r="I28"/>
      <c r="J28"/>
      <c r="K28"/>
      <c r="L28"/>
      <c r="M28"/>
      <c r="N28"/>
      <c r="O28"/>
      <c r="P28"/>
      <c r="Q28"/>
      <c r="R28"/>
    </row>
    <row r="29" spans="2:18" ht="14.6" x14ac:dyDescent="0.4">
      <c r="B29"/>
      <c r="C29"/>
      <c r="D29"/>
      <c r="E29"/>
      <c r="F29"/>
      <c r="G29"/>
      <c r="H29"/>
      <c r="I29"/>
      <c r="J29"/>
      <c r="K29"/>
      <c r="L29"/>
      <c r="M29"/>
      <c r="N29"/>
      <c r="O29"/>
      <c r="P29"/>
      <c r="Q29"/>
      <c r="R29"/>
    </row>
    <row r="30" spans="2:18" ht="14.6" x14ac:dyDescent="0.4">
      <c r="B30"/>
      <c r="C30"/>
      <c r="D30"/>
      <c r="E30"/>
      <c r="F30"/>
      <c r="G30"/>
      <c r="H30"/>
      <c r="I30"/>
      <c r="J30"/>
      <c r="K30"/>
      <c r="L30"/>
      <c r="M30"/>
      <c r="N30"/>
      <c r="O30"/>
      <c r="P30"/>
      <c r="Q30"/>
      <c r="R30"/>
    </row>
    <row r="31" spans="2:18" ht="14.6" x14ac:dyDescent="0.4">
      <c r="B31"/>
      <c r="C31"/>
      <c r="D31"/>
      <c r="E31"/>
      <c r="F31"/>
      <c r="G31"/>
      <c r="H31"/>
      <c r="I31"/>
      <c r="J31"/>
      <c r="K31"/>
      <c r="L31"/>
      <c r="M31"/>
      <c r="N31"/>
      <c r="O31"/>
      <c r="P31"/>
      <c r="Q31"/>
      <c r="R31"/>
    </row>
    <row r="32" spans="2:18" ht="14.6" x14ac:dyDescent="0.4">
      <c r="B32"/>
      <c r="C32"/>
      <c r="D32"/>
      <c r="E32"/>
      <c r="F32"/>
      <c r="G32"/>
      <c r="H32"/>
      <c r="I32"/>
      <c r="J32"/>
      <c r="K32"/>
      <c r="L32"/>
      <c r="M32"/>
      <c r="N32"/>
      <c r="O32"/>
      <c r="P32"/>
      <c r="Q32"/>
      <c r="R32"/>
    </row>
    <row r="33" spans="2:18" ht="14.6" x14ac:dyDescent="0.4">
      <c r="B33"/>
      <c r="C33"/>
      <c r="D33"/>
      <c r="E33"/>
      <c r="F33"/>
      <c r="G33"/>
      <c r="H33"/>
      <c r="I33"/>
      <c r="J33"/>
      <c r="K33"/>
      <c r="L33"/>
      <c r="M33"/>
      <c r="N33"/>
      <c r="O33"/>
      <c r="P33"/>
      <c r="Q33"/>
      <c r="R33"/>
    </row>
    <row r="34" spans="2:18" ht="14.6" x14ac:dyDescent="0.4">
      <c r="B34"/>
      <c r="C34"/>
      <c r="D34"/>
      <c r="E34"/>
      <c r="F34"/>
      <c r="G34"/>
      <c r="H34"/>
      <c r="I34"/>
      <c r="J34"/>
      <c r="K34"/>
      <c r="L34"/>
      <c r="M34"/>
      <c r="N34"/>
      <c r="O34"/>
      <c r="P34"/>
      <c r="Q34"/>
      <c r="R34"/>
    </row>
    <row r="35" spans="2:18" ht="14.6" x14ac:dyDescent="0.4">
      <c r="B35"/>
      <c r="C35"/>
      <c r="D35"/>
      <c r="E35"/>
      <c r="F35"/>
      <c r="G35"/>
      <c r="H35"/>
      <c r="I35"/>
      <c r="J35"/>
      <c r="K35"/>
      <c r="L35"/>
      <c r="M35"/>
      <c r="N35"/>
      <c r="O35"/>
      <c r="P35"/>
      <c r="Q35"/>
      <c r="R35"/>
    </row>
    <row r="36" spans="2:18" ht="14.6" x14ac:dyDescent="0.4">
      <c r="B36"/>
      <c r="C36"/>
      <c r="D36"/>
      <c r="E36"/>
      <c r="F36"/>
      <c r="G36"/>
      <c r="H36"/>
      <c r="I36"/>
      <c r="J36"/>
      <c r="K36"/>
      <c r="L36"/>
      <c r="M36"/>
      <c r="N36"/>
      <c r="O36"/>
      <c r="P36"/>
      <c r="Q36"/>
      <c r="R36"/>
    </row>
    <row r="37" spans="2:18" ht="14.6" x14ac:dyDescent="0.4">
      <c r="B37"/>
      <c r="C37"/>
      <c r="D37"/>
      <c r="E37"/>
      <c r="F37"/>
      <c r="G37"/>
      <c r="H37"/>
      <c r="I37"/>
      <c r="J37"/>
      <c r="K37"/>
      <c r="L37"/>
      <c r="M37"/>
      <c r="N37"/>
      <c r="O37"/>
      <c r="P37"/>
      <c r="Q37"/>
      <c r="R37"/>
    </row>
    <row r="38" spans="2:18" ht="14.6" x14ac:dyDescent="0.4">
      <c r="B38"/>
      <c r="C38"/>
      <c r="D38"/>
      <c r="E38"/>
      <c r="F38"/>
      <c r="G38"/>
      <c r="H38"/>
      <c r="I38"/>
      <c r="J38"/>
      <c r="K38"/>
      <c r="L38"/>
      <c r="M38"/>
      <c r="N38"/>
      <c r="O38"/>
      <c r="P38"/>
      <c r="Q38"/>
      <c r="R38"/>
    </row>
    <row r="39" spans="2:18" ht="14.6" x14ac:dyDescent="0.4">
      <c r="B39"/>
      <c r="C39"/>
      <c r="D39"/>
      <c r="E39"/>
      <c r="F39"/>
      <c r="G39"/>
      <c r="H39"/>
      <c r="I39"/>
      <c r="J39"/>
      <c r="K39"/>
      <c r="L39"/>
      <c r="M39"/>
      <c r="N39"/>
      <c r="O39"/>
      <c r="P39"/>
      <c r="Q39"/>
      <c r="R39"/>
    </row>
    <row r="40" spans="2:18" ht="14.6" x14ac:dyDescent="0.4">
      <c r="B40"/>
      <c r="C40"/>
      <c r="D40"/>
      <c r="E40"/>
      <c r="F40"/>
      <c r="G40"/>
      <c r="H40"/>
      <c r="I40"/>
      <c r="J40"/>
      <c r="K40"/>
      <c r="L40"/>
      <c r="M40"/>
      <c r="N40"/>
      <c r="O40"/>
      <c r="P40"/>
      <c r="Q40"/>
      <c r="R40"/>
    </row>
    <row r="41" spans="2:18" ht="14.6" x14ac:dyDescent="0.4">
      <c r="B41"/>
      <c r="C41"/>
      <c r="D41"/>
      <c r="E41"/>
      <c r="F41"/>
      <c r="G41"/>
      <c r="H41"/>
      <c r="I41"/>
      <c r="J41"/>
      <c r="K41"/>
      <c r="L41"/>
      <c r="M41"/>
      <c r="N41"/>
      <c r="O41"/>
      <c r="P41"/>
      <c r="Q41"/>
      <c r="R41"/>
    </row>
    <row r="42" spans="2:18" ht="14.6" x14ac:dyDescent="0.4">
      <c r="B42"/>
      <c r="C42"/>
      <c r="D42"/>
      <c r="E42"/>
      <c r="F42"/>
      <c r="G42"/>
      <c r="H42"/>
      <c r="I42"/>
      <c r="J42"/>
      <c r="K42"/>
      <c r="L42"/>
      <c r="M42"/>
      <c r="N42"/>
      <c r="O42"/>
      <c r="P42"/>
      <c r="Q42"/>
      <c r="R42"/>
    </row>
    <row r="43" spans="2:18" ht="14.6" x14ac:dyDescent="0.4">
      <c r="B43"/>
      <c r="C43"/>
      <c r="D43"/>
      <c r="E43"/>
      <c r="F43"/>
      <c r="G43"/>
      <c r="H43"/>
      <c r="I43"/>
      <c r="J43"/>
      <c r="K43"/>
      <c r="L43"/>
      <c r="M43"/>
      <c r="N43"/>
      <c r="O43"/>
      <c r="P43"/>
      <c r="Q43"/>
      <c r="R43"/>
    </row>
    <row r="44" spans="2:18" ht="14.6" x14ac:dyDescent="0.4">
      <c r="B44"/>
      <c r="C44"/>
      <c r="D44"/>
      <c r="E44"/>
      <c r="F44"/>
      <c r="G44"/>
      <c r="H44"/>
      <c r="I44"/>
      <c r="J44"/>
      <c r="K44"/>
      <c r="L44"/>
      <c r="M44"/>
      <c r="N44"/>
      <c r="O44"/>
      <c r="P44"/>
      <c r="Q44"/>
      <c r="R44"/>
    </row>
    <row r="45" spans="2:18" ht="14.6" x14ac:dyDescent="0.4">
      <c r="B45"/>
      <c r="C45"/>
      <c r="D45"/>
      <c r="E45"/>
      <c r="F45"/>
      <c r="G45"/>
      <c r="H45"/>
      <c r="I45"/>
      <c r="J45"/>
      <c r="K45"/>
      <c r="L45"/>
      <c r="M45"/>
      <c r="N45"/>
      <c r="O45"/>
      <c r="P45"/>
      <c r="Q45"/>
      <c r="R45"/>
    </row>
    <row r="46" spans="2:18" ht="14.6" x14ac:dyDescent="0.4">
      <c r="B46"/>
      <c r="C46"/>
      <c r="D46"/>
      <c r="E46"/>
      <c r="F46"/>
      <c r="G46"/>
      <c r="H46"/>
      <c r="I46"/>
      <c r="J46"/>
      <c r="K46"/>
      <c r="L46"/>
      <c r="M46"/>
      <c r="N46"/>
      <c r="O46"/>
      <c r="P46"/>
      <c r="Q46"/>
      <c r="R46"/>
    </row>
    <row r="47" spans="2:18" ht="14.6" x14ac:dyDescent="0.4">
      <c r="B47"/>
      <c r="C47"/>
      <c r="D47"/>
      <c r="E47"/>
      <c r="F47"/>
      <c r="G47"/>
      <c r="H47"/>
      <c r="I47"/>
      <c r="J47"/>
      <c r="K47"/>
      <c r="L47"/>
      <c r="M47"/>
      <c r="N47"/>
      <c r="O47"/>
      <c r="P47"/>
      <c r="Q47"/>
      <c r="R47"/>
    </row>
    <row r="48" spans="2:18" ht="14.6" x14ac:dyDescent="0.4">
      <c r="B48"/>
      <c r="C48"/>
      <c r="D48"/>
      <c r="E48"/>
      <c r="F48"/>
      <c r="G48"/>
      <c r="H48"/>
      <c r="I48"/>
      <c r="J48"/>
      <c r="K48"/>
      <c r="L48"/>
      <c r="M48"/>
      <c r="N48"/>
      <c r="O48"/>
      <c r="P48"/>
      <c r="Q48"/>
      <c r="R48"/>
    </row>
    <row r="49" spans="2:18" ht="14.6" x14ac:dyDescent="0.4">
      <c r="B49"/>
      <c r="C49"/>
      <c r="D49"/>
      <c r="E49"/>
      <c r="F49"/>
      <c r="G49"/>
      <c r="H49"/>
      <c r="I49"/>
      <c r="J49"/>
      <c r="K49"/>
      <c r="L49"/>
      <c r="M49"/>
      <c r="N49"/>
      <c r="O49"/>
      <c r="P49"/>
      <c r="Q49"/>
      <c r="R49"/>
    </row>
    <row r="50" spans="2:18" ht="14.6" x14ac:dyDescent="0.4">
      <c r="B50"/>
      <c r="C50"/>
      <c r="D50"/>
      <c r="E50"/>
      <c r="F50"/>
      <c r="G50"/>
      <c r="H50"/>
      <c r="I50"/>
      <c r="J50"/>
      <c r="K50"/>
      <c r="L50"/>
      <c r="M50"/>
      <c r="N50"/>
      <c r="O50"/>
      <c r="P50"/>
      <c r="Q50"/>
      <c r="R50"/>
    </row>
    <row r="51" spans="2:18" ht="14.6" x14ac:dyDescent="0.4">
      <c r="B51"/>
      <c r="C51"/>
      <c r="D51"/>
      <c r="E51"/>
      <c r="F51"/>
      <c r="G51"/>
      <c r="H51"/>
      <c r="I51"/>
      <c r="J51"/>
      <c r="K51"/>
      <c r="L51"/>
      <c r="M51"/>
      <c r="N51"/>
      <c r="O51"/>
      <c r="P51"/>
      <c r="Q51"/>
      <c r="R51"/>
    </row>
    <row r="52" spans="2:18" ht="14.6" x14ac:dyDescent="0.4">
      <c r="B52"/>
      <c r="C52"/>
      <c r="D52"/>
      <c r="E52"/>
      <c r="F52"/>
      <c r="G52"/>
      <c r="H52"/>
      <c r="I52"/>
      <c r="J52"/>
      <c r="K52"/>
      <c r="L52"/>
      <c r="M52"/>
      <c r="N52"/>
      <c r="O52"/>
      <c r="P52"/>
      <c r="Q52"/>
      <c r="R52"/>
    </row>
    <row r="53" spans="2:18" ht="14.6" x14ac:dyDescent="0.4">
      <c r="B53"/>
      <c r="C53"/>
      <c r="D53"/>
      <c r="E53"/>
      <c r="F53"/>
      <c r="G53"/>
      <c r="H53"/>
      <c r="I53"/>
      <c r="J53"/>
      <c r="K53"/>
      <c r="L53"/>
      <c r="M53"/>
      <c r="N53"/>
      <c r="O53"/>
      <c r="P53"/>
      <c r="Q53"/>
      <c r="R53"/>
    </row>
    <row r="54" spans="2:18" ht="14.6" x14ac:dyDescent="0.4">
      <c r="B54"/>
      <c r="C54"/>
      <c r="D54"/>
      <c r="E54"/>
      <c r="F54"/>
      <c r="G54"/>
      <c r="H54"/>
      <c r="I54"/>
      <c r="J54"/>
      <c r="K54"/>
      <c r="L54"/>
      <c r="M54"/>
      <c r="N54"/>
      <c r="O54"/>
      <c r="P54"/>
      <c r="Q54"/>
      <c r="R54"/>
    </row>
    <row r="55" spans="2:18" ht="14.6" x14ac:dyDescent="0.4">
      <c r="B55"/>
      <c r="C55"/>
      <c r="D55"/>
      <c r="E55"/>
      <c r="F55"/>
      <c r="G55"/>
      <c r="H55"/>
      <c r="I55"/>
      <c r="J55"/>
      <c r="K55"/>
      <c r="L55"/>
      <c r="M55"/>
      <c r="N55"/>
      <c r="O55"/>
      <c r="P55"/>
      <c r="Q55"/>
      <c r="R55"/>
    </row>
    <row r="56" spans="2:18" ht="14.6" x14ac:dyDescent="0.4">
      <c r="B56"/>
      <c r="C56"/>
      <c r="D56"/>
      <c r="E56"/>
      <c r="F56"/>
      <c r="G56"/>
      <c r="H56"/>
      <c r="I56"/>
      <c r="J56"/>
      <c r="K56"/>
      <c r="L56"/>
      <c r="M56"/>
      <c r="N56"/>
      <c r="O56"/>
      <c r="P56"/>
      <c r="Q56"/>
      <c r="R56"/>
    </row>
    <row r="57" spans="2:18" ht="14.6" x14ac:dyDescent="0.4">
      <c r="B57"/>
      <c r="C57"/>
      <c r="D57"/>
      <c r="E57"/>
      <c r="F57"/>
      <c r="G57"/>
      <c r="H57"/>
      <c r="I57"/>
      <c r="J57"/>
      <c r="K57"/>
      <c r="L57"/>
      <c r="M57"/>
      <c r="N57"/>
      <c r="O57"/>
      <c r="P57"/>
      <c r="Q57"/>
      <c r="R57"/>
    </row>
    <row r="58" spans="2:18" ht="14.6" x14ac:dyDescent="0.4">
      <c r="B58"/>
      <c r="C58"/>
      <c r="D58"/>
      <c r="E58"/>
      <c r="F58"/>
      <c r="G58"/>
      <c r="H58"/>
      <c r="I58"/>
      <c r="J58"/>
      <c r="K58"/>
      <c r="L58"/>
      <c r="M58"/>
      <c r="N58"/>
      <c r="O58"/>
      <c r="P58"/>
      <c r="Q58"/>
      <c r="R58"/>
    </row>
    <row r="59" spans="2:18" ht="14.6" x14ac:dyDescent="0.4">
      <c r="B59"/>
      <c r="C59"/>
      <c r="D59"/>
      <c r="E59"/>
      <c r="F59"/>
      <c r="G59"/>
      <c r="H59"/>
      <c r="I59"/>
      <c r="J59"/>
      <c r="K59"/>
      <c r="L59"/>
      <c r="M59"/>
      <c r="N59"/>
      <c r="O59"/>
      <c r="P59"/>
      <c r="Q59"/>
      <c r="R59"/>
    </row>
    <row r="60" spans="2:18" ht="14.6" x14ac:dyDescent="0.4">
      <c r="B60"/>
      <c r="C60"/>
      <c r="D60"/>
      <c r="E60"/>
      <c r="F60"/>
      <c r="G60"/>
      <c r="H60"/>
      <c r="I60"/>
      <c r="J60"/>
      <c r="K60"/>
      <c r="L60"/>
      <c r="M60"/>
      <c r="N60"/>
      <c r="O60"/>
      <c r="P60"/>
      <c r="Q60"/>
      <c r="R60"/>
    </row>
    <row r="61" spans="2:18" ht="14.6" x14ac:dyDescent="0.4">
      <c r="B61"/>
      <c r="C61"/>
      <c r="D61"/>
      <c r="E61"/>
      <c r="F61"/>
      <c r="G61"/>
      <c r="H61"/>
      <c r="I61"/>
      <c r="J61"/>
      <c r="K61"/>
      <c r="L61"/>
      <c r="M61"/>
      <c r="N61"/>
      <c r="O61"/>
      <c r="P61"/>
      <c r="Q61"/>
      <c r="R61"/>
    </row>
    <row r="62" spans="2:18" ht="14.6" x14ac:dyDescent="0.4">
      <c r="B62"/>
      <c r="C62"/>
      <c r="D62"/>
      <c r="E62"/>
      <c r="F62"/>
      <c r="G62"/>
      <c r="H62"/>
      <c r="I62"/>
      <c r="J62"/>
      <c r="K62"/>
      <c r="L62"/>
      <c r="M62"/>
      <c r="N62"/>
      <c r="O62"/>
      <c r="P62"/>
      <c r="Q62"/>
      <c r="R62"/>
    </row>
    <row r="63" spans="2:18" ht="14.6" x14ac:dyDescent="0.4">
      <c r="B63"/>
      <c r="C63"/>
      <c r="D63"/>
      <c r="E63"/>
      <c r="F63"/>
      <c r="G63"/>
      <c r="H63"/>
      <c r="I63"/>
      <c r="J63"/>
      <c r="K63"/>
      <c r="L63"/>
      <c r="M63"/>
      <c r="N63"/>
      <c r="O63"/>
      <c r="P63"/>
      <c r="Q63"/>
      <c r="R63"/>
    </row>
    <row r="64" spans="2:18" ht="14.6" x14ac:dyDescent="0.4">
      <c r="B64"/>
      <c r="C64"/>
      <c r="D64"/>
      <c r="E64"/>
      <c r="F64"/>
      <c r="G64"/>
      <c r="H64"/>
      <c r="I64"/>
      <c r="J64"/>
      <c r="K64"/>
      <c r="L64"/>
      <c r="M64"/>
      <c r="N64"/>
      <c r="O64"/>
      <c r="P64"/>
      <c r="Q64"/>
      <c r="R64"/>
    </row>
    <row r="65" spans="2:18" ht="14.6" x14ac:dyDescent="0.4">
      <c r="B65"/>
      <c r="C65"/>
      <c r="D65"/>
      <c r="E65"/>
      <c r="F65"/>
      <c r="G65"/>
      <c r="H65"/>
      <c r="I65"/>
      <c r="J65"/>
      <c r="K65"/>
      <c r="L65"/>
      <c r="M65"/>
      <c r="N65"/>
      <c r="O65"/>
      <c r="P65"/>
      <c r="Q65"/>
      <c r="R65"/>
    </row>
    <row r="66" spans="2:18" ht="14.6" x14ac:dyDescent="0.4">
      <c r="B66"/>
      <c r="C66"/>
      <c r="D66"/>
      <c r="E66"/>
      <c r="F66"/>
      <c r="G66"/>
      <c r="H66"/>
      <c r="I66"/>
      <c r="J66"/>
      <c r="K66"/>
      <c r="L66"/>
      <c r="M66"/>
      <c r="N66"/>
      <c r="O66"/>
      <c r="P66"/>
      <c r="Q66"/>
      <c r="R66"/>
    </row>
    <row r="67" spans="2:18" ht="14.6" x14ac:dyDescent="0.4">
      <c r="B67"/>
      <c r="C67"/>
      <c r="D67"/>
      <c r="E67"/>
      <c r="F67"/>
      <c r="G67"/>
      <c r="H67"/>
      <c r="I67"/>
      <c r="J67"/>
      <c r="K67"/>
      <c r="L67"/>
      <c r="M67"/>
      <c r="N67"/>
      <c r="O67"/>
      <c r="P67"/>
      <c r="Q67"/>
      <c r="R67"/>
    </row>
    <row r="68" spans="2:18" ht="14.6" x14ac:dyDescent="0.4">
      <c r="B68"/>
      <c r="C68"/>
      <c r="D68"/>
      <c r="E68"/>
      <c r="F68"/>
      <c r="G68"/>
      <c r="H68"/>
      <c r="I68"/>
      <c r="J68"/>
      <c r="K68"/>
      <c r="L68"/>
      <c r="M68"/>
      <c r="N68"/>
      <c r="O68"/>
      <c r="P68"/>
      <c r="Q68"/>
      <c r="R68"/>
    </row>
    <row r="69" spans="2:18" ht="14.6" x14ac:dyDescent="0.4">
      <c r="B69"/>
      <c r="C69"/>
      <c r="D69"/>
      <c r="E69"/>
      <c r="F69"/>
      <c r="G69"/>
      <c r="H69"/>
      <c r="I69"/>
      <c r="J69"/>
      <c r="K69"/>
      <c r="L69"/>
      <c r="M69"/>
      <c r="N69"/>
      <c r="O69"/>
      <c r="P69"/>
      <c r="Q69"/>
      <c r="R69"/>
    </row>
    <row r="70" spans="2:18" ht="14.6" x14ac:dyDescent="0.4">
      <c r="B70"/>
      <c r="C70"/>
      <c r="D70"/>
      <c r="E70"/>
      <c r="F70"/>
      <c r="G70"/>
      <c r="H70"/>
      <c r="I70"/>
      <c r="J70"/>
      <c r="K70"/>
      <c r="L70"/>
      <c r="M70"/>
      <c r="N70"/>
      <c r="O70"/>
      <c r="P70"/>
      <c r="Q70"/>
      <c r="R70"/>
    </row>
    <row r="71" spans="2:18" ht="14.6" x14ac:dyDescent="0.4">
      <c r="B71"/>
      <c r="C71"/>
      <c r="D71"/>
      <c r="E71"/>
      <c r="F71"/>
      <c r="G71"/>
      <c r="H71"/>
      <c r="I71"/>
      <c r="J71"/>
      <c r="K71"/>
      <c r="L71"/>
      <c r="M71"/>
      <c r="N71"/>
      <c r="O71"/>
      <c r="P71"/>
      <c r="Q71"/>
      <c r="R71"/>
    </row>
    <row r="72" spans="2:18" ht="14.6" x14ac:dyDescent="0.4">
      <c r="B72"/>
      <c r="C72"/>
      <c r="D72"/>
      <c r="E72"/>
      <c r="F72"/>
      <c r="G72"/>
      <c r="H72"/>
      <c r="I72"/>
      <c r="J72"/>
      <c r="K72"/>
      <c r="L72"/>
      <c r="M72"/>
      <c r="N72"/>
      <c r="O72"/>
      <c r="P72"/>
      <c r="Q72"/>
      <c r="R72"/>
    </row>
    <row r="73" spans="2:18" ht="14.6" x14ac:dyDescent="0.4">
      <c r="B73"/>
      <c r="C73"/>
      <c r="D73"/>
      <c r="E73"/>
      <c r="F73"/>
      <c r="G73"/>
      <c r="H73"/>
      <c r="I73"/>
      <c r="J73"/>
      <c r="K73"/>
      <c r="L73"/>
      <c r="M73"/>
      <c r="N73"/>
      <c r="O73"/>
      <c r="P73"/>
      <c r="Q73"/>
      <c r="R73"/>
    </row>
    <row r="74" spans="2:18" ht="14.6" x14ac:dyDescent="0.4">
      <c r="B74"/>
      <c r="C74"/>
      <c r="D74"/>
      <c r="E74"/>
      <c r="F74"/>
      <c r="G74"/>
      <c r="H74"/>
      <c r="I74"/>
      <c r="J74"/>
      <c r="K74"/>
      <c r="L74"/>
      <c r="M74"/>
      <c r="N74"/>
      <c r="O74"/>
      <c r="P74"/>
      <c r="Q74"/>
      <c r="R74"/>
    </row>
    <row r="75" spans="2:18" ht="14.6" x14ac:dyDescent="0.4">
      <c r="B75"/>
      <c r="C75"/>
      <c r="D75"/>
      <c r="E75"/>
      <c r="F75"/>
      <c r="G75"/>
      <c r="H75"/>
      <c r="I75"/>
      <c r="J75"/>
      <c r="K75"/>
      <c r="L75"/>
      <c r="M75"/>
      <c r="N75"/>
      <c r="O75"/>
      <c r="P75"/>
      <c r="Q75"/>
      <c r="R75"/>
    </row>
    <row r="76" spans="2:18" ht="14.6" x14ac:dyDescent="0.4">
      <c r="B76"/>
      <c r="C76"/>
      <c r="D76"/>
      <c r="E76"/>
      <c r="F76"/>
      <c r="G76"/>
      <c r="H76"/>
      <c r="I76"/>
      <c r="J76"/>
      <c r="K76"/>
      <c r="L76"/>
      <c r="M76"/>
      <c r="N76"/>
      <c r="O76"/>
      <c r="P76"/>
      <c r="Q76"/>
      <c r="R76"/>
    </row>
    <row r="77" spans="2:18" ht="14.6" x14ac:dyDescent="0.4">
      <c r="B77"/>
      <c r="C77"/>
      <c r="D77"/>
      <c r="E77"/>
      <c r="F77"/>
      <c r="G77"/>
      <c r="H77"/>
      <c r="I77"/>
      <c r="J77"/>
      <c r="K77"/>
      <c r="L77"/>
      <c r="M77"/>
      <c r="N77"/>
      <c r="O77"/>
      <c r="P77"/>
      <c r="Q77"/>
      <c r="R77"/>
    </row>
    <row r="78" spans="2:18" ht="14.6" x14ac:dyDescent="0.4">
      <c r="B78"/>
      <c r="C78"/>
      <c r="D78"/>
      <c r="E78"/>
      <c r="F78"/>
      <c r="G78"/>
      <c r="H78"/>
      <c r="I78"/>
      <c r="J78"/>
      <c r="K78"/>
      <c r="L78"/>
      <c r="M78"/>
      <c r="N78"/>
      <c r="O78"/>
      <c r="P78"/>
      <c r="Q78"/>
      <c r="R78"/>
    </row>
    <row r="79" spans="2:18" ht="14.6" x14ac:dyDescent="0.4">
      <c r="B79"/>
      <c r="C79"/>
      <c r="D79"/>
      <c r="E79"/>
      <c r="F79"/>
      <c r="G79"/>
      <c r="H79"/>
      <c r="I79"/>
      <c r="J79"/>
      <c r="K79"/>
      <c r="L79"/>
      <c r="M79"/>
      <c r="N79"/>
      <c r="O79"/>
      <c r="P79"/>
      <c r="Q79"/>
      <c r="R79"/>
    </row>
    <row r="80" spans="2:18" ht="14.6" x14ac:dyDescent="0.4">
      <c r="B80"/>
      <c r="C80"/>
      <c r="D80"/>
      <c r="E80"/>
      <c r="F80"/>
      <c r="G80"/>
      <c r="H80"/>
      <c r="I80"/>
      <c r="J80"/>
      <c r="K80"/>
      <c r="L80"/>
      <c r="M80"/>
      <c r="N80"/>
      <c r="O80"/>
      <c r="P80"/>
      <c r="Q80"/>
      <c r="R80"/>
    </row>
    <row r="81" spans="2:18" ht="14.6" x14ac:dyDescent="0.4">
      <c r="B81"/>
      <c r="C81"/>
      <c r="D81"/>
      <c r="E81"/>
      <c r="F81"/>
      <c r="G81"/>
      <c r="H81"/>
      <c r="I81"/>
      <c r="J81"/>
      <c r="K81"/>
      <c r="L81"/>
      <c r="M81"/>
      <c r="N81"/>
      <c r="O81"/>
      <c r="P81"/>
      <c r="Q81"/>
      <c r="R81"/>
    </row>
    <row r="82" spans="2:18" ht="14.6" x14ac:dyDescent="0.4">
      <c r="B82"/>
      <c r="C82"/>
      <c r="D82"/>
      <c r="E82"/>
      <c r="F82"/>
      <c r="G82"/>
      <c r="H82"/>
      <c r="I82"/>
      <c r="J82"/>
      <c r="K82"/>
      <c r="L82"/>
      <c r="M82"/>
      <c r="N82"/>
      <c r="O82"/>
      <c r="P82"/>
      <c r="Q82"/>
      <c r="R82"/>
    </row>
    <row r="83" spans="2:18" ht="14.6" x14ac:dyDescent="0.4">
      <c r="B83"/>
      <c r="C83"/>
      <c r="D83"/>
      <c r="E83"/>
      <c r="F83"/>
      <c r="G83"/>
      <c r="H83"/>
      <c r="I83"/>
      <c r="J83"/>
      <c r="K83"/>
      <c r="L83"/>
      <c r="M83"/>
      <c r="N83"/>
      <c r="O83"/>
      <c r="P83"/>
      <c r="Q83"/>
      <c r="R83"/>
    </row>
    <row r="84" spans="2:18" ht="14.6" x14ac:dyDescent="0.4">
      <c r="B84"/>
      <c r="C84"/>
      <c r="D84"/>
      <c r="E84"/>
      <c r="F84"/>
      <c r="G84"/>
      <c r="H84"/>
      <c r="I84"/>
      <c r="J84"/>
      <c r="K84"/>
      <c r="L84"/>
      <c r="M84"/>
      <c r="N84"/>
      <c r="O84"/>
      <c r="P84"/>
      <c r="Q84"/>
      <c r="R84"/>
    </row>
    <row r="85" spans="2:18" ht="14.6" x14ac:dyDescent="0.4">
      <c r="B85"/>
      <c r="C85"/>
      <c r="D85"/>
      <c r="E85"/>
      <c r="F85"/>
      <c r="G85"/>
      <c r="H85"/>
      <c r="I85"/>
      <c r="J85"/>
      <c r="K85"/>
      <c r="L85"/>
      <c r="M85"/>
      <c r="N85"/>
      <c r="O85"/>
      <c r="P85"/>
      <c r="Q85"/>
      <c r="R85"/>
    </row>
    <row r="86" spans="2:18" ht="14.6" x14ac:dyDescent="0.4">
      <c r="B86"/>
      <c r="C86"/>
      <c r="D86"/>
      <c r="E86"/>
      <c r="F86"/>
      <c r="G86"/>
      <c r="H86"/>
      <c r="I86"/>
      <c r="J86"/>
      <c r="K86"/>
      <c r="L86"/>
      <c r="M86"/>
      <c r="N86"/>
      <c r="O86"/>
      <c r="P86"/>
      <c r="Q86"/>
      <c r="R86"/>
    </row>
    <row r="87" spans="2:18" ht="14.6" x14ac:dyDescent="0.4">
      <c r="B87"/>
      <c r="C87"/>
      <c r="D87"/>
      <c r="E87"/>
      <c r="F87"/>
      <c r="G87"/>
      <c r="H87"/>
      <c r="I87"/>
      <c r="J87"/>
      <c r="K87"/>
      <c r="L87"/>
      <c r="M87"/>
      <c r="N87"/>
      <c r="O87"/>
      <c r="P87"/>
      <c r="Q87"/>
      <c r="R87"/>
    </row>
    <row r="88" spans="2:18" ht="14.6" x14ac:dyDescent="0.4">
      <c r="B88"/>
      <c r="C88"/>
      <c r="D88"/>
      <c r="E88"/>
      <c r="F88"/>
      <c r="G88"/>
      <c r="H88"/>
      <c r="I88"/>
      <c r="J88"/>
      <c r="K88"/>
      <c r="L88"/>
      <c r="M88"/>
      <c r="N88"/>
      <c r="O88"/>
      <c r="P88"/>
      <c r="Q88"/>
      <c r="R88"/>
    </row>
    <row r="89" spans="2:18" ht="14.6" x14ac:dyDescent="0.4">
      <c r="B89"/>
      <c r="C89"/>
      <c r="D89"/>
      <c r="E89"/>
      <c r="F89"/>
      <c r="G89"/>
      <c r="H89"/>
      <c r="I89"/>
      <c r="J89"/>
      <c r="K89"/>
      <c r="L89"/>
      <c r="M89"/>
      <c r="N89"/>
      <c r="O89"/>
      <c r="P89"/>
      <c r="Q89"/>
      <c r="R89"/>
    </row>
    <row r="90" spans="2:18" ht="14.6" x14ac:dyDescent="0.4">
      <c r="B90"/>
      <c r="C90"/>
      <c r="D90"/>
      <c r="E90"/>
      <c r="F90"/>
      <c r="G90"/>
      <c r="H90"/>
      <c r="I90"/>
      <c r="J90"/>
      <c r="K90"/>
      <c r="L90"/>
      <c r="M90"/>
      <c r="N90"/>
      <c r="O90"/>
      <c r="P90"/>
      <c r="Q90"/>
      <c r="R90"/>
    </row>
    <row r="91" spans="2:18" ht="14.6" x14ac:dyDescent="0.4">
      <c r="B91"/>
      <c r="C91"/>
      <c r="D91"/>
      <c r="E91"/>
      <c r="F91"/>
      <c r="G91"/>
      <c r="H91"/>
      <c r="I91"/>
      <c r="J91"/>
      <c r="K91"/>
      <c r="L91"/>
      <c r="M91"/>
      <c r="N91"/>
      <c r="O91"/>
      <c r="P91"/>
      <c r="Q91"/>
      <c r="R91"/>
    </row>
    <row r="92" spans="2:18" ht="14.6" x14ac:dyDescent="0.4">
      <c r="B92"/>
      <c r="C92"/>
      <c r="D92"/>
      <c r="E92"/>
      <c r="F92"/>
      <c r="G92"/>
      <c r="H92"/>
      <c r="I92"/>
      <c r="J92"/>
      <c r="K92"/>
      <c r="L92"/>
      <c r="M92"/>
      <c r="N92"/>
      <c r="O92"/>
      <c r="P92"/>
      <c r="Q92"/>
      <c r="R92"/>
    </row>
    <row r="93" spans="2:18" ht="14.6" x14ac:dyDescent="0.4">
      <c r="B93"/>
      <c r="C93"/>
      <c r="D93"/>
      <c r="E93"/>
      <c r="F93"/>
      <c r="G93"/>
      <c r="H93"/>
      <c r="I93"/>
      <c r="J93"/>
      <c r="K93"/>
      <c r="L93"/>
      <c r="M93"/>
      <c r="N93"/>
      <c r="O93"/>
      <c r="P93"/>
      <c r="Q93"/>
      <c r="R93"/>
    </row>
    <row r="94" spans="2:18" ht="14.6" x14ac:dyDescent="0.4">
      <c r="B94"/>
      <c r="C94"/>
      <c r="D94"/>
      <c r="E94"/>
      <c r="F94"/>
      <c r="G94"/>
      <c r="H94"/>
      <c r="I94"/>
      <c r="J94"/>
      <c r="K94"/>
      <c r="L94"/>
      <c r="M94"/>
      <c r="N94"/>
      <c r="O94"/>
      <c r="P94"/>
      <c r="Q94"/>
      <c r="R94"/>
    </row>
    <row r="95" spans="2:18" ht="14.6" x14ac:dyDescent="0.4">
      <c r="B95"/>
      <c r="C95"/>
      <c r="D95"/>
      <c r="E95"/>
      <c r="F95"/>
      <c r="G95"/>
      <c r="H95"/>
      <c r="I95"/>
      <c r="J95"/>
      <c r="K95"/>
      <c r="L95"/>
      <c r="M95"/>
      <c r="N95"/>
      <c r="O95"/>
      <c r="P95"/>
      <c r="Q95"/>
      <c r="R95"/>
    </row>
    <row r="96" spans="2:18" ht="14.6" x14ac:dyDescent="0.4">
      <c r="B96"/>
      <c r="C96"/>
      <c r="D96"/>
      <c r="E96"/>
      <c r="F96"/>
      <c r="G96"/>
      <c r="H96"/>
      <c r="I96"/>
      <c r="J96"/>
      <c r="K96"/>
      <c r="L96"/>
      <c r="M96"/>
      <c r="N96"/>
      <c r="O96"/>
      <c r="P96"/>
      <c r="Q96"/>
      <c r="R96"/>
    </row>
    <row r="97" spans="2:18" ht="14.6" x14ac:dyDescent="0.4">
      <c r="B97"/>
      <c r="C97"/>
      <c r="D97"/>
      <c r="E97"/>
      <c r="F97"/>
      <c r="G97"/>
      <c r="H97"/>
      <c r="I97"/>
      <c r="J97"/>
      <c r="K97"/>
      <c r="L97"/>
      <c r="M97"/>
      <c r="N97"/>
      <c r="O97"/>
      <c r="P97"/>
      <c r="Q97"/>
      <c r="R97"/>
    </row>
    <row r="98" spans="2:18" ht="14.6" x14ac:dyDescent="0.4">
      <c r="B98"/>
      <c r="C98"/>
      <c r="D98"/>
      <c r="E98"/>
      <c r="F98"/>
      <c r="G98"/>
      <c r="H98"/>
      <c r="I98"/>
      <c r="J98"/>
      <c r="K98"/>
      <c r="L98"/>
      <c r="M98"/>
      <c r="N98"/>
      <c r="O98"/>
      <c r="P98"/>
      <c r="Q98"/>
      <c r="R98"/>
    </row>
    <row r="99" spans="2:18" ht="14.6" x14ac:dyDescent="0.4">
      <c r="B99"/>
      <c r="C99"/>
      <c r="D99"/>
      <c r="E99"/>
      <c r="F99"/>
      <c r="G99"/>
      <c r="H99"/>
      <c r="I99"/>
      <c r="J99"/>
      <c r="K99"/>
      <c r="L99"/>
      <c r="M99"/>
      <c r="N99"/>
      <c r="O99"/>
      <c r="P99"/>
      <c r="Q99"/>
      <c r="R99"/>
    </row>
    <row r="100" spans="2:18" ht="14.6" x14ac:dyDescent="0.4">
      <c r="B100"/>
      <c r="C100"/>
      <c r="D100"/>
      <c r="E100"/>
      <c r="F100"/>
      <c r="G100"/>
      <c r="H100"/>
      <c r="I100"/>
      <c r="J100"/>
      <c r="K100"/>
      <c r="L100"/>
      <c r="M100"/>
      <c r="N100"/>
      <c r="O100"/>
      <c r="P100"/>
      <c r="Q100"/>
      <c r="R100"/>
    </row>
    <row r="101" spans="2:18" ht="14.6" x14ac:dyDescent="0.4">
      <c r="B101"/>
      <c r="C101"/>
      <c r="D101"/>
      <c r="E101"/>
      <c r="F101"/>
      <c r="G101"/>
      <c r="H101"/>
      <c r="I101"/>
      <c r="J101"/>
      <c r="K101"/>
      <c r="L101"/>
      <c r="M101"/>
      <c r="N101"/>
      <c r="O101"/>
      <c r="P101"/>
      <c r="Q101"/>
      <c r="R101"/>
    </row>
    <row r="102" spans="2:18" ht="14.6" x14ac:dyDescent="0.4">
      <c r="B102"/>
      <c r="C102"/>
      <c r="D102"/>
      <c r="E102"/>
      <c r="F102"/>
      <c r="G102"/>
      <c r="H102"/>
      <c r="I102"/>
      <c r="J102"/>
      <c r="K102"/>
      <c r="L102"/>
      <c r="M102"/>
      <c r="N102"/>
      <c r="O102"/>
      <c r="P102"/>
      <c r="Q102"/>
      <c r="R102"/>
    </row>
    <row r="103" spans="2:18" ht="14.6" x14ac:dyDescent="0.4">
      <c r="B103"/>
      <c r="C103"/>
      <c r="D103"/>
      <c r="E103"/>
      <c r="F103"/>
      <c r="G103"/>
      <c r="H103"/>
      <c r="I103"/>
      <c r="J103"/>
      <c r="K103"/>
      <c r="L103"/>
      <c r="M103"/>
      <c r="N103"/>
      <c r="O103"/>
      <c r="P103"/>
      <c r="Q103"/>
      <c r="R103"/>
    </row>
    <row r="104" spans="2:18" ht="14.6" x14ac:dyDescent="0.4">
      <c r="B104"/>
      <c r="C104"/>
      <c r="D104"/>
      <c r="E104"/>
      <c r="F104"/>
      <c r="G104"/>
      <c r="H104"/>
      <c r="I104"/>
      <c r="J104"/>
      <c r="K104"/>
      <c r="L104"/>
      <c r="M104"/>
      <c r="N104"/>
      <c r="O104"/>
      <c r="P104"/>
      <c r="Q104"/>
      <c r="R104"/>
    </row>
    <row r="105" spans="2:18" ht="14.6" x14ac:dyDescent="0.4">
      <c r="B105"/>
      <c r="C105"/>
      <c r="D105"/>
      <c r="E105"/>
      <c r="F105"/>
      <c r="G105"/>
      <c r="H105"/>
      <c r="I105"/>
      <c r="J105"/>
      <c r="K105"/>
      <c r="L105"/>
      <c r="M105"/>
      <c r="N105"/>
      <c r="O105"/>
      <c r="P105"/>
      <c r="Q105"/>
      <c r="R105"/>
    </row>
    <row r="106" spans="2:18" ht="14.6" x14ac:dyDescent="0.4">
      <c r="B106"/>
      <c r="C106"/>
      <c r="D106"/>
      <c r="E106"/>
      <c r="F106"/>
      <c r="G106"/>
      <c r="H106"/>
      <c r="I106"/>
      <c r="J106"/>
      <c r="K106"/>
      <c r="L106"/>
      <c r="M106"/>
      <c r="N106"/>
      <c r="O106"/>
      <c r="P106"/>
      <c r="Q106"/>
      <c r="R106"/>
    </row>
    <row r="107" spans="2:18" ht="14.6" x14ac:dyDescent="0.4">
      <c r="B107"/>
      <c r="C107"/>
      <c r="D107"/>
      <c r="E107"/>
      <c r="F107"/>
      <c r="G107"/>
      <c r="H107"/>
      <c r="I107"/>
      <c r="J107"/>
      <c r="K107"/>
      <c r="L107"/>
      <c r="M107"/>
      <c r="N107"/>
      <c r="O107"/>
      <c r="P107"/>
      <c r="Q107"/>
      <c r="R107"/>
    </row>
    <row r="108" spans="2:18" ht="14.6" x14ac:dyDescent="0.4">
      <c r="B108"/>
      <c r="C108"/>
      <c r="D108"/>
      <c r="E108"/>
      <c r="F108"/>
      <c r="G108"/>
      <c r="H108"/>
      <c r="I108"/>
      <c r="J108"/>
      <c r="K108"/>
      <c r="L108"/>
      <c r="M108"/>
      <c r="N108"/>
      <c r="O108"/>
      <c r="P108"/>
      <c r="Q108"/>
      <c r="R108"/>
    </row>
    <row r="109" spans="2:18" ht="14.6" x14ac:dyDescent="0.4">
      <c r="B109"/>
      <c r="C109"/>
      <c r="D109"/>
      <c r="E109"/>
      <c r="F109"/>
      <c r="G109"/>
      <c r="H109"/>
      <c r="I109"/>
      <c r="J109"/>
      <c r="K109"/>
      <c r="L109"/>
      <c r="M109"/>
      <c r="N109"/>
      <c r="O109"/>
      <c r="P109"/>
      <c r="Q109"/>
      <c r="R109"/>
    </row>
    <row r="110" spans="2:18" ht="14.6" x14ac:dyDescent="0.4">
      <c r="B110"/>
      <c r="C110"/>
      <c r="D110"/>
      <c r="E110"/>
      <c r="F110"/>
      <c r="G110"/>
      <c r="H110"/>
      <c r="I110"/>
      <c r="J110"/>
      <c r="K110"/>
      <c r="L110"/>
      <c r="M110"/>
      <c r="N110"/>
      <c r="O110"/>
      <c r="P110"/>
      <c r="Q110"/>
      <c r="R110"/>
    </row>
    <row r="111" spans="2:18" ht="14.6" x14ac:dyDescent="0.4">
      <c r="B111"/>
      <c r="C111"/>
      <c r="D111"/>
      <c r="E111"/>
      <c r="F111"/>
      <c r="G111"/>
      <c r="H111"/>
      <c r="I111"/>
      <c r="J111"/>
      <c r="K111"/>
      <c r="L111"/>
      <c r="M111"/>
      <c r="N111"/>
      <c r="O111"/>
      <c r="P111"/>
      <c r="Q111"/>
      <c r="R111"/>
    </row>
    <row r="112" spans="2:18" ht="14.6" x14ac:dyDescent="0.4">
      <c r="B112"/>
      <c r="C112"/>
      <c r="D112"/>
      <c r="E112"/>
      <c r="F112"/>
      <c r="G112"/>
      <c r="H112"/>
      <c r="I112"/>
      <c r="J112"/>
      <c r="K112"/>
      <c r="L112"/>
      <c r="M112"/>
      <c r="N112"/>
      <c r="O112"/>
      <c r="P112"/>
      <c r="Q112"/>
      <c r="R112"/>
    </row>
    <row r="113" spans="2:18" ht="14.6" x14ac:dyDescent="0.4">
      <c r="B113"/>
      <c r="C113"/>
      <c r="D113"/>
      <c r="E113"/>
      <c r="F113"/>
      <c r="G113"/>
      <c r="H113"/>
      <c r="I113"/>
      <c r="J113"/>
      <c r="K113"/>
      <c r="L113"/>
      <c r="M113"/>
      <c r="N113"/>
      <c r="O113"/>
      <c r="P113"/>
      <c r="Q113"/>
      <c r="R113"/>
    </row>
    <row r="114" spans="2:18" ht="14.6" x14ac:dyDescent="0.4">
      <c r="B114"/>
      <c r="C114"/>
      <c r="D114"/>
      <c r="E114"/>
      <c r="F114"/>
      <c r="G114"/>
      <c r="H114"/>
      <c r="I114"/>
      <c r="J114"/>
      <c r="K114"/>
      <c r="L114"/>
      <c r="M114"/>
      <c r="N114"/>
      <c r="O114"/>
      <c r="P114"/>
      <c r="Q114"/>
      <c r="R114"/>
    </row>
    <row r="115" spans="2:18" ht="14.6" x14ac:dyDescent="0.4">
      <c r="B115"/>
      <c r="C115"/>
      <c r="D115"/>
      <c r="E115"/>
      <c r="F115"/>
      <c r="G115"/>
      <c r="H115"/>
      <c r="I115"/>
      <c r="J115"/>
      <c r="K115"/>
      <c r="L115"/>
      <c r="M115"/>
      <c r="N115"/>
      <c r="O115"/>
      <c r="P115"/>
      <c r="Q115"/>
      <c r="R115"/>
    </row>
    <row r="116" spans="2:18" ht="14.6" x14ac:dyDescent="0.4">
      <c r="B116"/>
      <c r="C116"/>
      <c r="D116"/>
      <c r="E116"/>
      <c r="F116"/>
      <c r="G116"/>
      <c r="H116"/>
      <c r="I116"/>
      <c r="J116"/>
      <c r="K116"/>
      <c r="L116"/>
      <c r="M116"/>
      <c r="N116"/>
      <c r="O116"/>
      <c r="P116"/>
      <c r="Q116"/>
      <c r="R116"/>
    </row>
    <row r="117" spans="2:18" ht="14.6" x14ac:dyDescent="0.4">
      <c r="B117"/>
      <c r="C117"/>
      <c r="D117"/>
      <c r="E117"/>
      <c r="F117"/>
      <c r="G117"/>
      <c r="H117"/>
      <c r="I117"/>
      <c r="J117"/>
      <c r="K117"/>
      <c r="L117"/>
      <c r="M117"/>
      <c r="N117"/>
      <c r="O117"/>
      <c r="P117"/>
      <c r="Q117"/>
      <c r="R117"/>
    </row>
    <row r="118" spans="2:18" ht="14.6" x14ac:dyDescent="0.4">
      <c r="B118"/>
      <c r="C118"/>
      <c r="D118"/>
      <c r="E118"/>
      <c r="F118"/>
      <c r="G118"/>
      <c r="H118"/>
      <c r="I118"/>
      <c r="J118"/>
      <c r="K118"/>
      <c r="L118"/>
      <c r="M118"/>
      <c r="N118"/>
      <c r="O118"/>
      <c r="P118"/>
      <c r="Q118"/>
      <c r="R118"/>
    </row>
    <row r="119" spans="2:18" ht="14.6" x14ac:dyDescent="0.4">
      <c r="B119"/>
      <c r="C119"/>
      <c r="D119"/>
      <c r="E119"/>
      <c r="F119"/>
      <c r="G119"/>
      <c r="H119"/>
      <c r="I119"/>
      <c r="J119"/>
      <c r="K119"/>
      <c r="L119"/>
      <c r="M119"/>
      <c r="N119"/>
      <c r="O119"/>
      <c r="P119"/>
      <c r="Q119"/>
      <c r="R119"/>
    </row>
    <row r="120" spans="2:18" ht="14.6" x14ac:dyDescent="0.4">
      <c r="B120"/>
      <c r="C120"/>
      <c r="D120"/>
      <c r="E120"/>
      <c r="F120"/>
      <c r="G120"/>
      <c r="H120"/>
      <c r="I120"/>
      <c r="J120"/>
      <c r="K120"/>
      <c r="L120"/>
      <c r="M120"/>
      <c r="N120"/>
      <c r="O120"/>
      <c r="P120"/>
      <c r="Q120"/>
      <c r="R120"/>
    </row>
    <row r="121" spans="2:18" ht="14.6" x14ac:dyDescent="0.4">
      <c r="B121"/>
      <c r="C121"/>
      <c r="D121"/>
      <c r="E121"/>
      <c r="F121"/>
      <c r="G121"/>
      <c r="H121"/>
      <c r="I121"/>
      <c r="J121"/>
      <c r="K121"/>
      <c r="L121"/>
      <c r="M121"/>
      <c r="N121"/>
      <c r="O121"/>
      <c r="P121"/>
      <c r="Q121"/>
      <c r="R121"/>
    </row>
    <row r="122" spans="2:18" ht="14.6" x14ac:dyDescent="0.4">
      <c r="B122"/>
      <c r="C122"/>
      <c r="D122"/>
      <c r="E122"/>
      <c r="F122"/>
      <c r="G122"/>
      <c r="H122"/>
      <c r="I122"/>
      <c r="J122"/>
      <c r="K122"/>
      <c r="L122"/>
      <c r="M122"/>
      <c r="N122"/>
      <c r="O122"/>
      <c r="P122"/>
      <c r="Q122"/>
      <c r="R122"/>
    </row>
    <row r="123" spans="2:18" ht="14.6" x14ac:dyDescent="0.4">
      <c r="B123"/>
      <c r="C123"/>
      <c r="D123"/>
      <c r="E123"/>
      <c r="F123"/>
      <c r="G123"/>
      <c r="H123"/>
      <c r="I123"/>
      <c r="J123"/>
      <c r="K123"/>
      <c r="L123"/>
      <c r="M123"/>
      <c r="N123"/>
      <c r="O123"/>
      <c r="P123"/>
      <c r="Q123"/>
      <c r="R123"/>
    </row>
    <row r="124" spans="2:18" ht="14.6" x14ac:dyDescent="0.4">
      <c r="B124"/>
      <c r="C124"/>
      <c r="D124"/>
      <c r="E124"/>
      <c r="F124"/>
      <c r="G124"/>
      <c r="H124"/>
      <c r="I124"/>
      <c r="J124"/>
      <c r="K124"/>
      <c r="L124"/>
      <c r="M124"/>
      <c r="N124"/>
      <c r="O124"/>
      <c r="P124"/>
      <c r="Q124"/>
      <c r="R124"/>
    </row>
    <row r="125" spans="2:18" ht="14.6" x14ac:dyDescent="0.4">
      <c r="B125"/>
      <c r="C125"/>
      <c r="D125"/>
      <c r="E125"/>
      <c r="F125"/>
      <c r="G125"/>
      <c r="H125"/>
      <c r="I125"/>
      <c r="J125"/>
      <c r="K125"/>
      <c r="L125"/>
      <c r="M125"/>
      <c r="N125"/>
      <c r="O125"/>
      <c r="P125"/>
      <c r="Q125"/>
      <c r="R125"/>
    </row>
    <row r="126" spans="2:18" ht="14.6" x14ac:dyDescent="0.4">
      <c r="B126"/>
      <c r="C126"/>
      <c r="D126"/>
      <c r="E126"/>
      <c r="F126"/>
      <c r="G126"/>
      <c r="H126"/>
      <c r="I126"/>
      <c r="J126"/>
      <c r="K126"/>
      <c r="L126"/>
      <c r="M126"/>
      <c r="N126"/>
      <c r="O126"/>
      <c r="P126"/>
      <c r="Q126"/>
      <c r="R126"/>
    </row>
    <row r="127" spans="2:18" ht="14.6" x14ac:dyDescent="0.4">
      <c r="B127"/>
      <c r="C127"/>
      <c r="D127"/>
      <c r="E127"/>
      <c r="F127"/>
      <c r="G127"/>
      <c r="H127"/>
      <c r="I127"/>
      <c r="J127"/>
      <c r="K127"/>
      <c r="L127"/>
      <c r="M127"/>
      <c r="N127"/>
      <c r="O127"/>
      <c r="P127"/>
      <c r="Q127"/>
      <c r="R127"/>
    </row>
    <row r="128" spans="2:18" ht="14.6" x14ac:dyDescent="0.4">
      <c r="B128"/>
      <c r="C128"/>
      <c r="D128"/>
      <c r="E128"/>
      <c r="F128"/>
      <c r="G128"/>
      <c r="H128"/>
      <c r="I128"/>
      <c r="J128"/>
      <c r="K128"/>
      <c r="L128"/>
      <c r="M128"/>
      <c r="N128"/>
      <c r="O128"/>
      <c r="P128"/>
      <c r="Q128"/>
      <c r="R128"/>
    </row>
    <row r="129" spans="2:18" ht="14.6" x14ac:dyDescent="0.4">
      <c r="B129"/>
      <c r="C129"/>
      <c r="D129"/>
      <c r="E129"/>
      <c r="F129"/>
      <c r="G129"/>
      <c r="H129"/>
      <c r="I129"/>
      <c r="J129"/>
      <c r="K129"/>
      <c r="L129"/>
      <c r="M129"/>
      <c r="N129"/>
      <c r="O129"/>
      <c r="P129"/>
      <c r="Q129"/>
      <c r="R129"/>
    </row>
    <row r="130" spans="2:18" ht="14.6" x14ac:dyDescent="0.4">
      <c r="B130"/>
      <c r="C130"/>
      <c r="D130"/>
      <c r="E130"/>
      <c r="F130"/>
      <c r="G130"/>
      <c r="H130"/>
      <c r="I130"/>
      <c r="J130"/>
      <c r="K130"/>
      <c r="L130"/>
      <c r="M130"/>
      <c r="N130"/>
      <c r="O130"/>
      <c r="P130"/>
      <c r="Q130"/>
      <c r="R130"/>
    </row>
    <row r="131" spans="2:18" ht="14.6" x14ac:dyDescent="0.4">
      <c r="B131"/>
      <c r="C131"/>
      <c r="D131"/>
      <c r="E131"/>
      <c r="F131"/>
      <c r="G131"/>
      <c r="H131"/>
      <c r="I131"/>
      <c r="J131"/>
      <c r="K131"/>
      <c r="L131"/>
      <c r="M131"/>
      <c r="N131"/>
      <c r="O131"/>
      <c r="P131"/>
      <c r="Q131"/>
      <c r="R131"/>
    </row>
    <row r="132" spans="2:18" ht="14.6" x14ac:dyDescent="0.4">
      <c r="B132"/>
      <c r="C132"/>
      <c r="D132"/>
      <c r="E132"/>
      <c r="F132"/>
      <c r="G132"/>
      <c r="H132"/>
      <c r="I132"/>
      <c r="J132"/>
      <c r="K132"/>
      <c r="L132"/>
      <c r="M132"/>
      <c r="N132"/>
      <c r="O132"/>
      <c r="P132"/>
      <c r="Q132"/>
      <c r="R132"/>
    </row>
    <row r="133" spans="2:18" ht="14.6" x14ac:dyDescent="0.4">
      <c r="B133"/>
      <c r="C133"/>
      <c r="D133"/>
      <c r="E133"/>
      <c r="F133"/>
      <c r="G133"/>
      <c r="H133"/>
      <c r="I133"/>
      <c r="J133"/>
      <c r="K133"/>
      <c r="L133"/>
      <c r="M133"/>
      <c r="N133"/>
      <c r="O133"/>
      <c r="P133"/>
      <c r="Q133"/>
      <c r="R133"/>
    </row>
    <row r="134" spans="2:18" ht="14.6" x14ac:dyDescent="0.4">
      <c r="B134"/>
      <c r="C134"/>
      <c r="D134"/>
      <c r="E134"/>
      <c r="F134"/>
      <c r="G134"/>
      <c r="H134"/>
      <c r="I134"/>
      <c r="J134"/>
      <c r="K134"/>
      <c r="L134"/>
      <c r="M134"/>
      <c r="N134"/>
      <c r="O134"/>
      <c r="P134"/>
      <c r="Q134"/>
      <c r="R134"/>
    </row>
    <row r="135" spans="2:18" ht="14.6" x14ac:dyDescent="0.4">
      <c r="B135"/>
      <c r="C135"/>
      <c r="D135"/>
      <c r="E135"/>
      <c r="F135"/>
      <c r="G135"/>
      <c r="H135"/>
      <c r="I135"/>
      <c r="J135"/>
      <c r="K135"/>
      <c r="L135"/>
      <c r="M135"/>
      <c r="N135"/>
      <c r="O135"/>
      <c r="P135"/>
      <c r="Q135"/>
      <c r="R135"/>
    </row>
    <row r="136" spans="2:18" ht="14.6" x14ac:dyDescent="0.4">
      <c r="B136"/>
      <c r="C136"/>
      <c r="D136"/>
      <c r="E136"/>
      <c r="F136"/>
      <c r="G136"/>
      <c r="H136"/>
      <c r="I136"/>
      <c r="J136"/>
      <c r="K136"/>
      <c r="L136"/>
      <c r="M136"/>
      <c r="N136"/>
      <c r="O136"/>
      <c r="P136"/>
      <c r="Q136"/>
      <c r="R136"/>
    </row>
    <row r="137" spans="2:18" ht="14.6" x14ac:dyDescent="0.4">
      <c r="B137"/>
      <c r="C137"/>
      <c r="D137"/>
      <c r="E137"/>
      <c r="F137"/>
      <c r="G137"/>
      <c r="H137"/>
      <c r="I137"/>
      <c r="J137"/>
      <c r="K137"/>
      <c r="L137"/>
      <c r="M137"/>
      <c r="N137"/>
      <c r="O137"/>
      <c r="P137"/>
      <c r="Q137"/>
      <c r="R137"/>
    </row>
    <row r="138" spans="2:18" ht="14.6" x14ac:dyDescent="0.4">
      <c r="B138"/>
      <c r="C138"/>
      <c r="D138"/>
      <c r="E138"/>
      <c r="F138"/>
      <c r="G138"/>
      <c r="H138"/>
      <c r="I138"/>
      <c r="J138"/>
      <c r="K138"/>
      <c r="L138"/>
      <c r="M138"/>
      <c r="N138"/>
      <c r="O138"/>
      <c r="P138"/>
      <c r="Q138"/>
      <c r="R138"/>
    </row>
    <row r="139" spans="2:18" ht="14.6" x14ac:dyDescent="0.4">
      <c r="B139"/>
      <c r="C139"/>
      <c r="D139"/>
      <c r="E139"/>
      <c r="F139"/>
      <c r="G139"/>
      <c r="H139"/>
      <c r="I139"/>
      <c r="J139"/>
      <c r="K139"/>
      <c r="L139"/>
      <c r="M139"/>
      <c r="N139"/>
      <c r="O139"/>
      <c r="P139"/>
      <c r="Q139"/>
      <c r="R139"/>
    </row>
    <row r="140" spans="2:18" ht="14.6" x14ac:dyDescent="0.4">
      <c r="B140"/>
      <c r="C140"/>
      <c r="D140"/>
      <c r="E140"/>
      <c r="F140"/>
      <c r="G140"/>
      <c r="H140"/>
      <c r="I140"/>
      <c r="J140"/>
      <c r="K140"/>
      <c r="L140"/>
      <c r="M140"/>
      <c r="N140"/>
      <c r="O140"/>
      <c r="P140"/>
      <c r="Q140"/>
      <c r="R140"/>
    </row>
    <row r="141" spans="2:18" ht="14.6" x14ac:dyDescent="0.4">
      <c r="B141"/>
      <c r="C141"/>
      <c r="D141"/>
      <c r="E141"/>
      <c r="F141"/>
      <c r="G141"/>
      <c r="H141"/>
      <c r="I141"/>
      <c r="J141"/>
      <c r="K141"/>
      <c r="L141"/>
      <c r="M141"/>
      <c r="N141"/>
      <c r="O141"/>
      <c r="P141"/>
      <c r="Q141"/>
      <c r="R141"/>
    </row>
    <row r="142" spans="2:18" ht="14.6" x14ac:dyDescent="0.4">
      <c r="B142"/>
      <c r="C142"/>
      <c r="D142"/>
      <c r="E142"/>
      <c r="F142"/>
      <c r="G142"/>
      <c r="H142"/>
      <c r="I142"/>
      <c r="J142"/>
      <c r="K142"/>
      <c r="L142"/>
      <c r="M142"/>
      <c r="N142"/>
      <c r="O142"/>
      <c r="P142"/>
      <c r="Q142"/>
      <c r="R142"/>
    </row>
    <row r="143" spans="2:18" ht="14.6" x14ac:dyDescent="0.4">
      <c r="B143"/>
      <c r="C143"/>
      <c r="D143"/>
      <c r="E143"/>
      <c r="F143"/>
      <c r="G143"/>
      <c r="H143"/>
      <c r="I143"/>
      <c r="J143"/>
      <c r="K143"/>
      <c r="L143"/>
      <c r="M143"/>
      <c r="N143"/>
      <c r="O143"/>
      <c r="P143"/>
      <c r="Q143"/>
      <c r="R143"/>
    </row>
    <row r="144" spans="2:18" ht="14.6" x14ac:dyDescent="0.4">
      <c r="B144"/>
      <c r="C144"/>
      <c r="D144"/>
      <c r="E144"/>
      <c r="F144"/>
      <c r="G144"/>
      <c r="H144"/>
      <c r="I144"/>
      <c r="J144"/>
      <c r="K144"/>
      <c r="L144"/>
      <c r="M144"/>
      <c r="N144"/>
      <c r="O144"/>
      <c r="P144"/>
      <c r="Q144"/>
      <c r="R144"/>
    </row>
    <row r="145" spans="2:18" ht="14.6" x14ac:dyDescent="0.4">
      <c r="B145"/>
      <c r="C145"/>
      <c r="D145"/>
      <c r="E145"/>
      <c r="F145"/>
      <c r="G145"/>
      <c r="H145"/>
      <c r="I145"/>
      <c r="J145"/>
      <c r="K145"/>
      <c r="L145"/>
      <c r="M145"/>
      <c r="N145"/>
      <c r="O145"/>
      <c r="P145"/>
      <c r="Q145"/>
      <c r="R145"/>
    </row>
    <row r="146" spans="2:18" ht="14.6" x14ac:dyDescent="0.4">
      <c r="B146"/>
      <c r="C146"/>
      <c r="D146"/>
      <c r="E146"/>
      <c r="F146"/>
      <c r="G146"/>
      <c r="H146"/>
      <c r="I146"/>
      <c r="J146"/>
      <c r="K146"/>
      <c r="L146"/>
      <c r="M146"/>
      <c r="N146"/>
      <c r="O146"/>
      <c r="P146"/>
      <c r="Q146"/>
      <c r="R146"/>
    </row>
    <row r="147" spans="2:18" ht="14.6" x14ac:dyDescent="0.4">
      <c r="B147"/>
      <c r="C147"/>
      <c r="D147"/>
      <c r="E147"/>
      <c r="F147"/>
      <c r="G147"/>
      <c r="H147"/>
      <c r="I147"/>
      <c r="J147"/>
      <c r="K147"/>
      <c r="L147"/>
      <c r="M147"/>
      <c r="N147"/>
      <c r="O147"/>
      <c r="P147"/>
      <c r="Q147"/>
      <c r="R147"/>
    </row>
    <row r="148" spans="2:18" ht="14.6" x14ac:dyDescent="0.4">
      <c r="B148"/>
      <c r="C148"/>
      <c r="D148"/>
      <c r="E148"/>
      <c r="F148"/>
      <c r="G148"/>
      <c r="H148"/>
      <c r="I148"/>
      <c r="J148"/>
      <c r="K148"/>
      <c r="L148"/>
      <c r="M148"/>
      <c r="N148"/>
      <c r="O148"/>
      <c r="P148"/>
      <c r="Q148"/>
      <c r="R148"/>
    </row>
    <row r="149" spans="2:18" ht="14.6" x14ac:dyDescent="0.4">
      <c r="B149"/>
      <c r="C149"/>
      <c r="D149"/>
      <c r="E149"/>
      <c r="F149"/>
      <c r="G149"/>
      <c r="H149"/>
      <c r="I149"/>
      <c r="J149"/>
      <c r="K149"/>
      <c r="L149"/>
      <c r="M149"/>
      <c r="N149"/>
      <c r="O149"/>
      <c r="P149"/>
      <c r="Q149"/>
      <c r="R149"/>
    </row>
    <row r="150" spans="2:18" ht="14.6" x14ac:dyDescent="0.4">
      <c r="B150"/>
      <c r="C150"/>
      <c r="D150"/>
      <c r="E150"/>
      <c r="F150"/>
      <c r="G150"/>
      <c r="H150"/>
      <c r="I150"/>
      <c r="J150"/>
      <c r="K150"/>
      <c r="L150"/>
      <c r="M150"/>
      <c r="N150"/>
      <c r="O150"/>
      <c r="P150"/>
      <c r="Q150"/>
      <c r="R150"/>
    </row>
    <row r="151" spans="2:18" ht="14.6" x14ac:dyDescent="0.4">
      <c r="B151"/>
      <c r="C151"/>
      <c r="D151"/>
      <c r="E151"/>
      <c r="F151"/>
      <c r="G151"/>
      <c r="H151"/>
      <c r="I151"/>
      <c r="J151"/>
      <c r="K151"/>
      <c r="L151"/>
      <c r="M151"/>
      <c r="N151"/>
      <c r="O151"/>
      <c r="P151"/>
      <c r="Q151"/>
      <c r="R151"/>
    </row>
    <row r="152" spans="2:18" ht="14.6" x14ac:dyDescent="0.4">
      <c r="B152"/>
      <c r="C152"/>
      <c r="D152"/>
      <c r="E152"/>
      <c r="F152"/>
      <c r="G152"/>
      <c r="H152"/>
      <c r="I152"/>
      <c r="J152"/>
      <c r="K152"/>
      <c r="L152"/>
      <c r="M152"/>
      <c r="N152"/>
      <c r="O152"/>
      <c r="P152"/>
      <c r="Q152"/>
      <c r="R152"/>
    </row>
    <row r="153" spans="2:18" ht="14.6" x14ac:dyDescent="0.4">
      <c r="B153"/>
      <c r="C153"/>
      <c r="D153"/>
      <c r="E153"/>
      <c r="F153"/>
      <c r="G153"/>
      <c r="H153"/>
      <c r="I153"/>
      <c r="J153"/>
      <c r="K153"/>
      <c r="L153"/>
      <c r="M153"/>
      <c r="N153"/>
      <c r="O153"/>
      <c r="P153"/>
      <c r="Q153"/>
      <c r="R153"/>
    </row>
    <row r="154" spans="2:18" ht="14.6" x14ac:dyDescent="0.4">
      <c r="B154"/>
      <c r="C154"/>
      <c r="D154"/>
      <c r="E154"/>
      <c r="F154"/>
      <c r="G154"/>
      <c r="H154"/>
      <c r="I154"/>
      <c r="J154"/>
      <c r="K154"/>
      <c r="L154"/>
      <c r="M154"/>
      <c r="N154"/>
      <c r="O154"/>
      <c r="P154"/>
      <c r="Q154"/>
      <c r="R154"/>
    </row>
    <row r="155" spans="2:18" ht="14.6" x14ac:dyDescent="0.4">
      <c r="B155"/>
      <c r="C155"/>
      <c r="D155"/>
      <c r="E155"/>
      <c r="F155"/>
      <c r="G155"/>
      <c r="H155"/>
      <c r="I155"/>
      <c r="J155"/>
      <c r="K155"/>
      <c r="L155"/>
      <c r="M155"/>
      <c r="N155"/>
      <c r="O155"/>
      <c r="P155"/>
      <c r="Q155"/>
      <c r="R155"/>
    </row>
    <row r="156" spans="2:18" ht="14.6" x14ac:dyDescent="0.4">
      <c r="B156"/>
      <c r="C156"/>
      <c r="D156"/>
      <c r="E156"/>
      <c r="F156"/>
      <c r="G156"/>
      <c r="H156"/>
      <c r="I156"/>
      <c r="J156"/>
      <c r="K156"/>
      <c r="L156"/>
      <c r="M156"/>
      <c r="N156"/>
      <c r="O156"/>
      <c r="P156"/>
      <c r="Q156"/>
      <c r="R156"/>
    </row>
    <row r="157" spans="2:18" ht="14.6" x14ac:dyDescent="0.4">
      <c r="B157"/>
      <c r="C157"/>
      <c r="D157"/>
      <c r="E157"/>
      <c r="F157"/>
      <c r="G157"/>
      <c r="H157"/>
      <c r="I157"/>
      <c r="J157"/>
      <c r="K157"/>
      <c r="L157"/>
      <c r="M157"/>
      <c r="N157"/>
      <c r="O157"/>
      <c r="P157"/>
      <c r="Q157"/>
      <c r="R157"/>
    </row>
    <row r="158" spans="2:18" ht="14.6" x14ac:dyDescent="0.4">
      <c r="B158"/>
      <c r="C158"/>
      <c r="D158"/>
      <c r="E158"/>
      <c r="F158"/>
      <c r="G158"/>
      <c r="H158"/>
      <c r="I158"/>
      <c r="J158"/>
      <c r="K158"/>
      <c r="L158"/>
      <c r="M158"/>
      <c r="N158"/>
      <c r="O158"/>
      <c r="P158"/>
      <c r="Q158"/>
      <c r="R158"/>
    </row>
    <row r="159" spans="2:18" ht="14.6" x14ac:dyDescent="0.4">
      <c r="B159"/>
      <c r="C159"/>
      <c r="D159"/>
      <c r="E159"/>
      <c r="F159"/>
      <c r="G159"/>
      <c r="H159"/>
      <c r="I159"/>
      <c r="J159"/>
      <c r="K159"/>
      <c r="L159"/>
      <c r="M159"/>
      <c r="N159"/>
      <c r="O159"/>
      <c r="P159"/>
      <c r="Q159"/>
      <c r="R159"/>
    </row>
    <row r="160" spans="2:18" ht="14.6" x14ac:dyDescent="0.4">
      <c r="B160"/>
      <c r="C160"/>
      <c r="D160"/>
      <c r="E160"/>
      <c r="F160"/>
      <c r="G160"/>
      <c r="H160"/>
      <c r="I160"/>
      <c r="J160"/>
      <c r="K160"/>
      <c r="L160"/>
      <c r="M160"/>
      <c r="N160"/>
      <c r="O160"/>
      <c r="P160"/>
      <c r="Q160"/>
      <c r="R160"/>
    </row>
    <row r="161" spans="2:18" ht="14.6" x14ac:dyDescent="0.4">
      <c r="B161"/>
      <c r="C161"/>
      <c r="D161"/>
      <c r="E161"/>
      <c r="F161"/>
      <c r="G161"/>
      <c r="H161"/>
      <c r="I161"/>
      <c r="J161"/>
      <c r="K161"/>
      <c r="L161"/>
      <c r="M161"/>
      <c r="N161"/>
      <c r="O161"/>
      <c r="P161"/>
      <c r="Q161"/>
      <c r="R161"/>
    </row>
    <row r="162" spans="2:18" ht="14.6" x14ac:dyDescent="0.4">
      <c r="B162"/>
      <c r="C162"/>
      <c r="D162"/>
      <c r="E162"/>
      <c r="F162"/>
      <c r="G162"/>
      <c r="H162"/>
      <c r="I162"/>
      <c r="J162"/>
      <c r="K162"/>
      <c r="L162"/>
      <c r="M162"/>
      <c r="N162"/>
      <c r="O162"/>
      <c r="P162"/>
      <c r="Q162"/>
      <c r="R162"/>
    </row>
    <row r="163" spans="2:18" ht="14.6" x14ac:dyDescent="0.4">
      <c r="B163"/>
      <c r="C163"/>
      <c r="D163"/>
      <c r="E163"/>
      <c r="F163"/>
      <c r="G163"/>
      <c r="H163"/>
      <c r="I163"/>
      <c r="J163"/>
      <c r="K163"/>
      <c r="L163"/>
      <c r="M163"/>
      <c r="N163"/>
      <c r="O163"/>
      <c r="P163"/>
      <c r="Q163"/>
      <c r="R163"/>
    </row>
    <row r="164" spans="2:18" ht="14.6" x14ac:dyDescent="0.4">
      <c r="B164"/>
      <c r="C164"/>
      <c r="D164"/>
      <c r="E164"/>
      <c r="F164"/>
      <c r="G164"/>
      <c r="H164"/>
      <c r="I164"/>
      <c r="J164"/>
      <c r="K164"/>
      <c r="L164"/>
      <c r="M164"/>
      <c r="N164"/>
      <c r="O164"/>
      <c r="P164"/>
      <c r="Q164"/>
      <c r="R164"/>
    </row>
    <row r="165" spans="2:18" ht="14.6" x14ac:dyDescent="0.4">
      <c r="B165"/>
      <c r="C165"/>
      <c r="D165"/>
      <c r="E165"/>
      <c r="F165"/>
      <c r="G165"/>
      <c r="H165"/>
      <c r="I165"/>
      <c r="J165"/>
      <c r="K165"/>
      <c r="L165"/>
      <c r="M165"/>
      <c r="N165"/>
      <c r="O165"/>
      <c r="P165"/>
      <c r="Q165"/>
      <c r="R165"/>
    </row>
    <row r="166" spans="2:18" ht="14.6" x14ac:dyDescent="0.4">
      <c r="B166"/>
      <c r="C166"/>
      <c r="D166"/>
      <c r="E166"/>
      <c r="F166"/>
      <c r="G166"/>
      <c r="H166"/>
      <c r="I166"/>
      <c r="J166"/>
      <c r="K166"/>
      <c r="L166"/>
      <c r="M166"/>
      <c r="N166"/>
      <c r="O166"/>
      <c r="P166"/>
      <c r="Q166"/>
      <c r="R166"/>
    </row>
    <row r="167" spans="2:18" ht="14.6" x14ac:dyDescent="0.4">
      <c r="B167"/>
      <c r="C167"/>
      <c r="D167"/>
      <c r="E167"/>
      <c r="F167"/>
      <c r="G167"/>
      <c r="H167"/>
      <c r="I167"/>
      <c r="J167"/>
      <c r="K167"/>
      <c r="L167"/>
      <c r="M167"/>
      <c r="N167"/>
      <c r="O167"/>
      <c r="P167"/>
      <c r="Q167"/>
      <c r="R167"/>
    </row>
    <row r="168" spans="2:18" ht="14.6" x14ac:dyDescent="0.4">
      <c r="B168"/>
      <c r="C168"/>
      <c r="D168"/>
      <c r="E168"/>
      <c r="F168"/>
      <c r="G168"/>
      <c r="H168"/>
      <c r="I168"/>
      <c r="J168"/>
      <c r="K168"/>
      <c r="L168"/>
      <c r="M168"/>
      <c r="N168"/>
      <c r="O168"/>
      <c r="P168"/>
      <c r="Q168"/>
      <c r="R168"/>
    </row>
    <row r="169" spans="2:18" ht="14.6" x14ac:dyDescent="0.4">
      <c r="B169"/>
      <c r="C169"/>
      <c r="D169"/>
      <c r="E169"/>
      <c r="F169"/>
      <c r="G169"/>
      <c r="H169"/>
      <c r="I169"/>
      <c r="J169"/>
      <c r="K169"/>
      <c r="L169"/>
      <c r="M169"/>
      <c r="N169"/>
      <c r="O169"/>
      <c r="P169"/>
      <c r="Q169"/>
      <c r="R169"/>
    </row>
    <row r="170" spans="2:18" ht="14.6" x14ac:dyDescent="0.4">
      <c r="B170"/>
      <c r="C170"/>
      <c r="D170"/>
      <c r="E170"/>
      <c r="F170"/>
      <c r="G170"/>
      <c r="H170"/>
      <c r="I170"/>
      <c r="J170"/>
      <c r="K170"/>
      <c r="L170"/>
      <c r="M170"/>
      <c r="N170"/>
      <c r="O170"/>
      <c r="P170"/>
      <c r="Q170"/>
      <c r="R170"/>
    </row>
    <row r="171" spans="2:18" ht="14.6" x14ac:dyDescent="0.4">
      <c r="B171"/>
      <c r="C171"/>
      <c r="D171"/>
      <c r="E171"/>
      <c r="F171"/>
      <c r="G171"/>
      <c r="H171"/>
      <c r="I171"/>
      <c r="J171"/>
      <c r="K171"/>
      <c r="L171"/>
      <c r="M171"/>
      <c r="N171"/>
      <c r="O171"/>
      <c r="P171"/>
      <c r="Q171"/>
      <c r="R171"/>
    </row>
    <row r="172" spans="2:18" ht="14.6" x14ac:dyDescent="0.4">
      <c r="B172"/>
      <c r="C172"/>
      <c r="D172"/>
      <c r="E172"/>
      <c r="F172"/>
      <c r="G172"/>
      <c r="H172"/>
      <c r="I172"/>
      <c r="J172"/>
      <c r="K172"/>
      <c r="L172"/>
      <c r="M172"/>
      <c r="N172"/>
      <c r="O172"/>
      <c r="P172"/>
      <c r="Q172"/>
      <c r="R172"/>
    </row>
    <row r="173" spans="2:18" ht="14.6" x14ac:dyDescent="0.4">
      <c r="B173"/>
      <c r="C173"/>
      <c r="D173"/>
      <c r="E173"/>
      <c r="F173"/>
      <c r="G173"/>
      <c r="H173"/>
      <c r="I173"/>
      <c r="J173"/>
      <c r="K173"/>
      <c r="L173"/>
      <c r="M173"/>
      <c r="N173"/>
      <c r="O173"/>
      <c r="P173"/>
      <c r="Q173"/>
      <c r="R173"/>
    </row>
    <row r="174" spans="2:18" ht="14.6" x14ac:dyDescent="0.4">
      <c r="B174"/>
      <c r="C174"/>
      <c r="D174"/>
      <c r="E174"/>
      <c r="F174"/>
      <c r="G174"/>
      <c r="H174"/>
      <c r="I174"/>
      <c r="J174"/>
      <c r="K174"/>
      <c r="L174"/>
      <c r="M174"/>
      <c r="N174"/>
      <c r="O174"/>
      <c r="P174"/>
      <c r="Q174"/>
      <c r="R174"/>
    </row>
    <row r="175" spans="2:18" ht="14.6" x14ac:dyDescent="0.4">
      <c r="B175"/>
      <c r="C175"/>
      <c r="D175"/>
      <c r="E175"/>
      <c r="F175"/>
      <c r="G175"/>
      <c r="H175"/>
      <c r="I175"/>
      <c r="J175"/>
      <c r="K175"/>
      <c r="L175"/>
      <c r="M175"/>
      <c r="N175"/>
      <c r="O175"/>
      <c r="P175"/>
      <c r="Q175"/>
      <c r="R175"/>
    </row>
    <row r="176" spans="2:18" ht="14.6" x14ac:dyDescent="0.4">
      <c r="B176"/>
      <c r="C176"/>
      <c r="D176"/>
      <c r="E176"/>
      <c r="F176"/>
      <c r="G176"/>
      <c r="H176"/>
      <c r="I176"/>
      <c r="J176"/>
      <c r="K176"/>
      <c r="L176"/>
      <c r="M176"/>
      <c r="N176"/>
      <c r="O176"/>
      <c r="P176"/>
      <c r="Q176"/>
      <c r="R176"/>
    </row>
    <row r="177" spans="2:18" ht="14.6" x14ac:dyDescent="0.4">
      <c r="B177"/>
      <c r="C177"/>
      <c r="D177"/>
      <c r="E177"/>
      <c r="F177"/>
      <c r="G177"/>
      <c r="H177"/>
      <c r="I177"/>
      <c r="J177"/>
      <c r="K177"/>
      <c r="L177"/>
      <c r="M177"/>
      <c r="N177"/>
      <c r="O177"/>
      <c r="P177"/>
      <c r="Q177"/>
      <c r="R177"/>
    </row>
    <row r="178" spans="2:18" ht="14.6" x14ac:dyDescent="0.4">
      <c r="B178"/>
      <c r="C178"/>
      <c r="D178"/>
      <c r="E178"/>
      <c r="F178"/>
      <c r="G178"/>
      <c r="H178"/>
      <c r="I178"/>
      <c r="J178"/>
      <c r="K178"/>
      <c r="L178"/>
      <c r="M178"/>
      <c r="N178"/>
      <c r="O178"/>
      <c r="P178"/>
      <c r="Q178"/>
      <c r="R178"/>
    </row>
    <row r="179" spans="2:18" ht="14.6" x14ac:dyDescent="0.4">
      <c r="B179"/>
      <c r="C179"/>
      <c r="D179"/>
      <c r="E179"/>
      <c r="F179"/>
      <c r="G179"/>
      <c r="H179"/>
      <c r="I179"/>
      <c r="J179"/>
      <c r="K179"/>
      <c r="L179"/>
      <c r="M179"/>
      <c r="N179"/>
      <c r="O179"/>
      <c r="P179"/>
      <c r="Q179"/>
      <c r="R179"/>
    </row>
    <row r="180" spans="2:18" ht="14.6" x14ac:dyDescent="0.4">
      <c r="B180"/>
      <c r="C180"/>
      <c r="D180"/>
      <c r="E180"/>
      <c r="F180"/>
      <c r="G180"/>
      <c r="H180"/>
      <c r="I180"/>
      <c r="J180"/>
      <c r="K180"/>
      <c r="L180"/>
      <c r="M180"/>
      <c r="N180"/>
      <c r="O180"/>
      <c r="P180"/>
      <c r="Q180"/>
      <c r="R180"/>
    </row>
    <row r="181" spans="2:18" ht="14.6" x14ac:dyDescent="0.4">
      <c r="B181"/>
      <c r="C181"/>
      <c r="D181"/>
      <c r="E181"/>
      <c r="F181"/>
      <c r="G181"/>
      <c r="H181"/>
      <c r="I181"/>
      <c r="J181"/>
      <c r="K181"/>
      <c r="L181"/>
      <c r="M181"/>
      <c r="N181"/>
      <c r="O181"/>
      <c r="P181"/>
      <c r="Q181"/>
      <c r="R181"/>
    </row>
    <row r="182" spans="2:18" ht="14.6" x14ac:dyDescent="0.4">
      <c r="B182"/>
      <c r="C182"/>
      <c r="D182"/>
      <c r="E182"/>
      <c r="F182"/>
      <c r="G182"/>
      <c r="H182"/>
      <c r="I182"/>
      <c r="J182"/>
      <c r="K182"/>
      <c r="L182"/>
      <c r="M182"/>
      <c r="N182"/>
      <c r="O182"/>
      <c r="P182"/>
      <c r="Q182"/>
      <c r="R182"/>
    </row>
    <row r="183" spans="2:18" ht="14.6" x14ac:dyDescent="0.4">
      <c r="B183"/>
      <c r="C183"/>
      <c r="D183"/>
      <c r="E183"/>
      <c r="F183"/>
      <c r="G183"/>
      <c r="H183"/>
      <c r="I183"/>
      <c r="J183"/>
      <c r="K183"/>
      <c r="L183"/>
      <c r="M183"/>
      <c r="N183"/>
      <c r="O183"/>
      <c r="P183"/>
      <c r="Q183"/>
      <c r="R183"/>
    </row>
    <row r="184" spans="2:18" ht="14.6" x14ac:dyDescent="0.4">
      <c r="B184"/>
      <c r="C184"/>
      <c r="D184"/>
      <c r="E184"/>
      <c r="F184"/>
      <c r="G184"/>
      <c r="H184"/>
      <c r="I184"/>
      <c r="J184"/>
      <c r="K184"/>
      <c r="L184"/>
      <c r="M184"/>
      <c r="N184"/>
      <c r="O184"/>
      <c r="P184"/>
      <c r="Q184"/>
      <c r="R184"/>
    </row>
    <row r="185" spans="2:18" ht="14.6" x14ac:dyDescent="0.4">
      <c r="B185"/>
      <c r="C185"/>
      <c r="D185"/>
      <c r="E185"/>
      <c r="F185"/>
      <c r="G185"/>
      <c r="H185"/>
      <c r="I185"/>
      <c r="J185"/>
      <c r="K185"/>
      <c r="L185"/>
      <c r="M185"/>
      <c r="N185"/>
      <c r="O185"/>
      <c r="P185"/>
      <c r="Q185"/>
      <c r="R185"/>
    </row>
    <row r="186" spans="2:18" ht="14.6" x14ac:dyDescent="0.4">
      <c r="B186"/>
      <c r="C186"/>
      <c r="D186"/>
      <c r="E186"/>
      <c r="F186"/>
      <c r="G186"/>
      <c r="H186"/>
      <c r="I186"/>
      <c r="J186"/>
      <c r="K186"/>
      <c r="L186"/>
      <c r="M186"/>
      <c r="N186"/>
      <c r="O186"/>
      <c r="P186"/>
      <c r="Q186"/>
      <c r="R186"/>
    </row>
    <row r="187" spans="2:18" ht="14.6" x14ac:dyDescent="0.4">
      <c r="B187"/>
      <c r="C187"/>
      <c r="D187"/>
      <c r="E187"/>
      <c r="F187"/>
      <c r="G187"/>
      <c r="H187"/>
      <c r="I187"/>
      <c r="J187"/>
      <c r="K187"/>
      <c r="L187"/>
      <c r="M187"/>
      <c r="N187"/>
      <c r="O187"/>
      <c r="P187"/>
      <c r="Q187"/>
      <c r="R187"/>
    </row>
    <row r="188" spans="2:18" ht="14.6" x14ac:dyDescent="0.4">
      <c r="B188"/>
      <c r="C188"/>
      <c r="D188"/>
      <c r="E188"/>
      <c r="F188"/>
      <c r="G188"/>
      <c r="H188"/>
      <c r="I188"/>
      <c r="J188"/>
      <c r="K188"/>
      <c r="L188"/>
      <c r="M188"/>
      <c r="N188"/>
      <c r="O188"/>
      <c r="P188"/>
      <c r="Q188"/>
      <c r="R188"/>
    </row>
    <row r="189" spans="2:18" ht="14.6" x14ac:dyDescent="0.4">
      <c r="B189"/>
      <c r="C189"/>
      <c r="D189"/>
      <c r="E189"/>
      <c r="F189"/>
      <c r="G189"/>
      <c r="H189"/>
      <c r="I189"/>
      <c r="J189"/>
      <c r="K189"/>
      <c r="L189"/>
      <c r="M189"/>
      <c r="N189"/>
      <c r="O189"/>
      <c r="P189"/>
      <c r="Q189"/>
      <c r="R189"/>
    </row>
    <row r="190" spans="2:18" ht="14.6" x14ac:dyDescent="0.4">
      <c r="B190"/>
      <c r="C190"/>
      <c r="D190"/>
      <c r="E190"/>
      <c r="F190"/>
      <c r="G190"/>
      <c r="H190"/>
      <c r="I190"/>
      <c r="J190"/>
      <c r="K190"/>
      <c r="L190"/>
      <c r="M190"/>
      <c r="N190"/>
      <c r="O190"/>
      <c r="P190"/>
      <c r="Q190"/>
      <c r="R190"/>
    </row>
    <row r="191" spans="2:18" ht="14.6" x14ac:dyDescent="0.4">
      <c r="B191"/>
      <c r="C191"/>
      <c r="D191"/>
      <c r="E191"/>
      <c r="F191"/>
      <c r="G191"/>
      <c r="H191"/>
      <c r="I191"/>
      <c r="J191"/>
      <c r="K191"/>
      <c r="L191"/>
      <c r="M191"/>
      <c r="N191"/>
      <c r="O191"/>
      <c r="P191"/>
      <c r="Q191"/>
      <c r="R191"/>
    </row>
    <row r="192" spans="2:18" ht="14.6" x14ac:dyDescent="0.4">
      <c r="B192"/>
      <c r="C192"/>
      <c r="D192"/>
      <c r="E192"/>
      <c r="F192"/>
      <c r="G192"/>
      <c r="H192"/>
      <c r="I192"/>
      <c r="J192"/>
      <c r="K192"/>
      <c r="L192"/>
      <c r="M192"/>
      <c r="N192"/>
      <c r="O192"/>
      <c r="P192"/>
      <c r="Q192"/>
      <c r="R192"/>
    </row>
    <row r="193" spans="2:18" ht="14.6" x14ac:dyDescent="0.4">
      <c r="B193"/>
      <c r="C193"/>
      <c r="D193"/>
      <c r="E193"/>
      <c r="F193"/>
      <c r="G193"/>
      <c r="H193"/>
      <c r="I193"/>
      <c r="J193"/>
      <c r="K193"/>
      <c r="L193"/>
      <c r="M193"/>
      <c r="N193"/>
      <c r="O193"/>
      <c r="P193"/>
      <c r="Q193"/>
      <c r="R193"/>
    </row>
    <row r="194" spans="2:18" ht="14.6" x14ac:dyDescent="0.4">
      <c r="B194"/>
      <c r="C194"/>
      <c r="D194"/>
      <c r="E194"/>
      <c r="F194"/>
      <c r="G194"/>
      <c r="H194"/>
      <c r="I194"/>
      <c r="J194"/>
      <c r="K194"/>
      <c r="L194"/>
      <c r="M194"/>
      <c r="N194"/>
      <c r="O194"/>
      <c r="P194"/>
      <c r="Q194"/>
      <c r="R194"/>
    </row>
    <row r="195" spans="2:18" ht="14.6" x14ac:dyDescent="0.4">
      <c r="B195"/>
      <c r="C195"/>
      <c r="D195"/>
      <c r="E195"/>
      <c r="F195"/>
      <c r="G195"/>
      <c r="H195"/>
      <c r="I195"/>
      <c r="J195"/>
      <c r="K195"/>
      <c r="L195"/>
      <c r="M195"/>
      <c r="N195"/>
      <c r="O195"/>
      <c r="P195"/>
      <c r="Q195"/>
      <c r="R195"/>
    </row>
    <row r="196" spans="2:18" ht="14.6" x14ac:dyDescent="0.4">
      <c r="B196"/>
      <c r="C196"/>
      <c r="D196"/>
      <c r="E196"/>
      <c r="F196"/>
      <c r="G196"/>
      <c r="H196"/>
      <c r="I196"/>
      <c r="J196"/>
      <c r="K196"/>
      <c r="L196"/>
      <c r="M196"/>
      <c r="N196"/>
      <c r="O196"/>
      <c r="P196"/>
      <c r="Q196"/>
      <c r="R196"/>
    </row>
    <row r="197" spans="2:18" ht="14.6" x14ac:dyDescent="0.4">
      <c r="B197"/>
      <c r="C197"/>
      <c r="D197"/>
      <c r="E197"/>
      <c r="F197"/>
      <c r="G197"/>
      <c r="H197"/>
      <c r="I197"/>
      <c r="J197"/>
      <c r="K197"/>
      <c r="L197"/>
      <c r="M197"/>
      <c r="N197"/>
      <c r="O197"/>
      <c r="P197"/>
      <c r="Q197"/>
      <c r="R197"/>
    </row>
    <row r="198" spans="2:18" ht="14.6" x14ac:dyDescent="0.4">
      <c r="B198"/>
      <c r="C198"/>
      <c r="D198"/>
      <c r="E198"/>
      <c r="F198"/>
      <c r="G198"/>
      <c r="H198"/>
      <c r="I198"/>
      <c r="J198"/>
      <c r="K198"/>
      <c r="L198"/>
      <c r="M198"/>
      <c r="N198"/>
      <c r="O198"/>
      <c r="P198"/>
      <c r="Q198"/>
      <c r="R198"/>
    </row>
    <row r="199" spans="2:18" ht="14.6" x14ac:dyDescent="0.4">
      <c r="B199"/>
      <c r="C199"/>
      <c r="D199"/>
      <c r="E199"/>
      <c r="F199"/>
      <c r="G199"/>
      <c r="H199"/>
      <c r="I199"/>
      <c r="J199"/>
      <c r="K199"/>
      <c r="L199"/>
      <c r="M199"/>
      <c r="N199"/>
      <c r="O199"/>
      <c r="P199"/>
      <c r="Q199"/>
      <c r="R199"/>
    </row>
    <row r="200" spans="2:18" ht="14.6" x14ac:dyDescent="0.4">
      <c r="B200"/>
      <c r="C200"/>
      <c r="D200"/>
      <c r="E200"/>
      <c r="F200"/>
      <c r="G200"/>
      <c r="H200"/>
      <c r="I200"/>
      <c r="J200"/>
      <c r="K200"/>
      <c r="L200"/>
      <c r="M200"/>
      <c r="N200"/>
      <c r="O200"/>
      <c r="P200"/>
      <c r="Q200"/>
      <c r="R200"/>
    </row>
    <row r="201" spans="2:18" ht="14.6" x14ac:dyDescent="0.4">
      <c r="B201"/>
      <c r="C201"/>
      <c r="D201"/>
      <c r="E201"/>
      <c r="F201"/>
      <c r="G201"/>
      <c r="H201"/>
      <c r="I201"/>
      <c r="J201"/>
      <c r="K201"/>
      <c r="L201"/>
      <c r="M201"/>
      <c r="N201"/>
      <c r="O201"/>
      <c r="P201"/>
      <c r="Q201"/>
      <c r="R201"/>
    </row>
    <row r="202" spans="2:18" ht="14.6" x14ac:dyDescent="0.4">
      <c r="B202"/>
      <c r="C202"/>
      <c r="D202"/>
      <c r="E202"/>
      <c r="F202"/>
      <c r="G202"/>
      <c r="H202"/>
      <c r="I202"/>
      <c r="J202"/>
      <c r="K202"/>
      <c r="L202"/>
      <c r="M202"/>
      <c r="N202"/>
      <c r="O202"/>
      <c r="P202"/>
      <c r="Q202"/>
      <c r="R202"/>
    </row>
    <row r="203" spans="2:18" ht="14.6" x14ac:dyDescent="0.4">
      <c r="B203"/>
      <c r="C203"/>
      <c r="D203"/>
      <c r="E203"/>
      <c r="F203"/>
      <c r="G203"/>
      <c r="H203"/>
      <c r="I203"/>
      <c r="J203"/>
      <c r="K203"/>
      <c r="L203"/>
      <c r="M203"/>
      <c r="N203"/>
      <c r="O203"/>
      <c r="P203"/>
      <c r="Q203"/>
      <c r="R203"/>
    </row>
    <row r="204" spans="2:18" ht="14.6" x14ac:dyDescent="0.4">
      <c r="B204"/>
      <c r="C204"/>
      <c r="D204"/>
      <c r="E204"/>
      <c r="F204"/>
      <c r="G204"/>
      <c r="H204"/>
      <c r="I204"/>
      <c r="J204"/>
      <c r="K204"/>
      <c r="L204"/>
      <c r="M204"/>
      <c r="N204"/>
      <c r="O204"/>
      <c r="P204"/>
      <c r="Q204"/>
      <c r="R204"/>
    </row>
    <row r="205" spans="2:18" ht="14.6" x14ac:dyDescent="0.4">
      <c r="B205"/>
      <c r="C205"/>
      <c r="D205"/>
      <c r="E205"/>
      <c r="F205"/>
      <c r="G205"/>
      <c r="H205"/>
      <c r="I205"/>
      <c r="J205"/>
      <c r="K205"/>
      <c r="L205"/>
      <c r="M205"/>
      <c r="N205"/>
      <c r="O205"/>
      <c r="P205"/>
      <c r="Q205"/>
      <c r="R205"/>
    </row>
    <row r="206" spans="2:18" ht="14.6" x14ac:dyDescent="0.4">
      <c r="B206"/>
      <c r="C206"/>
      <c r="D206"/>
      <c r="E206"/>
      <c r="F206"/>
      <c r="G206"/>
      <c r="H206"/>
      <c r="I206"/>
      <c r="J206"/>
      <c r="K206"/>
      <c r="L206"/>
      <c r="M206"/>
      <c r="N206"/>
      <c r="O206"/>
      <c r="P206"/>
      <c r="Q206"/>
      <c r="R206"/>
    </row>
    <row r="207" spans="2:18" ht="14.6" x14ac:dyDescent="0.4">
      <c r="B207"/>
      <c r="C207"/>
      <c r="D207"/>
      <c r="E207"/>
      <c r="F207"/>
      <c r="G207"/>
      <c r="H207"/>
      <c r="I207"/>
      <c r="J207"/>
      <c r="K207"/>
      <c r="L207"/>
      <c r="M207"/>
      <c r="N207"/>
      <c r="O207"/>
      <c r="P207"/>
      <c r="Q207"/>
      <c r="R207"/>
    </row>
    <row r="208" spans="2:18" ht="14.6" x14ac:dyDescent="0.4">
      <c r="B208"/>
      <c r="C208"/>
      <c r="D208"/>
      <c r="E208"/>
      <c r="F208"/>
      <c r="G208"/>
      <c r="H208"/>
      <c r="I208"/>
      <c r="J208"/>
      <c r="K208"/>
      <c r="L208"/>
      <c r="M208"/>
      <c r="N208"/>
      <c r="O208"/>
      <c r="P208"/>
      <c r="Q208"/>
      <c r="R208"/>
    </row>
    <row r="209" spans="2:18" ht="14.6" x14ac:dyDescent="0.4">
      <c r="B209"/>
      <c r="C209"/>
      <c r="D209"/>
      <c r="E209"/>
      <c r="F209"/>
      <c r="G209"/>
      <c r="H209"/>
      <c r="I209"/>
      <c r="J209"/>
      <c r="K209"/>
      <c r="L209"/>
      <c r="M209"/>
      <c r="N209"/>
      <c r="O209"/>
      <c r="P209"/>
      <c r="Q209"/>
      <c r="R209"/>
    </row>
    <row r="210" spans="2:18" ht="14.6" x14ac:dyDescent="0.4">
      <c r="B210"/>
      <c r="C210"/>
      <c r="D210"/>
      <c r="E210"/>
      <c r="F210"/>
      <c r="G210"/>
      <c r="H210"/>
      <c r="I210"/>
      <c r="J210"/>
      <c r="K210"/>
      <c r="L210"/>
      <c r="M210"/>
      <c r="N210"/>
      <c r="O210"/>
      <c r="P210"/>
      <c r="Q210"/>
      <c r="R210"/>
    </row>
    <row r="211" spans="2:18" ht="14.6" x14ac:dyDescent="0.4">
      <c r="B211"/>
      <c r="C211"/>
      <c r="D211"/>
      <c r="E211"/>
      <c r="F211"/>
      <c r="G211"/>
      <c r="H211"/>
      <c r="I211"/>
      <c r="J211"/>
      <c r="K211"/>
      <c r="L211"/>
      <c r="M211"/>
      <c r="N211"/>
      <c r="O211"/>
      <c r="P211"/>
      <c r="Q211"/>
      <c r="R211"/>
    </row>
    <row r="212" spans="2:18" ht="14.6" x14ac:dyDescent="0.4">
      <c r="B212"/>
      <c r="C212"/>
      <c r="D212"/>
      <c r="E212"/>
      <c r="F212"/>
      <c r="G212"/>
      <c r="H212"/>
      <c r="I212"/>
      <c r="J212"/>
      <c r="K212"/>
      <c r="L212"/>
      <c r="M212"/>
      <c r="N212"/>
      <c r="O212"/>
      <c r="P212"/>
      <c r="Q212"/>
      <c r="R212"/>
    </row>
    <row r="213" spans="2:18" ht="14.6" x14ac:dyDescent="0.4">
      <c r="B213"/>
      <c r="C213"/>
      <c r="D213"/>
      <c r="E213"/>
      <c r="F213"/>
      <c r="G213"/>
      <c r="H213"/>
      <c r="I213"/>
      <c r="J213"/>
      <c r="K213"/>
      <c r="L213"/>
      <c r="M213"/>
      <c r="N213"/>
      <c r="O213"/>
      <c r="P213"/>
      <c r="Q213"/>
      <c r="R213"/>
    </row>
    <row r="214" spans="2:18" ht="14.6" x14ac:dyDescent="0.4">
      <c r="B214"/>
      <c r="C214"/>
      <c r="D214"/>
      <c r="E214"/>
      <c r="F214"/>
      <c r="G214"/>
      <c r="H214"/>
      <c r="I214"/>
      <c r="J214"/>
      <c r="K214"/>
      <c r="L214"/>
      <c r="M214"/>
      <c r="N214"/>
      <c r="O214"/>
      <c r="P214"/>
      <c r="Q214"/>
      <c r="R214"/>
    </row>
    <row r="215" spans="2:18" ht="14.6" x14ac:dyDescent="0.4">
      <c r="B215"/>
      <c r="C215"/>
      <c r="D215"/>
      <c r="E215"/>
      <c r="F215"/>
      <c r="G215"/>
      <c r="H215"/>
      <c r="I215"/>
      <c r="J215"/>
      <c r="K215"/>
      <c r="L215"/>
      <c r="M215"/>
      <c r="N215"/>
      <c r="O215"/>
      <c r="P215"/>
      <c r="Q215"/>
      <c r="R215"/>
    </row>
    <row r="216" spans="2:18" ht="14.6" x14ac:dyDescent="0.4">
      <c r="B216"/>
      <c r="C216"/>
      <c r="D216"/>
      <c r="E216"/>
      <c r="F216"/>
      <c r="G216"/>
      <c r="H216"/>
      <c r="I216"/>
      <c r="J216"/>
      <c r="K216"/>
      <c r="L216"/>
      <c r="M216"/>
      <c r="N216"/>
      <c r="O216"/>
      <c r="P216"/>
      <c r="Q216"/>
      <c r="R216"/>
    </row>
    <row r="217" spans="2:18" ht="14.6" x14ac:dyDescent="0.4">
      <c r="B217"/>
      <c r="C217"/>
      <c r="D217"/>
      <c r="E217"/>
      <c r="F217"/>
      <c r="G217"/>
      <c r="H217"/>
      <c r="I217"/>
      <c r="J217"/>
      <c r="K217"/>
      <c r="L217"/>
      <c r="M217"/>
      <c r="N217"/>
      <c r="O217"/>
      <c r="P217"/>
      <c r="Q217"/>
      <c r="R217"/>
    </row>
    <row r="218" spans="2:18" ht="14.6" x14ac:dyDescent="0.4">
      <c r="B218"/>
      <c r="C218"/>
      <c r="D218"/>
      <c r="E218"/>
      <c r="F218"/>
      <c r="G218"/>
      <c r="H218"/>
      <c r="I218"/>
      <c r="J218"/>
      <c r="K218"/>
      <c r="L218"/>
      <c r="M218"/>
      <c r="N218"/>
      <c r="O218"/>
      <c r="P218"/>
      <c r="Q218"/>
      <c r="R218"/>
    </row>
    <row r="219" spans="2:18" ht="14.6" x14ac:dyDescent="0.4">
      <c r="B219"/>
      <c r="C219"/>
      <c r="D219"/>
      <c r="E219"/>
      <c r="F219"/>
      <c r="G219"/>
      <c r="H219"/>
      <c r="I219"/>
      <c r="J219"/>
      <c r="K219"/>
      <c r="L219"/>
      <c r="M219"/>
      <c r="N219"/>
      <c r="O219"/>
      <c r="P219"/>
      <c r="Q219"/>
      <c r="R219"/>
    </row>
    <row r="220" spans="2:18" ht="14.6" x14ac:dyDescent="0.4">
      <c r="B220"/>
      <c r="C220"/>
      <c r="D220"/>
      <c r="E220"/>
      <c r="F220"/>
      <c r="G220"/>
      <c r="H220"/>
      <c r="I220"/>
      <c r="J220"/>
      <c r="K220"/>
      <c r="L220"/>
      <c r="M220"/>
      <c r="N220"/>
      <c r="O220"/>
      <c r="P220"/>
      <c r="Q220"/>
      <c r="R220"/>
    </row>
    <row r="221" spans="2:18" ht="14.6" x14ac:dyDescent="0.4">
      <c r="B221"/>
      <c r="C221"/>
      <c r="D221"/>
      <c r="E221"/>
      <c r="F221"/>
      <c r="G221"/>
      <c r="H221"/>
      <c r="I221"/>
      <c r="J221"/>
      <c r="K221"/>
      <c r="L221"/>
      <c r="M221"/>
      <c r="N221"/>
      <c r="O221"/>
      <c r="P221"/>
      <c r="Q221"/>
      <c r="R221"/>
    </row>
    <row r="222" spans="2:18" ht="14.6" x14ac:dyDescent="0.4">
      <c r="B222"/>
      <c r="C222"/>
      <c r="D222"/>
      <c r="E222"/>
      <c r="F222"/>
      <c r="G222"/>
      <c r="H222"/>
      <c r="I222"/>
      <c r="J222"/>
      <c r="K222"/>
      <c r="L222"/>
      <c r="M222"/>
      <c r="N222"/>
      <c r="O222"/>
      <c r="P222"/>
      <c r="Q222"/>
      <c r="R222"/>
    </row>
    <row r="223" spans="2:18" ht="14.6" x14ac:dyDescent="0.4">
      <c r="B223"/>
      <c r="C223"/>
      <c r="D223"/>
      <c r="E223"/>
      <c r="F223"/>
      <c r="G223"/>
      <c r="H223"/>
      <c r="I223"/>
      <c r="J223"/>
      <c r="K223"/>
      <c r="L223"/>
      <c r="M223"/>
      <c r="N223"/>
      <c r="O223"/>
      <c r="P223"/>
      <c r="Q223"/>
      <c r="R223"/>
    </row>
    <row r="224" spans="2:18" ht="14.6" x14ac:dyDescent="0.4">
      <c r="B224"/>
      <c r="C224"/>
      <c r="D224"/>
      <c r="E224"/>
      <c r="F224"/>
      <c r="G224"/>
      <c r="H224"/>
      <c r="I224"/>
      <c r="J224"/>
      <c r="K224"/>
      <c r="L224"/>
      <c r="M224"/>
      <c r="N224"/>
      <c r="O224"/>
      <c r="P224"/>
      <c r="Q224"/>
      <c r="R224"/>
    </row>
    <row r="225" spans="2:18" ht="14.6" x14ac:dyDescent="0.4">
      <c r="B225"/>
      <c r="C225"/>
      <c r="D225"/>
      <c r="E225"/>
      <c r="F225"/>
      <c r="G225"/>
      <c r="H225"/>
      <c r="I225"/>
      <c r="J225"/>
      <c r="K225"/>
      <c r="L225"/>
      <c r="M225"/>
      <c r="N225"/>
      <c r="O225"/>
      <c r="P225"/>
      <c r="Q225"/>
      <c r="R225"/>
    </row>
    <row r="226" spans="2:18" ht="14.6" x14ac:dyDescent="0.4">
      <c r="B226"/>
      <c r="C226"/>
      <c r="D226"/>
      <c r="E226"/>
      <c r="F226"/>
      <c r="G226"/>
      <c r="H226"/>
      <c r="I226"/>
      <c r="J226"/>
      <c r="K226"/>
      <c r="L226"/>
      <c r="M226"/>
      <c r="N226"/>
      <c r="O226"/>
      <c r="P226"/>
      <c r="Q226"/>
      <c r="R226"/>
    </row>
    <row r="227" spans="2:18" ht="14.6" x14ac:dyDescent="0.4">
      <c r="B227"/>
      <c r="C227"/>
      <c r="D227"/>
      <c r="E227"/>
      <c r="F227"/>
      <c r="G227"/>
      <c r="H227"/>
      <c r="I227"/>
      <c r="J227"/>
      <c r="K227"/>
      <c r="L227"/>
      <c r="M227"/>
      <c r="N227"/>
      <c r="O227"/>
      <c r="P227"/>
      <c r="Q227"/>
      <c r="R227"/>
    </row>
    <row r="228" spans="2:18" ht="14.6" x14ac:dyDescent="0.4">
      <c r="B228"/>
      <c r="C228"/>
      <c r="D228"/>
      <c r="E228"/>
      <c r="F228"/>
      <c r="G228"/>
      <c r="H228"/>
      <c r="I228"/>
      <c r="J228"/>
      <c r="K228"/>
      <c r="L228"/>
      <c r="M228"/>
      <c r="N228"/>
      <c r="O228"/>
      <c r="P228"/>
      <c r="Q228"/>
      <c r="R228"/>
    </row>
    <row r="229" spans="2:18" ht="14.6" x14ac:dyDescent="0.4">
      <c r="B229"/>
      <c r="C229"/>
      <c r="D229"/>
      <c r="E229"/>
      <c r="F229"/>
      <c r="G229"/>
      <c r="H229"/>
      <c r="I229"/>
      <c r="J229"/>
      <c r="K229"/>
      <c r="L229"/>
      <c r="M229"/>
      <c r="N229"/>
      <c r="O229"/>
      <c r="P229"/>
      <c r="Q229"/>
      <c r="R229"/>
    </row>
    <row r="230" spans="2:18" ht="14.6" x14ac:dyDescent="0.4">
      <c r="B230"/>
      <c r="C230"/>
      <c r="D230"/>
      <c r="E230"/>
      <c r="F230"/>
      <c r="G230"/>
      <c r="H230"/>
      <c r="I230"/>
      <c r="J230"/>
      <c r="K230"/>
      <c r="L230"/>
      <c r="M230"/>
      <c r="N230"/>
      <c r="O230"/>
      <c r="P230"/>
      <c r="Q230"/>
      <c r="R230"/>
    </row>
    <row r="231" spans="2:18" ht="14.6" x14ac:dyDescent="0.4">
      <c r="B231"/>
      <c r="C231"/>
      <c r="D231"/>
      <c r="E231"/>
      <c r="F231"/>
      <c r="G231"/>
      <c r="H231"/>
      <c r="I231"/>
      <c r="J231"/>
      <c r="K231"/>
      <c r="L231"/>
      <c r="M231"/>
      <c r="N231"/>
      <c r="O231"/>
      <c r="P231"/>
      <c r="Q231"/>
      <c r="R231"/>
    </row>
    <row r="232" spans="2:18" ht="14.6" x14ac:dyDescent="0.4">
      <c r="B232"/>
      <c r="C232"/>
      <c r="D232"/>
      <c r="E232"/>
      <c r="F232"/>
      <c r="G232"/>
      <c r="H232"/>
      <c r="I232"/>
      <c r="J232"/>
      <c r="K232"/>
      <c r="L232"/>
      <c r="M232"/>
      <c r="N232"/>
      <c r="O232"/>
      <c r="P232"/>
      <c r="Q232"/>
      <c r="R232"/>
    </row>
    <row r="233" spans="2:18" ht="14.6" x14ac:dyDescent="0.4">
      <c r="B233"/>
      <c r="C233"/>
      <c r="D233"/>
      <c r="E233"/>
      <c r="F233"/>
      <c r="G233"/>
      <c r="H233"/>
      <c r="I233"/>
      <c r="J233"/>
      <c r="K233"/>
      <c r="L233"/>
      <c r="M233"/>
      <c r="N233"/>
      <c r="O233"/>
      <c r="P233"/>
      <c r="Q233"/>
      <c r="R233"/>
    </row>
    <row r="234" spans="2:18" ht="14.6" x14ac:dyDescent="0.4">
      <c r="B234"/>
      <c r="C234"/>
      <c r="D234"/>
      <c r="E234"/>
      <c r="F234"/>
      <c r="G234"/>
      <c r="H234"/>
      <c r="I234"/>
      <c r="J234"/>
      <c r="K234"/>
      <c r="L234"/>
      <c r="M234"/>
      <c r="N234"/>
      <c r="O234"/>
      <c r="P234"/>
      <c r="Q234"/>
      <c r="R234"/>
    </row>
    <row r="235" spans="2:18" ht="14.6" x14ac:dyDescent="0.4">
      <c r="B235"/>
      <c r="C235"/>
      <c r="D235"/>
      <c r="E235"/>
      <c r="F235"/>
      <c r="G235"/>
      <c r="H235"/>
      <c r="I235"/>
      <c r="J235"/>
      <c r="K235"/>
      <c r="L235"/>
      <c r="M235"/>
      <c r="N235"/>
      <c r="O235"/>
      <c r="P235"/>
      <c r="Q235"/>
      <c r="R235"/>
    </row>
    <row r="236" spans="2:18" ht="14.6" x14ac:dyDescent="0.4">
      <c r="B236"/>
      <c r="C236"/>
      <c r="D236"/>
      <c r="E236"/>
      <c r="F236"/>
      <c r="G236"/>
      <c r="H236"/>
      <c r="I236"/>
      <c r="J236"/>
      <c r="K236"/>
      <c r="L236"/>
      <c r="M236"/>
      <c r="N236"/>
      <c r="O236"/>
      <c r="P236"/>
      <c r="Q236"/>
      <c r="R236"/>
    </row>
    <row r="237" spans="2:18" ht="14.6" x14ac:dyDescent="0.4">
      <c r="B237"/>
      <c r="C237"/>
      <c r="D237"/>
      <c r="E237"/>
      <c r="F237"/>
      <c r="G237"/>
      <c r="H237"/>
      <c r="I237"/>
      <c r="J237"/>
      <c r="K237"/>
      <c r="L237"/>
      <c r="M237"/>
      <c r="N237"/>
      <c r="O237"/>
      <c r="P237"/>
      <c r="Q237"/>
      <c r="R237"/>
    </row>
    <row r="238" spans="2:18" ht="14.6" x14ac:dyDescent="0.4">
      <c r="B238"/>
      <c r="C238"/>
      <c r="D238"/>
      <c r="E238"/>
      <c r="F238"/>
      <c r="G238"/>
      <c r="H238"/>
      <c r="I238"/>
      <c r="J238"/>
      <c r="K238"/>
      <c r="L238"/>
      <c r="M238"/>
      <c r="N238"/>
      <c r="O238"/>
      <c r="P238"/>
      <c r="Q238"/>
      <c r="R238"/>
    </row>
    <row r="239" spans="2:18" ht="14.6" x14ac:dyDescent="0.4">
      <c r="B239"/>
      <c r="C239"/>
      <c r="D239"/>
      <c r="E239"/>
      <c r="F239"/>
      <c r="G239"/>
      <c r="H239"/>
      <c r="I239"/>
      <c r="J239"/>
      <c r="K239"/>
      <c r="L239"/>
      <c r="M239"/>
      <c r="N239"/>
      <c r="O239"/>
      <c r="P239"/>
      <c r="Q239"/>
      <c r="R239"/>
    </row>
    <row r="240" spans="2:18" ht="14.6" x14ac:dyDescent="0.4">
      <c r="B240"/>
      <c r="C240"/>
      <c r="D240"/>
      <c r="E240"/>
      <c r="F240"/>
      <c r="G240"/>
      <c r="H240"/>
      <c r="I240"/>
      <c r="J240"/>
      <c r="K240"/>
      <c r="L240"/>
      <c r="M240"/>
      <c r="N240"/>
      <c r="O240"/>
      <c r="P240"/>
      <c r="Q240"/>
      <c r="R240"/>
    </row>
    <row r="241" spans="2:18" ht="14.6" x14ac:dyDescent="0.4">
      <c r="B241"/>
      <c r="C241"/>
      <c r="D241"/>
      <c r="E241"/>
      <c r="F241"/>
      <c r="G241"/>
      <c r="H241"/>
      <c r="I241"/>
      <c r="J241"/>
      <c r="K241"/>
      <c r="L241"/>
      <c r="M241"/>
      <c r="N241"/>
      <c r="O241"/>
      <c r="P241"/>
      <c r="Q241"/>
      <c r="R241"/>
    </row>
    <row r="242" spans="2:18" ht="14.6" x14ac:dyDescent="0.4">
      <c r="B242"/>
      <c r="C242"/>
      <c r="D242"/>
      <c r="E242"/>
      <c r="F242"/>
      <c r="G242"/>
      <c r="H242"/>
      <c r="I242"/>
      <c r="J242"/>
      <c r="K242"/>
      <c r="L242"/>
      <c r="M242"/>
      <c r="N242"/>
      <c r="O242"/>
      <c r="P242"/>
      <c r="Q242"/>
      <c r="R242"/>
    </row>
    <row r="243" spans="2:18" ht="14.6" x14ac:dyDescent="0.4">
      <c r="B243"/>
      <c r="C243"/>
      <c r="D243"/>
      <c r="E243"/>
      <c r="F243"/>
      <c r="G243"/>
      <c r="H243"/>
      <c r="I243"/>
      <c r="J243"/>
      <c r="K243"/>
      <c r="L243"/>
      <c r="M243"/>
      <c r="N243"/>
      <c r="O243"/>
      <c r="P243"/>
      <c r="Q243"/>
      <c r="R243"/>
    </row>
    <row r="244" spans="2:18" ht="14.6" x14ac:dyDescent="0.4">
      <c r="B244"/>
      <c r="C244"/>
      <c r="D244"/>
      <c r="E244"/>
      <c r="F244"/>
      <c r="G244"/>
      <c r="H244"/>
      <c r="I244"/>
      <c r="J244"/>
      <c r="K244"/>
      <c r="L244"/>
      <c r="M244"/>
      <c r="N244"/>
      <c r="O244"/>
      <c r="P244"/>
      <c r="Q244"/>
      <c r="R244"/>
    </row>
    <row r="245" spans="2:18" ht="14.6" x14ac:dyDescent="0.4">
      <c r="B245"/>
      <c r="C245"/>
      <c r="D245"/>
      <c r="E245"/>
      <c r="F245"/>
      <c r="G245"/>
      <c r="H245"/>
      <c r="I245"/>
      <c r="J245"/>
      <c r="K245"/>
      <c r="L245"/>
      <c r="M245"/>
      <c r="N245"/>
      <c r="O245"/>
      <c r="P245"/>
      <c r="Q245"/>
      <c r="R245"/>
    </row>
    <row r="246" spans="2:18" ht="14.6" x14ac:dyDescent="0.4">
      <c r="B246"/>
      <c r="C246"/>
      <c r="D246"/>
      <c r="E246"/>
      <c r="F246"/>
      <c r="G246"/>
      <c r="H246"/>
      <c r="I246"/>
      <c r="J246"/>
      <c r="K246"/>
      <c r="L246"/>
      <c r="M246"/>
      <c r="N246"/>
      <c r="O246"/>
      <c r="P246"/>
      <c r="Q246"/>
      <c r="R246"/>
    </row>
    <row r="247" spans="2:18" ht="14.6" x14ac:dyDescent="0.4">
      <c r="B247"/>
      <c r="C247"/>
      <c r="D247"/>
      <c r="E247"/>
      <c r="F247"/>
      <c r="G247"/>
      <c r="H247"/>
      <c r="I247"/>
      <c r="J247"/>
      <c r="K247"/>
      <c r="L247"/>
      <c r="M247"/>
      <c r="N247"/>
      <c r="O247"/>
      <c r="P247"/>
      <c r="Q247"/>
      <c r="R247"/>
    </row>
    <row r="248" spans="2:18" ht="14.6" x14ac:dyDescent="0.4">
      <c r="B248"/>
      <c r="C248"/>
      <c r="D248"/>
      <c r="E248"/>
      <c r="F248"/>
      <c r="G248"/>
      <c r="H248"/>
      <c r="I248"/>
      <c r="J248"/>
      <c r="K248"/>
      <c r="L248"/>
      <c r="M248"/>
      <c r="N248"/>
      <c r="O248"/>
      <c r="P248"/>
      <c r="Q248"/>
      <c r="R248"/>
    </row>
    <row r="249" spans="2:18" ht="14.6" x14ac:dyDescent="0.4">
      <c r="B249"/>
      <c r="C249"/>
      <c r="D249"/>
      <c r="E249"/>
      <c r="F249"/>
      <c r="G249"/>
      <c r="H249"/>
      <c r="I249"/>
      <c r="J249"/>
      <c r="K249"/>
      <c r="L249"/>
      <c r="M249"/>
      <c r="N249"/>
      <c r="O249"/>
      <c r="P249"/>
      <c r="Q249"/>
      <c r="R249"/>
    </row>
    <row r="250" spans="2:18" ht="14.6" x14ac:dyDescent="0.4">
      <c r="B250"/>
      <c r="C250"/>
      <c r="D250"/>
      <c r="E250"/>
      <c r="F250"/>
      <c r="G250"/>
      <c r="H250"/>
      <c r="I250"/>
      <c r="J250"/>
      <c r="K250"/>
      <c r="L250"/>
      <c r="M250"/>
      <c r="N250"/>
      <c r="O250"/>
      <c r="P250"/>
      <c r="Q250"/>
      <c r="R250"/>
    </row>
    <row r="251" spans="2:18" ht="14.6" x14ac:dyDescent="0.4">
      <c r="B251"/>
      <c r="C251"/>
      <c r="D251"/>
      <c r="E251"/>
      <c r="F251"/>
      <c r="G251"/>
      <c r="H251"/>
      <c r="I251"/>
      <c r="J251"/>
      <c r="K251"/>
      <c r="L251"/>
      <c r="M251"/>
      <c r="N251"/>
      <c r="O251"/>
      <c r="P251"/>
      <c r="Q251"/>
      <c r="R251"/>
    </row>
    <row r="252" spans="2:18" ht="14.6" x14ac:dyDescent="0.4">
      <c r="B252"/>
      <c r="C252"/>
      <c r="D252"/>
      <c r="E252"/>
      <c r="F252"/>
      <c r="G252"/>
      <c r="H252"/>
      <c r="I252"/>
      <c r="J252"/>
      <c r="K252"/>
      <c r="L252"/>
      <c r="M252"/>
      <c r="N252"/>
      <c r="O252"/>
      <c r="P252"/>
      <c r="Q252"/>
      <c r="R252"/>
    </row>
    <row r="253" spans="2:18" ht="14.6" x14ac:dyDescent="0.4">
      <c r="B253"/>
      <c r="C253"/>
      <c r="D253"/>
      <c r="E253"/>
      <c r="F253"/>
      <c r="G253"/>
      <c r="H253"/>
      <c r="I253"/>
      <c r="J253"/>
      <c r="K253"/>
      <c r="L253"/>
      <c r="M253"/>
      <c r="N253"/>
      <c r="O253"/>
      <c r="P253"/>
      <c r="Q253"/>
      <c r="R253"/>
    </row>
    <row r="254" spans="2:18" ht="14.6" x14ac:dyDescent="0.4">
      <c r="B254"/>
      <c r="C254"/>
      <c r="D254"/>
      <c r="E254"/>
      <c r="F254"/>
      <c r="G254"/>
      <c r="H254"/>
      <c r="I254"/>
      <c r="J254"/>
      <c r="K254"/>
      <c r="L254"/>
      <c r="M254"/>
      <c r="N254"/>
      <c r="O254"/>
      <c r="P254"/>
      <c r="Q254"/>
      <c r="R254"/>
    </row>
    <row r="255" spans="2:18" ht="14.6" x14ac:dyDescent="0.4">
      <c r="B255"/>
      <c r="C255"/>
      <c r="D255"/>
      <c r="E255"/>
      <c r="F255"/>
      <c r="G255"/>
      <c r="H255"/>
      <c r="I255"/>
      <c r="J255"/>
      <c r="K255"/>
      <c r="L255"/>
      <c r="M255"/>
      <c r="N255"/>
      <c r="O255"/>
      <c r="P255"/>
      <c r="Q255"/>
      <c r="R255"/>
    </row>
    <row r="256" spans="2:18" ht="14.6" x14ac:dyDescent="0.4">
      <c r="B256"/>
      <c r="C256"/>
      <c r="D256"/>
      <c r="E256"/>
      <c r="F256"/>
      <c r="G256"/>
      <c r="H256"/>
      <c r="I256"/>
      <c r="J256"/>
      <c r="K256"/>
      <c r="L256"/>
      <c r="M256"/>
      <c r="N256"/>
      <c r="O256"/>
      <c r="P256"/>
      <c r="Q256"/>
      <c r="R256"/>
    </row>
    <row r="257" spans="2:18" ht="14.6" x14ac:dyDescent="0.4">
      <c r="B257"/>
      <c r="C257"/>
      <c r="D257"/>
      <c r="E257"/>
      <c r="F257"/>
      <c r="G257"/>
      <c r="H257"/>
      <c r="I257"/>
      <c r="J257"/>
      <c r="K257"/>
      <c r="L257"/>
      <c r="M257"/>
      <c r="N257"/>
      <c r="O257"/>
      <c r="P257"/>
      <c r="Q257"/>
      <c r="R257"/>
    </row>
    <row r="258" spans="2:18" ht="14.6" x14ac:dyDescent="0.4">
      <c r="B258"/>
      <c r="C258"/>
      <c r="D258"/>
      <c r="E258"/>
      <c r="F258"/>
      <c r="G258"/>
      <c r="H258"/>
      <c r="I258"/>
      <c r="J258"/>
      <c r="K258"/>
      <c r="L258"/>
      <c r="M258"/>
      <c r="N258"/>
      <c r="O258"/>
      <c r="P258"/>
      <c r="Q258"/>
      <c r="R258"/>
    </row>
    <row r="259" spans="2:18" ht="14.6" x14ac:dyDescent="0.4">
      <c r="B259"/>
      <c r="C259"/>
      <c r="D259"/>
      <c r="E259"/>
      <c r="F259"/>
      <c r="G259"/>
      <c r="H259"/>
      <c r="I259"/>
      <c r="J259"/>
      <c r="K259"/>
      <c r="L259"/>
      <c r="M259"/>
      <c r="N259"/>
      <c r="O259"/>
      <c r="P259"/>
      <c r="Q259"/>
      <c r="R259"/>
    </row>
    <row r="260" spans="2:18" ht="14.6" x14ac:dyDescent="0.4">
      <c r="B260"/>
      <c r="C260"/>
      <c r="D260"/>
      <c r="E260"/>
      <c r="F260"/>
      <c r="G260"/>
      <c r="H260"/>
      <c r="I260"/>
      <c r="J260"/>
      <c r="K260"/>
      <c r="L260"/>
      <c r="M260"/>
      <c r="N260"/>
      <c r="O260"/>
      <c r="P260"/>
      <c r="Q260"/>
      <c r="R260"/>
    </row>
    <row r="261" spans="2:18" ht="14.6" x14ac:dyDescent="0.4">
      <c r="B261"/>
      <c r="C261"/>
      <c r="D261"/>
      <c r="E261"/>
      <c r="F261"/>
      <c r="G261"/>
      <c r="H261"/>
      <c r="I261"/>
      <c r="J261"/>
      <c r="K261"/>
      <c r="L261"/>
      <c r="M261"/>
      <c r="N261"/>
      <c r="O261"/>
      <c r="P261"/>
      <c r="Q261"/>
      <c r="R261"/>
    </row>
    <row r="262" spans="2:18" ht="14.6" x14ac:dyDescent="0.4">
      <c r="B262"/>
      <c r="C262"/>
      <c r="D262"/>
      <c r="E262"/>
      <c r="F262"/>
      <c r="G262"/>
      <c r="H262"/>
      <c r="I262"/>
      <c r="J262"/>
      <c r="K262"/>
      <c r="L262"/>
      <c r="M262"/>
      <c r="N262"/>
      <c r="O262"/>
      <c r="P262"/>
      <c r="Q262"/>
      <c r="R262"/>
    </row>
    <row r="263" spans="2:18" ht="14.6" x14ac:dyDescent="0.4">
      <c r="B263"/>
      <c r="C263"/>
      <c r="D263"/>
      <c r="E263"/>
      <c r="F263"/>
      <c r="G263"/>
      <c r="H263"/>
      <c r="I263"/>
      <c r="J263"/>
      <c r="K263"/>
      <c r="L263"/>
      <c r="M263"/>
      <c r="N263"/>
      <c r="O263"/>
      <c r="P263"/>
      <c r="Q263"/>
      <c r="R263"/>
    </row>
    <row r="264" spans="2:18" ht="14.6" x14ac:dyDescent="0.4">
      <c r="B264"/>
      <c r="C264"/>
      <c r="D264"/>
      <c r="E264"/>
      <c r="F264"/>
      <c r="G264"/>
      <c r="H264"/>
      <c r="I264"/>
      <c r="J264"/>
      <c r="K264"/>
      <c r="L264"/>
      <c r="M264"/>
      <c r="N264"/>
      <c r="O264"/>
      <c r="P264"/>
      <c r="Q264"/>
      <c r="R264"/>
    </row>
    <row r="265" spans="2:18" ht="14.6" x14ac:dyDescent="0.4">
      <c r="B265"/>
      <c r="C265"/>
      <c r="D265"/>
      <c r="E265"/>
      <c r="F265"/>
      <c r="G265"/>
      <c r="H265"/>
      <c r="I265"/>
      <c r="J265"/>
      <c r="K265"/>
      <c r="L265"/>
      <c r="M265"/>
      <c r="N265"/>
      <c r="O265"/>
      <c r="P265"/>
      <c r="Q265"/>
      <c r="R265"/>
    </row>
    <row r="266" spans="2:18" ht="14.6" x14ac:dyDescent="0.4">
      <c r="B266"/>
      <c r="C266"/>
      <c r="D266"/>
      <c r="E266"/>
      <c r="F266"/>
      <c r="G266"/>
      <c r="H266"/>
      <c r="I266"/>
      <c r="J266"/>
      <c r="K266"/>
      <c r="L266"/>
      <c r="M266"/>
      <c r="N266"/>
      <c r="O266"/>
      <c r="P266"/>
      <c r="Q266"/>
      <c r="R266"/>
    </row>
    <row r="267" spans="2:18" ht="14.6" x14ac:dyDescent="0.4">
      <c r="B267"/>
      <c r="C267"/>
      <c r="D267"/>
      <c r="E267"/>
      <c r="F267"/>
      <c r="G267"/>
      <c r="H267"/>
      <c r="I267"/>
      <c r="J267"/>
      <c r="K267"/>
      <c r="L267"/>
      <c r="M267"/>
      <c r="N267"/>
      <c r="O267"/>
      <c r="P267"/>
      <c r="Q267"/>
      <c r="R267"/>
    </row>
    <row r="268" spans="2:18" ht="14.6" x14ac:dyDescent="0.4">
      <c r="B268"/>
      <c r="C268"/>
      <c r="D268"/>
      <c r="E268"/>
      <c r="F268"/>
      <c r="G268"/>
      <c r="H268"/>
      <c r="I268"/>
      <c r="J268"/>
      <c r="K268"/>
      <c r="L268"/>
      <c r="M268"/>
      <c r="N268"/>
      <c r="O268"/>
      <c r="P268"/>
      <c r="Q268"/>
      <c r="R268"/>
    </row>
    <row r="269" spans="2:18" ht="14.6" x14ac:dyDescent="0.4">
      <c r="B269"/>
      <c r="C269"/>
      <c r="D269"/>
      <c r="E269"/>
      <c r="F269"/>
      <c r="G269"/>
      <c r="H269"/>
      <c r="I269"/>
      <c r="J269"/>
      <c r="K269"/>
      <c r="L269"/>
      <c r="M269"/>
      <c r="N269"/>
      <c r="O269"/>
      <c r="P269"/>
      <c r="Q269"/>
      <c r="R269"/>
    </row>
    <row r="270" spans="2:18" ht="14.6" x14ac:dyDescent="0.4">
      <c r="B270"/>
      <c r="C270"/>
      <c r="D270"/>
      <c r="E270"/>
      <c r="F270"/>
      <c r="G270"/>
      <c r="H270"/>
      <c r="I270"/>
      <c r="J270"/>
      <c r="K270"/>
      <c r="L270"/>
      <c r="M270"/>
      <c r="N270"/>
      <c r="O270"/>
      <c r="P270"/>
      <c r="Q270"/>
      <c r="R270"/>
    </row>
    <row r="271" spans="2:18" ht="14.6" x14ac:dyDescent="0.4">
      <c r="B271"/>
      <c r="C271"/>
      <c r="D271"/>
      <c r="E271"/>
      <c r="F271"/>
      <c r="G271"/>
      <c r="H271"/>
      <c r="I271"/>
      <c r="J271"/>
      <c r="K271"/>
      <c r="L271"/>
      <c r="M271"/>
      <c r="N271"/>
      <c r="O271"/>
      <c r="P271"/>
      <c r="Q271"/>
      <c r="R271"/>
    </row>
    <row r="272" spans="2:18" ht="14.6" x14ac:dyDescent="0.4">
      <c r="B272"/>
      <c r="C272"/>
      <c r="D272"/>
      <c r="E272"/>
      <c r="F272"/>
      <c r="G272"/>
      <c r="H272"/>
      <c r="I272"/>
      <c r="J272"/>
      <c r="K272"/>
      <c r="L272"/>
      <c r="M272"/>
      <c r="N272"/>
      <c r="O272"/>
      <c r="P272"/>
      <c r="Q272"/>
      <c r="R272"/>
    </row>
    <row r="273" spans="2:18" ht="14.6" x14ac:dyDescent="0.4">
      <c r="B273"/>
      <c r="C273"/>
      <c r="D273"/>
      <c r="E273"/>
      <c r="F273"/>
      <c r="G273"/>
      <c r="H273"/>
      <c r="I273"/>
      <c r="J273"/>
      <c r="K273"/>
      <c r="L273"/>
      <c r="M273"/>
      <c r="N273"/>
      <c r="O273"/>
      <c r="P273"/>
      <c r="Q273"/>
      <c r="R273"/>
    </row>
    <row r="274" spans="2:18" ht="14.6" x14ac:dyDescent="0.4">
      <c r="B274"/>
      <c r="C274"/>
      <c r="D274"/>
      <c r="E274"/>
      <c r="F274"/>
      <c r="G274"/>
      <c r="H274"/>
      <c r="I274"/>
      <c r="J274"/>
      <c r="K274"/>
      <c r="L274"/>
      <c r="M274"/>
      <c r="N274"/>
      <c r="O274"/>
      <c r="P274"/>
      <c r="Q274"/>
      <c r="R274"/>
    </row>
    <row r="275" spans="2:18" ht="14.6" x14ac:dyDescent="0.4">
      <c r="B275"/>
      <c r="C275"/>
      <c r="D275"/>
      <c r="E275"/>
      <c r="F275"/>
      <c r="G275"/>
      <c r="H275"/>
      <c r="I275"/>
      <c r="J275"/>
      <c r="K275"/>
      <c r="L275"/>
      <c r="M275"/>
      <c r="N275"/>
      <c r="O275"/>
      <c r="P275"/>
      <c r="Q275"/>
      <c r="R275"/>
    </row>
    <row r="276" spans="2:18" ht="14.6" x14ac:dyDescent="0.4">
      <c r="B276"/>
      <c r="C276"/>
      <c r="D276"/>
      <c r="E276"/>
      <c r="F276"/>
      <c r="G276"/>
      <c r="H276"/>
      <c r="I276"/>
      <c r="J276"/>
      <c r="K276"/>
      <c r="L276"/>
      <c r="M276"/>
      <c r="N276"/>
      <c r="O276"/>
      <c r="P276"/>
      <c r="Q276"/>
      <c r="R276"/>
    </row>
    <row r="277" spans="2:18" ht="14.6" x14ac:dyDescent="0.4">
      <c r="B277"/>
      <c r="C277"/>
      <c r="D277"/>
      <c r="E277"/>
      <c r="F277"/>
      <c r="G277"/>
      <c r="H277"/>
      <c r="I277"/>
      <c r="J277"/>
      <c r="K277"/>
      <c r="L277"/>
      <c r="M277"/>
      <c r="N277"/>
      <c r="O277"/>
      <c r="P277"/>
      <c r="Q277"/>
      <c r="R277"/>
    </row>
    <row r="278" spans="2:18" ht="14.6" x14ac:dyDescent="0.4">
      <c r="B278"/>
      <c r="C278"/>
      <c r="D278"/>
      <c r="E278"/>
      <c r="F278"/>
      <c r="G278"/>
      <c r="H278"/>
      <c r="I278"/>
      <c r="J278"/>
      <c r="K278"/>
      <c r="L278"/>
      <c r="M278"/>
      <c r="N278"/>
      <c r="O278"/>
      <c r="P278"/>
      <c r="Q278"/>
      <c r="R278"/>
    </row>
    <row r="279" spans="2:18" ht="14.6" x14ac:dyDescent="0.4">
      <c r="B279"/>
      <c r="C279"/>
      <c r="D279"/>
      <c r="E279"/>
      <c r="F279"/>
      <c r="G279"/>
      <c r="H279"/>
      <c r="I279"/>
      <c r="J279"/>
      <c r="K279"/>
      <c r="L279"/>
      <c r="M279"/>
      <c r="N279"/>
      <c r="O279"/>
      <c r="P279"/>
      <c r="Q279"/>
      <c r="R279"/>
    </row>
    <row r="280" spans="2:18" ht="14.6" x14ac:dyDescent="0.4">
      <c r="B280"/>
      <c r="C280"/>
      <c r="D280"/>
      <c r="E280"/>
      <c r="F280"/>
      <c r="G280"/>
      <c r="H280"/>
      <c r="I280"/>
      <c r="J280"/>
      <c r="K280"/>
      <c r="L280"/>
      <c r="M280"/>
      <c r="N280"/>
      <c r="O280"/>
      <c r="P280"/>
      <c r="Q280"/>
      <c r="R280"/>
    </row>
    <row r="281" spans="2:18" ht="14.6" x14ac:dyDescent="0.4">
      <c r="B281"/>
      <c r="C281"/>
      <c r="D281"/>
      <c r="E281"/>
      <c r="F281"/>
      <c r="G281"/>
      <c r="H281"/>
      <c r="I281"/>
      <c r="J281"/>
      <c r="K281"/>
      <c r="L281"/>
      <c r="M281"/>
      <c r="N281"/>
      <c r="O281"/>
      <c r="P281"/>
      <c r="Q281"/>
      <c r="R281"/>
    </row>
    <row r="282" spans="2:18" ht="14.6" x14ac:dyDescent="0.4">
      <c r="B282"/>
      <c r="C282"/>
      <c r="D282"/>
      <c r="E282"/>
      <c r="F282"/>
      <c r="G282"/>
      <c r="H282"/>
      <c r="I282"/>
      <c r="J282"/>
      <c r="K282"/>
      <c r="L282"/>
      <c r="M282"/>
      <c r="N282"/>
      <c r="O282"/>
      <c r="P282"/>
      <c r="Q282"/>
      <c r="R282"/>
    </row>
    <row r="283" spans="2:18" ht="14.6" x14ac:dyDescent="0.4">
      <c r="B283"/>
      <c r="C283"/>
      <c r="D283"/>
      <c r="E283"/>
      <c r="F283"/>
      <c r="G283"/>
      <c r="H283"/>
      <c r="I283"/>
      <c r="J283"/>
      <c r="K283"/>
      <c r="L283"/>
      <c r="M283"/>
      <c r="N283"/>
      <c r="O283"/>
      <c r="P283"/>
      <c r="Q283"/>
      <c r="R283"/>
    </row>
    <row r="284" spans="2:18" ht="14.6" x14ac:dyDescent="0.4">
      <c r="B284"/>
      <c r="C284"/>
      <c r="D284"/>
      <c r="E284"/>
      <c r="F284"/>
      <c r="G284"/>
      <c r="H284"/>
      <c r="I284"/>
      <c r="J284"/>
      <c r="K284"/>
      <c r="L284"/>
      <c r="M284"/>
      <c r="N284"/>
      <c r="O284"/>
      <c r="P284"/>
      <c r="Q284"/>
      <c r="R284"/>
    </row>
    <row r="285" spans="2:18" ht="14.6" x14ac:dyDescent="0.4">
      <c r="B285"/>
      <c r="C285"/>
      <c r="D285"/>
      <c r="E285"/>
      <c r="F285"/>
      <c r="G285"/>
      <c r="H285"/>
      <c r="I285"/>
      <c r="J285"/>
      <c r="K285"/>
      <c r="L285"/>
      <c r="M285"/>
      <c r="N285"/>
      <c r="O285"/>
      <c r="P285"/>
      <c r="Q285"/>
      <c r="R285"/>
    </row>
    <row r="286" spans="2:18" ht="14.6" x14ac:dyDescent="0.4">
      <c r="B286"/>
      <c r="C286"/>
      <c r="D286"/>
      <c r="E286"/>
      <c r="F286"/>
      <c r="G286"/>
      <c r="H286"/>
      <c r="I286"/>
      <c r="J286"/>
      <c r="K286"/>
      <c r="L286"/>
      <c r="M286"/>
      <c r="N286"/>
      <c r="O286"/>
      <c r="P286"/>
      <c r="Q286"/>
      <c r="R286"/>
    </row>
    <row r="287" spans="2:18" ht="14.6" x14ac:dyDescent="0.4">
      <c r="B287"/>
      <c r="C287"/>
      <c r="D287"/>
      <c r="E287"/>
      <c r="F287"/>
      <c r="G287"/>
      <c r="H287"/>
      <c r="I287"/>
      <c r="J287"/>
      <c r="K287"/>
      <c r="L287"/>
      <c r="M287"/>
      <c r="N287"/>
      <c r="O287"/>
      <c r="P287"/>
      <c r="Q287"/>
      <c r="R287"/>
    </row>
    <row r="288" spans="2:18" ht="14.6" x14ac:dyDescent="0.4">
      <c r="B288"/>
      <c r="C288"/>
      <c r="D288"/>
      <c r="E288"/>
      <c r="F288"/>
      <c r="G288"/>
      <c r="H288"/>
      <c r="I288"/>
      <c r="J288"/>
      <c r="K288"/>
      <c r="L288"/>
      <c r="M288"/>
      <c r="N288"/>
      <c r="O288"/>
      <c r="P288"/>
      <c r="Q288"/>
      <c r="R288"/>
    </row>
    <row r="289" spans="2:18" ht="14.6" x14ac:dyDescent="0.4">
      <c r="B289"/>
      <c r="C289"/>
      <c r="D289"/>
      <c r="E289"/>
      <c r="F289"/>
      <c r="G289"/>
      <c r="H289"/>
      <c r="I289"/>
      <c r="J289"/>
      <c r="K289"/>
      <c r="L289"/>
      <c r="M289"/>
      <c r="N289"/>
      <c r="O289"/>
      <c r="P289"/>
      <c r="Q289"/>
      <c r="R289"/>
    </row>
    <row r="290" spans="2:18" ht="14.6" x14ac:dyDescent="0.4">
      <c r="B290"/>
      <c r="C290"/>
      <c r="D290"/>
      <c r="E290"/>
      <c r="F290"/>
      <c r="G290"/>
      <c r="H290"/>
      <c r="I290"/>
      <c r="J290"/>
      <c r="K290"/>
      <c r="L290"/>
      <c r="M290"/>
      <c r="N290"/>
      <c r="O290"/>
      <c r="P290"/>
      <c r="Q290"/>
      <c r="R290"/>
    </row>
    <row r="291" spans="2:18" ht="14.6" x14ac:dyDescent="0.4">
      <c r="B291"/>
      <c r="C291"/>
      <c r="D291"/>
      <c r="E291"/>
      <c r="F291"/>
      <c r="G291"/>
      <c r="H291"/>
      <c r="I291"/>
      <c r="J291"/>
      <c r="K291"/>
      <c r="L291"/>
      <c r="M291"/>
      <c r="N291"/>
      <c r="O291"/>
      <c r="P291"/>
      <c r="Q291"/>
      <c r="R291"/>
    </row>
    <row r="292" spans="2:18" ht="14.6" x14ac:dyDescent="0.4">
      <c r="B292"/>
      <c r="C292"/>
      <c r="D292"/>
      <c r="E292"/>
      <c r="F292"/>
      <c r="G292"/>
      <c r="H292"/>
      <c r="I292"/>
      <c r="J292"/>
      <c r="K292"/>
      <c r="L292"/>
      <c r="M292"/>
      <c r="N292"/>
      <c r="O292"/>
      <c r="P292"/>
      <c r="Q292"/>
      <c r="R292"/>
    </row>
    <row r="293" spans="2:18" ht="14.6" x14ac:dyDescent="0.4">
      <c r="B293"/>
      <c r="C293"/>
      <c r="D293"/>
      <c r="E293"/>
      <c r="F293"/>
      <c r="G293"/>
      <c r="H293"/>
      <c r="I293"/>
      <c r="J293"/>
      <c r="K293"/>
      <c r="L293"/>
      <c r="M293"/>
      <c r="N293"/>
      <c r="O293"/>
      <c r="P293"/>
      <c r="Q293"/>
      <c r="R293"/>
    </row>
    <row r="294" spans="2:18" ht="14.6" x14ac:dyDescent="0.4">
      <c r="B294"/>
      <c r="C294"/>
      <c r="D294"/>
      <c r="E294"/>
      <c r="F294"/>
      <c r="G294"/>
      <c r="H294"/>
      <c r="I294"/>
      <c r="J294"/>
      <c r="K294"/>
      <c r="L294"/>
      <c r="M294"/>
      <c r="N294"/>
      <c r="O294"/>
      <c r="P294"/>
      <c r="Q294"/>
      <c r="R294"/>
    </row>
    <row r="295" spans="2:18" ht="14.6" x14ac:dyDescent="0.4">
      <c r="B295"/>
      <c r="C295"/>
      <c r="D295"/>
      <c r="E295"/>
      <c r="F295"/>
      <c r="G295"/>
      <c r="H295"/>
      <c r="I295"/>
      <c r="J295"/>
      <c r="K295"/>
      <c r="L295"/>
      <c r="M295"/>
      <c r="N295"/>
      <c r="O295"/>
      <c r="P295"/>
      <c r="Q295"/>
      <c r="R295"/>
    </row>
    <row r="296" spans="2:18" ht="14.6" x14ac:dyDescent="0.4">
      <c r="B296"/>
      <c r="C296"/>
      <c r="D296"/>
      <c r="E296"/>
      <c r="F296"/>
      <c r="G296"/>
      <c r="H296"/>
      <c r="I296"/>
      <c r="J296"/>
      <c r="K296"/>
      <c r="L296"/>
      <c r="M296"/>
      <c r="N296"/>
      <c r="O296"/>
      <c r="P296"/>
      <c r="Q296"/>
      <c r="R296"/>
    </row>
    <row r="297" spans="2:18" ht="14.6" x14ac:dyDescent="0.4">
      <c r="B297"/>
      <c r="C297"/>
      <c r="D297"/>
      <c r="E297"/>
      <c r="F297"/>
      <c r="G297"/>
      <c r="H297"/>
      <c r="I297"/>
      <c r="J297"/>
      <c r="K297"/>
      <c r="L297"/>
      <c r="M297"/>
      <c r="N297"/>
      <c r="O297"/>
      <c r="P297"/>
      <c r="Q297"/>
      <c r="R297"/>
    </row>
    <row r="298" spans="2:18" ht="14.6" x14ac:dyDescent="0.4">
      <c r="B298"/>
      <c r="C298"/>
      <c r="D298"/>
      <c r="E298"/>
      <c r="F298"/>
      <c r="G298"/>
      <c r="H298"/>
      <c r="I298"/>
      <c r="J298"/>
      <c r="K298"/>
      <c r="L298"/>
      <c r="M298"/>
      <c r="N298"/>
      <c r="O298"/>
      <c r="P298"/>
      <c r="Q298"/>
      <c r="R298"/>
    </row>
    <row r="299" spans="2:18" ht="14.6" x14ac:dyDescent="0.4">
      <c r="B299"/>
      <c r="C299"/>
      <c r="D299"/>
      <c r="E299"/>
      <c r="F299"/>
      <c r="G299"/>
      <c r="H299"/>
      <c r="I299"/>
      <c r="J299"/>
      <c r="K299"/>
      <c r="L299"/>
      <c r="M299"/>
      <c r="N299"/>
      <c r="O299"/>
      <c r="P299"/>
      <c r="Q299"/>
      <c r="R299"/>
    </row>
    <row r="300" spans="2:18" ht="14.6" x14ac:dyDescent="0.4">
      <c r="B300"/>
      <c r="C300"/>
      <c r="D300"/>
      <c r="E300"/>
      <c r="F300"/>
      <c r="G300"/>
      <c r="H300"/>
      <c r="I300"/>
      <c r="J300"/>
      <c r="K300"/>
      <c r="L300"/>
      <c r="M300"/>
      <c r="N300"/>
      <c r="O300"/>
      <c r="P300"/>
      <c r="Q300"/>
      <c r="R300"/>
    </row>
    <row r="301" spans="2:18" ht="14.6" x14ac:dyDescent="0.4">
      <c r="B301"/>
      <c r="C301"/>
      <c r="D301"/>
      <c r="E301"/>
      <c r="F301"/>
      <c r="G301"/>
      <c r="H301"/>
      <c r="I301"/>
      <c r="J301"/>
      <c r="K301"/>
      <c r="L301"/>
      <c r="M301"/>
      <c r="N301"/>
      <c r="O301"/>
      <c r="P301"/>
      <c r="Q301"/>
      <c r="R301"/>
    </row>
    <row r="302" spans="2:18" ht="14.6" x14ac:dyDescent="0.4">
      <c r="B302"/>
      <c r="C302"/>
      <c r="D302"/>
      <c r="E302"/>
      <c r="F302"/>
      <c r="G302"/>
      <c r="H302"/>
      <c r="I302"/>
      <c r="J302"/>
      <c r="K302"/>
      <c r="L302"/>
      <c r="M302"/>
      <c r="N302"/>
      <c r="O302"/>
      <c r="P302"/>
      <c r="Q302"/>
      <c r="R302"/>
    </row>
    <row r="303" spans="2:18" ht="14.6" x14ac:dyDescent="0.4">
      <c r="B303"/>
      <c r="C303"/>
      <c r="D303"/>
      <c r="E303"/>
      <c r="F303"/>
      <c r="G303"/>
      <c r="H303"/>
      <c r="I303"/>
      <c r="J303"/>
      <c r="K303"/>
      <c r="L303"/>
      <c r="M303"/>
      <c r="N303"/>
      <c r="O303"/>
      <c r="P303"/>
      <c r="Q303"/>
      <c r="R303"/>
    </row>
    <row r="304" spans="2:18" ht="14.6" x14ac:dyDescent="0.4">
      <c r="B304"/>
      <c r="C304"/>
      <c r="D304"/>
      <c r="E304"/>
      <c r="F304"/>
      <c r="G304"/>
      <c r="H304"/>
      <c r="I304"/>
      <c r="J304"/>
      <c r="K304"/>
      <c r="L304"/>
      <c r="M304"/>
      <c r="N304"/>
      <c r="O304"/>
      <c r="P304"/>
      <c r="Q304"/>
      <c r="R304"/>
    </row>
    <row r="305" spans="2:18" ht="14.6" x14ac:dyDescent="0.4">
      <c r="B305"/>
      <c r="C305"/>
      <c r="D305"/>
      <c r="E305"/>
      <c r="F305"/>
      <c r="G305"/>
      <c r="H305"/>
      <c r="I305"/>
      <c r="J305"/>
      <c r="K305"/>
      <c r="L305"/>
      <c r="M305"/>
      <c r="N305"/>
      <c r="O305"/>
      <c r="P305"/>
      <c r="Q305"/>
      <c r="R305"/>
    </row>
    <row r="306" spans="2:18" ht="14.6" x14ac:dyDescent="0.4">
      <c r="B306"/>
      <c r="C306"/>
      <c r="D306"/>
      <c r="E306"/>
      <c r="F306"/>
      <c r="G306"/>
      <c r="H306"/>
      <c r="I306"/>
      <c r="J306"/>
      <c r="K306"/>
      <c r="L306"/>
      <c r="M306"/>
      <c r="N306"/>
      <c r="O306"/>
      <c r="P306"/>
      <c r="Q306"/>
      <c r="R306"/>
    </row>
    <row r="307" spans="2:18" ht="14.6" x14ac:dyDescent="0.4">
      <c r="B307"/>
      <c r="C307"/>
      <c r="D307"/>
      <c r="E307"/>
      <c r="F307"/>
      <c r="G307"/>
      <c r="H307"/>
      <c r="I307"/>
      <c r="J307"/>
      <c r="K307"/>
      <c r="L307"/>
      <c r="M307"/>
      <c r="N307"/>
      <c r="O307"/>
      <c r="P307"/>
      <c r="Q307"/>
      <c r="R307"/>
    </row>
    <row r="308" spans="2:18" ht="14.6" x14ac:dyDescent="0.4">
      <c r="B308"/>
      <c r="C308"/>
      <c r="D308"/>
      <c r="E308"/>
      <c r="F308"/>
      <c r="G308"/>
      <c r="H308"/>
      <c r="I308"/>
      <c r="J308"/>
      <c r="K308"/>
      <c r="L308"/>
      <c r="M308"/>
      <c r="N308"/>
      <c r="O308"/>
      <c r="P308"/>
      <c r="Q308"/>
      <c r="R308"/>
    </row>
    <row r="309" spans="2:18" ht="14.6" x14ac:dyDescent="0.4">
      <c r="B309"/>
      <c r="C309"/>
      <c r="D309"/>
      <c r="E309"/>
      <c r="F309"/>
      <c r="G309"/>
      <c r="H309"/>
      <c r="I309"/>
      <c r="J309"/>
      <c r="K309"/>
      <c r="L309"/>
      <c r="M309"/>
      <c r="N309"/>
      <c r="O309"/>
      <c r="P309"/>
      <c r="Q309"/>
      <c r="R309"/>
    </row>
    <row r="310" spans="2:18" ht="14.6" x14ac:dyDescent="0.4">
      <c r="B310"/>
      <c r="C310"/>
      <c r="D310"/>
      <c r="E310"/>
      <c r="F310"/>
      <c r="G310"/>
      <c r="H310"/>
      <c r="I310"/>
      <c r="J310"/>
      <c r="K310"/>
      <c r="L310"/>
      <c r="M310"/>
      <c r="N310"/>
      <c r="O310"/>
      <c r="P310"/>
      <c r="Q310"/>
      <c r="R310"/>
    </row>
    <row r="311" spans="2:18" ht="14.6" x14ac:dyDescent="0.4">
      <c r="B311"/>
      <c r="C311"/>
      <c r="D311"/>
      <c r="E311"/>
      <c r="F311"/>
      <c r="G311"/>
      <c r="H311"/>
      <c r="I311"/>
      <c r="J311"/>
      <c r="K311"/>
      <c r="L311"/>
      <c r="M311"/>
      <c r="N311"/>
      <c r="O311"/>
      <c r="P311"/>
      <c r="Q311"/>
      <c r="R311"/>
    </row>
    <row r="312" spans="2:18" ht="14.6" x14ac:dyDescent="0.4">
      <c r="B312"/>
      <c r="C312"/>
      <c r="D312"/>
      <c r="E312"/>
      <c r="F312"/>
      <c r="G312"/>
      <c r="H312"/>
      <c r="I312"/>
      <c r="J312"/>
      <c r="K312"/>
      <c r="L312"/>
      <c r="M312"/>
      <c r="N312"/>
      <c r="O312"/>
      <c r="P312"/>
      <c r="Q312"/>
      <c r="R312"/>
    </row>
    <row r="313" spans="2:18" ht="14.6" x14ac:dyDescent="0.4">
      <c r="B313"/>
      <c r="C313"/>
      <c r="D313"/>
      <c r="E313"/>
      <c r="F313"/>
      <c r="G313"/>
      <c r="H313"/>
      <c r="I313"/>
      <c r="J313"/>
      <c r="K313"/>
      <c r="L313"/>
      <c r="M313"/>
      <c r="N313"/>
      <c r="O313"/>
      <c r="P313"/>
      <c r="Q313"/>
      <c r="R313"/>
    </row>
    <row r="314" spans="2:18" ht="14.6" x14ac:dyDescent="0.4">
      <c r="B314"/>
      <c r="C314"/>
      <c r="D314"/>
      <c r="E314"/>
      <c r="F314"/>
      <c r="G314"/>
      <c r="H314"/>
      <c r="I314"/>
      <c r="J314"/>
      <c r="K314"/>
      <c r="L314"/>
      <c r="M314"/>
      <c r="N314"/>
      <c r="O314"/>
      <c r="P314"/>
      <c r="Q314"/>
      <c r="R314"/>
    </row>
    <row r="315" spans="2:18" ht="14.6" x14ac:dyDescent="0.4">
      <c r="B315"/>
      <c r="C315"/>
      <c r="D315"/>
      <c r="E315"/>
      <c r="F315"/>
      <c r="G315"/>
      <c r="H315"/>
      <c r="I315"/>
      <c r="J315"/>
      <c r="K315"/>
      <c r="L315"/>
      <c r="M315"/>
      <c r="N315"/>
      <c r="O315"/>
      <c r="P315"/>
      <c r="Q315"/>
      <c r="R315"/>
    </row>
    <row r="316" spans="2:18" ht="14.6" x14ac:dyDescent="0.4">
      <c r="B316"/>
      <c r="C316"/>
      <c r="D316"/>
      <c r="E316"/>
      <c r="F316"/>
      <c r="G316"/>
      <c r="H316"/>
      <c r="I316"/>
      <c r="J316"/>
      <c r="K316"/>
      <c r="L316"/>
      <c r="M316"/>
      <c r="N316"/>
      <c r="O316"/>
      <c r="P316"/>
      <c r="Q316"/>
      <c r="R316"/>
    </row>
    <row r="317" spans="2:18" ht="14.6" x14ac:dyDescent="0.4">
      <c r="B317"/>
      <c r="C317"/>
      <c r="D317"/>
      <c r="E317"/>
      <c r="F317"/>
      <c r="G317"/>
      <c r="H317"/>
      <c r="I317"/>
      <c r="J317"/>
      <c r="K317"/>
      <c r="L317"/>
      <c r="M317"/>
      <c r="N317"/>
      <c r="O317"/>
      <c r="P317"/>
      <c r="Q317"/>
      <c r="R317"/>
    </row>
    <row r="318" spans="2:18" ht="14.6" x14ac:dyDescent="0.4">
      <c r="B318"/>
      <c r="C318"/>
      <c r="D318"/>
      <c r="E318"/>
      <c r="F318"/>
      <c r="G318"/>
      <c r="H318"/>
      <c r="I318"/>
      <c r="J318"/>
      <c r="K318"/>
      <c r="L318"/>
      <c r="M318"/>
      <c r="N318"/>
      <c r="O318"/>
      <c r="P318"/>
      <c r="Q318"/>
      <c r="R318"/>
    </row>
    <row r="319" spans="2:18" ht="14.6" x14ac:dyDescent="0.4">
      <c r="B319"/>
      <c r="C319"/>
      <c r="D319"/>
      <c r="E319"/>
      <c r="F319"/>
      <c r="G319"/>
      <c r="H319"/>
      <c r="I319"/>
      <c r="J319"/>
      <c r="K319"/>
      <c r="L319"/>
      <c r="M319"/>
      <c r="N319"/>
      <c r="O319"/>
      <c r="P319"/>
      <c r="Q319"/>
      <c r="R319"/>
    </row>
    <row r="320" spans="2:18" ht="14.6" x14ac:dyDescent="0.4">
      <c r="B320"/>
      <c r="C320"/>
      <c r="D320"/>
      <c r="E320"/>
      <c r="F320"/>
      <c r="G320"/>
      <c r="H320"/>
      <c r="I320"/>
      <c r="J320"/>
      <c r="K320"/>
      <c r="L320"/>
      <c r="M320"/>
      <c r="N320"/>
      <c r="O320"/>
      <c r="P320"/>
      <c r="Q320"/>
      <c r="R320"/>
    </row>
    <row r="321" spans="2:18" ht="14.6" x14ac:dyDescent="0.4">
      <c r="B321"/>
      <c r="C321"/>
      <c r="D321"/>
      <c r="E321"/>
      <c r="F321"/>
      <c r="G321"/>
      <c r="H321"/>
      <c r="I321"/>
      <c r="J321"/>
      <c r="K321"/>
      <c r="L321"/>
      <c r="M321"/>
      <c r="N321"/>
      <c r="O321"/>
      <c r="P321"/>
      <c r="Q321"/>
      <c r="R321"/>
    </row>
    <row r="322" spans="2:18" ht="14.6" x14ac:dyDescent="0.4">
      <c r="B322"/>
      <c r="C322"/>
      <c r="D322"/>
      <c r="E322"/>
      <c r="F322"/>
      <c r="G322"/>
      <c r="H322"/>
      <c r="I322"/>
      <c r="J322"/>
      <c r="K322"/>
      <c r="L322"/>
      <c r="M322"/>
      <c r="N322"/>
      <c r="O322"/>
      <c r="P322"/>
      <c r="Q322"/>
      <c r="R322"/>
    </row>
    <row r="323" spans="2:18" ht="14.6" x14ac:dyDescent="0.4">
      <c r="B323"/>
      <c r="C323"/>
      <c r="D323"/>
      <c r="E323"/>
      <c r="F323"/>
      <c r="G323"/>
      <c r="H323"/>
      <c r="I323"/>
      <c r="J323"/>
      <c r="K323"/>
      <c r="L323"/>
      <c r="M323"/>
      <c r="N323"/>
      <c r="O323"/>
      <c r="P323"/>
      <c r="Q323"/>
      <c r="R323"/>
    </row>
    <row r="324" spans="2:18" ht="14.6" x14ac:dyDescent="0.4">
      <c r="B324"/>
      <c r="C324"/>
      <c r="D324"/>
      <c r="E324"/>
      <c r="F324"/>
      <c r="G324"/>
      <c r="H324"/>
      <c r="I324"/>
      <c r="J324"/>
      <c r="K324"/>
      <c r="L324"/>
      <c r="M324"/>
      <c r="N324"/>
      <c r="O324"/>
      <c r="P324"/>
      <c r="Q324"/>
      <c r="R324"/>
    </row>
    <row r="325" spans="2:18" ht="14.6" x14ac:dyDescent="0.4">
      <c r="B325"/>
      <c r="C325"/>
      <c r="D325"/>
      <c r="E325"/>
      <c r="F325"/>
      <c r="G325"/>
      <c r="H325"/>
      <c r="I325"/>
      <c r="J325"/>
      <c r="K325"/>
      <c r="L325"/>
      <c r="M325"/>
      <c r="N325"/>
      <c r="O325"/>
      <c r="P325"/>
      <c r="Q325"/>
      <c r="R325"/>
    </row>
    <row r="326" spans="2:18" ht="14.6" x14ac:dyDescent="0.4">
      <c r="B326"/>
      <c r="C326"/>
      <c r="D326"/>
      <c r="E326"/>
      <c r="F326"/>
      <c r="G326"/>
      <c r="H326"/>
      <c r="I326"/>
      <c r="J326"/>
      <c r="K326"/>
      <c r="L326"/>
      <c r="M326"/>
      <c r="N326"/>
      <c r="O326"/>
      <c r="P326"/>
      <c r="Q326"/>
      <c r="R326"/>
    </row>
    <row r="327" spans="2:18" ht="14.6" x14ac:dyDescent="0.4">
      <c r="B327"/>
      <c r="C327"/>
      <c r="D327"/>
      <c r="E327"/>
      <c r="F327"/>
      <c r="G327"/>
      <c r="H327"/>
      <c r="I327"/>
      <c r="J327"/>
      <c r="K327"/>
      <c r="L327"/>
      <c r="M327"/>
      <c r="N327"/>
      <c r="O327"/>
      <c r="P327"/>
      <c r="Q327"/>
      <c r="R327"/>
    </row>
    <row r="328" spans="2:18" ht="14.6" x14ac:dyDescent="0.4">
      <c r="B328"/>
      <c r="C328"/>
      <c r="D328"/>
      <c r="E328"/>
      <c r="F328"/>
      <c r="G328"/>
      <c r="H328"/>
      <c r="I328"/>
      <c r="J328"/>
      <c r="K328"/>
      <c r="L328"/>
      <c r="M328"/>
      <c r="N328"/>
      <c r="O328"/>
      <c r="P328"/>
      <c r="Q328"/>
      <c r="R328"/>
    </row>
    <row r="329" spans="2:18" ht="14.6" x14ac:dyDescent="0.4">
      <c r="B329"/>
      <c r="C329"/>
      <c r="D329"/>
      <c r="E329"/>
      <c r="F329"/>
      <c r="G329"/>
      <c r="H329"/>
      <c r="I329"/>
      <c r="J329"/>
      <c r="K329"/>
      <c r="L329"/>
      <c r="M329"/>
      <c r="N329"/>
      <c r="O329"/>
      <c r="P329"/>
      <c r="Q329"/>
      <c r="R329"/>
    </row>
    <row r="330" spans="2:18" ht="14.6" x14ac:dyDescent="0.4">
      <c r="B330"/>
      <c r="C330"/>
      <c r="D330"/>
      <c r="E330"/>
      <c r="F330"/>
      <c r="G330"/>
      <c r="H330"/>
      <c r="I330"/>
      <c r="J330"/>
      <c r="K330"/>
      <c r="L330"/>
      <c r="M330"/>
      <c r="N330"/>
      <c r="O330"/>
      <c r="P330"/>
      <c r="Q330"/>
      <c r="R330"/>
    </row>
    <row r="331" spans="2:18" ht="14.6" x14ac:dyDescent="0.4">
      <c r="B331"/>
      <c r="C331"/>
      <c r="D331"/>
      <c r="E331"/>
      <c r="F331"/>
      <c r="G331"/>
      <c r="H331"/>
      <c r="I331"/>
      <c r="J331"/>
      <c r="K331"/>
      <c r="L331"/>
      <c r="M331"/>
      <c r="N331"/>
      <c r="O331"/>
      <c r="P331"/>
      <c r="Q331"/>
      <c r="R331"/>
    </row>
    <row r="332" spans="2:18" ht="14.6" x14ac:dyDescent="0.4">
      <c r="B332"/>
      <c r="C332"/>
      <c r="D332"/>
      <c r="E332"/>
      <c r="F332"/>
      <c r="G332"/>
      <c r="H332"/>
      <c r="I332"/>
      <c r="J332"/>
      <c r="K332"/>
      <c r="L332"/>
      <c r="M332"/>
      <c r="N332"/>
      <c r="O332"/>
      <c r="P332"/>
      <c r="Q332"/>
      <c r="R332"/>
    </row>
    <row r="333" spans="2:18" ht="14.6" x14ac:dyDescent="0.4">
      <c r="B333"/>
      <c r="C333"/>
      <c r="D333"/>
      <c r="E333"/>
      <c r="F333"/>
      <c r="G333"/>
      <c r="H333"/>
      <c r="I333"/>
      <c r="J333"/>
      <c r="K333"/>
      <c r="L333"/>
      <c r="M333"/>
      <c r="N333"/>
      <c r="O333"/>
      <c r="P333"/>
      <c r="Q333"/>
      <c r="R333"/>
    </row>
    <row r="334" spans="2:18" ht="14.6" x14ac:dyDescent="0.4">
      <c r="B334"/>
      <c r="C334"/>
      <c r="D334"/>
      <c r="E334"/>
      <c r="F334"/>
      <c r="G334"/>
      <c r="H334"/>
      <c r="I334"/>
      <c r="J334"/>
      <c r="K334"/>
      <c r="L334"/>
      <c r="M334"/>
      <c r="N334"/>
      <c r="O334"/>
      <c r="P334"/>
      <c r="Q334"/>
      <c r="R334"/>
    </row>
    <row r="335" spans="2:18" ht="14.6" x14ac:dyDescent="0.4">
      <c r="B335"/>
      <c r="C335"/>
      <c r="D335"/>
      <c r="E335"/>
      <c r="F335"/>
      <c r="G335"/>
      <c r="H335"/>
      <c r="I335"/>
      <c r="J335"/>
      <c r="K335"/>
      <c r="L335"/>
      <c r="M335"/>
      <c r="N335"/>
      <c r="O335"/>
      <c r="P335"/>
      <c r="Q335"/>
      <c r="R335"/>
    </row>
    <row r="336" spans="2:18" ht="14.6" x14ac:dyDescent="0.4">
      <c r="B336"/>
      <c r="C336"/>
      <c r="D336"/>
      <c r="E336"/>
      <c r="F336"/>
      <c r="G336"/>
      <c r="H336"/>
      <c r="I336"/>
      <c r="J336"/>
      <c r="K336"/>
      <c r="L336"/>
      <c r="M336"/>
      <c r="N336"/>
      <c r="O336"/>
      <c r="P336"/>
      <c r="Q336"/>
      <c r="R336"/>
    </row>
    <row r="337" spans="2:18" ht="14.6" x14ac:dyDescent="0.4">
      <c r="B337"/>
      <c r="C337"/>
      <c r="D337"/>
      <c r="E337"/>
      <c r="F337"/>
      <c r="G337"/>
      <c r="H337"/>
      <c r="I337"/>
      <c r="J337"/>
      <c r="K337"/>
      <c r="L337"/>
      <c r="M337"/>
      <c r="N337"/>
      <c r="O337"/>
      <c r="P337"/>
      <c r="Q337"/>
      <c r="R337"/>
    </row>
    <row r="338" spans="2:18" ht="14.6" x14ac:dyDescent="0.4">
      <c r="B338"/>
      <c r="C338"/>
      <c r="D338"/>
      <c r="E338"/>
      <c r="F338"/>
      <c r="G338"/>
      <c r="H338"/>
      <c r="I338"/>
      <c r="J338"/>
      <c r="K338"/>
      <c r="L338"/>
      <c r="M338"/>
      <c r="N338"/>
      <c r="O338"/>
      <c r="P338"/>
      <c r="Q338"/>
      <c r="R338"/>
    </row>
    <row r="339" spans="2:18" ht="14.6" x14ac:dyDescent="0.4">
      <c r="B339"/>
      <c r="C339"/>
      <c r="D339"/>
      <c r="E339"/>
      <c r="F339"/>
      <c r="G339"/>
      <c r="H339"/>
      <c r="I339"/>
      <c r="J339"/>
      <c r="K339"/>
      <c r="L339"/>
      <c r="M339"/>
      <c r="N339"/>
      <c r="O339"/>
      <c r="P339"/>
      <c r="Q339"/>
      <c r="R339"/>
    </row>
    <row r="340" spans="2:18" ht="14.6" x14ac:dyDescent="0.4">
      <c r="B340"/>
      <c r="C340"/>
      <c r="D340"/>
      <c r="E340"/>
      <c r="F340"/>
      <c r="G340"/>
      <c r="H340"/>
      <c r="I340"/>
      <c r="J340"/>
      <c r="K340"/>
      <c r="L340"/>
      <c r="M340"/>
      <c r="N340"/>
      <c r="O340"/>
      <c r="P340"/>
      <c r="Q340"/>
      <c r="R340"/>
    </row>
    <row r="341" spans="2:18" ht="14.6" x14ac:dyDescent="0.4">
      <c r="B341"/>
      <c r="C341"/>
      <c r="D341"/>
      <c r="E341"/>
      <c r="F341"/>
      <c r="G341"/>
      <c r="H341"/>
      <c r="I341"/>
      <c r="J341"/>
      <c r="K341"/>
      <c r="L341"/>
      <c r="M341"/>
      <c r="N341"/>
      <c r="O341"/>
      <c r="P341"/>
      <c r="Q341"/>
      <c r="R341"/>
    </row>
    <row r="342" spans="2:18" ht="14.6" x14ac:dyDescent="0.4">
      <c r="B342"/>
      <c r="C342"/>
      <c r="D342"/>
      <c r="E342"/>
      <c r="F342"/>
      <c r="G342"/>
      <c r="H342"/>
      <c r="I342"/>
      <c r="J342"/>
      <c r="K342"/>
      <c r="L342"/>
      <c r="M342"/>
      <c r="N342"/>
      <c r="O342"/>
      <c r="P342"/>
      <c r="Q342"/>
      <c r="R342"/>
    </row>
    <row r="343" spans="2:18" ht="14.6" x14ac:dyDescent="0.4">
      <c r="B343"/>
      <c r="C343"/>
      <c r="D343"/>
      <c r="E343"/>
      <c r="F343"/>
      <c r="G343"/>
      <c r="H343"/>
      <c r="I343"/>
      <c r="J343"/>
      <c r="K343"/>
      <c r="L343"/>
      <c r="M343"/>
      <c r="N343"/>
      <c r="O343"/>
      <c r="P343"/>
      <c r="Q343"/>
      <c r="R343"/>
    </row>
    <row r="344" spans="2:18" ht="14.6" x14ac:dyDescent="0.4">
      <c r="B344"/>
      <c r="C344"/>
      <c r="D344"/>
      <c r="E344"/>
      <c r="F344"/>
      <c r="G344"/>
      <c r="H344"/>
      <c r="I344"/>
      <c r="J344"/>
      <c r="K344"/>
      <c r="L344"/>
      <c r="M344"/>
      <c r="N344"/>
      <c r="O344"/>
      <c r="P344"/>
      <c r="Q344"/>
      <c r="R344"/>
    </row>
    <row r="345" spans="2:18" ht="14.6" x14ac:dyDescent="0.4">
      <c r="B345"/>
      <c r="C345"/>
      <c r="D345"/>
      <c r="E345"/>
      <c r="F345"/>
      <c r="G345"/>
      <c r="H345"/>
      <c r="I345"/>
      <c r="J345"/>
      <c r="K345"/>
      <c r="L345"/>
      <c r="M345"/>
      <c r="N345"/>
      <c r="O345"/>
      <c r="P345"/>
      <c r="Q345"/>
      <c r="R345"/>
    </row>
    <row r="346" spans="2:18" ht="14.6" x14ac:dyDescent="0.4">
      <c r="B346"/>
      <c r="C346"/>
      <c r="D346"/>
      <c r="E346"/>
      <c r="F346"/>
      <c r="G346"/>
      <c r="H346"/>
      <c r="I346"/>
      <c r="J346"/>
      <c r="K346"/>
      <c r="L346"/>
      <c r="M346"/>
      <c r="N346"/>
      <c r="O346"/>
      <c r="P346"/>
      <c r="Q346"/>
      <c r="R346"/>
    </row>
    <row r="347" spans="2:18" ht="14.6" x14ac:dyDescent="0.4">
      <c r="B347"/>
      <c r="C347"/>
      <c r="D347"/>
      <c r="E347"/>
      <c r="F347"/>
      <c r="G347"/>
      <c r="H347"/>
      <c r="I347"/>
      <c r="J347"/>
      <c r="K347"/>
      <c r="L347"/>
      <c r="M347"/>
      <c r="N347"/>
      <c r="O347"/>
      <c r="P347"/>
      <c r="Q347"/>
      <c r="R347"/>
    </row>
    <row r="348" spans="2:18" ht="14.6" x14ac:dyDescent="0.4">
      <c r="B348"/>
      <c r="C348"/>
      <c r="D348"/>
      <c r="E348"/>
      <c r="F348"/>
      <c r="G348"/>
      <c r="H348"/>
      <c r="I348"/>
      <c r="J348"/>
      <c r="K348"/>
      <c r="L348"/>
      <c r="M348"/>
      <c r="N348"/>
      <c r="O348"/>
      <c r="P348"/>
      <c r="Q348"/>
      <c r="R348"/>
    </row>
    <row r="349" spans="2:18" ht="14.6" x14ac:dyDescent="0.4">
      <c r="B349"/>
      <c r="C349"/>
      <c r="D349"/>
      <c r="E349"/>
      <c r="F349"/>
      <c r="G349"/>
      <c r="H349"/>
      <c r="I349"/>
      <c r="J349"/>
      <c r="K349"/>
      <c r="L349"/>
      <c r="M349"/>
      <c r="N349"/>
      <c r="O349"/>
      <c r="P349"/>
      <c r="Q349"/>
      <c r="R349"/>
    </row>
    <row r="350" spans="2:18" ht="14.6" x14ac:dyDescent="0.4">
      <c r="B350"/>
      <c r="C350"/>
      <c r="D350"/>
      <c r="E350"/>
      <c r="F350"/>
      <c r="G350"/>
      <c r="H350"/>
      <c r="I350"/>
      <c r="J350"/>
      <c r="K350"/>
      <c r="L350"/>
      <c r="M350"/>
      <c r="N350"/>
      <c r="O350"/>
      <c r="P350"/>
      <c r="Q350"/>
      <c r="R350"/>
    </row>
    <row r="351" spans="2:18" ht="14.6" x14ac:dyDescent="0.4">
      <c r="B351"/>
      <c r="C351"/>
      <c r="D351"/>
      <c r="E351"/>
      <c r="F351"/>
      <c r="G351"/>
      <c r="H351"/>
      <c r="I351"/>
      <c r="J351"/>
      <c r="K351"/>
      <c r="L351"/>
      <c r="M351"/>
      <c r="N351"/>
      <c r="O351"/>
      <c r="P351"/>
      <c r="Q351"/>
      <c r="R351"/>
    </row>
    <row r="352" spans="2:18" ht="14.6" x14ac:dyDescent="0.4">
      <c r="B352"/>
      <c r="C352"/>
      <c r="D352"/>
      <c r="E352"/>
      <c r="F352"/>
      <c r="G352"/>
      <c r="H352"/>
      <c r="I352"/>
      <c r="J352"/>
      <c r="K352"/>
      <c r="L352"/>
      <c r="M352"/>
      <c r="N352"/>
      <c r="O352"/>
      <c r="P352"/>
      <c r="Q352"/>
      <c r="R352"/>
    </row>
    <row r="353" spans="2:18" ht="14.6" x14ac:dyDescent="0.4">
      <c r="B353"/>
      <c r="C353"/>
      <c r="D353"/>
      <c r="E353"/>
      <c r="F353"/>
      <c r="G353"/>
      <c r="H353"/>
      <c r="I353"/>
      <c r="J353"/>
      <c r="K353"/>
      <c r="L353"/>
      <c r="M353"/>
      <c r="N353"/>
      <c r="O353"/>
      <c r="P353"/>
      <c r="Q353"/>
      <c r="R353"/>
    </row>
    <row r="354" spans="2:18" ht="14.6" x14ac:dyDescent="0.4">
      <c r="B354"/>
      <c r="C354"/>
      <c r="D354"/>
      <c r="E354"/>
      <c r="F354"/>
      <c r="G354"/>
      <c r="H354"/>
      <c r="I354"/>
      <c r="J354"/>
      <c r="K354"/>
      <c r="L354"/>
      <c r="M354"/>
      <c r="N354"/>
      <c r="O354"/>
      <c r="P354"/>
      <c r="Q354"/>
      <c r="R354"/>
    </row>
    <row r="355" spans="2:18" ht="14.6" x14ac:dyDescent="0.4">
      <c r="B355"/>
      <c r="C355"/>
      <c r="D355"/>
      <c r="E355"/>
      <c r="F355"/>
      <c r="G355"/>
      <c r="H355"/>
      <c r="I355"/>
      <c r="J355"/>
      <c r="K355"/>
      <c r="L355"/>
      <c r="M355"/>
      <c r="N355"/>
      <c r="O355"/>
      <c r="P355"/>
      <c r="Q355"/>
      <c r="R355"/>
    </row>
    <row r="356" spans="2:18" ht="14.6" x14ac:dyDescent="0.4">
      <c r="B356"/>
      <c r="C356"/>
      <c r="D356"/>
      <c r="E356"/>
      <c r="F356"/>
      <c r="G356"/>
      <c r="H356"/>
      <c r="I356"/>
      <c r="J356"/>
      <c r="K356"/>
      <c r="L356"/>
      <c r="M356"/>
      <c r="N356"/>
      <c r="O356"/>
      <c r="P356"/>
      <c r="Q356"/>
      <c r="R356"/>
    </row>
    <row r="357" spans="2:18" ht="14.6" x14ac:dyDescent="0.4">
      <c r="B357"/>
      <c r="C357"/>
      <c r="D357"/>
      <c r="E357"/>
      <c r="F357"/>
      <c r="G357"/>
      <c r="H357"/>
      <c r="I357"/>
      <c r="J357"/>
      <c r="K357"/>
      <c r="L357"/>
      <c r="M357"/>
      <c r="N357"/>
      <c r="O357"/>
      <c r="P357"/>
      <c r="Q357"/>
      <c r="R357"/>
    </row>
    <row r="358" spans="2:18" ht="14.6" x14ac:dyDescent="0.4">
      <c r="B358"/>
      <c r="C358"/>
      <c r="D358"/>
      <c r="E358"/>
      <c r="F358"/>
      <c r="G358"/>
      <c r="H358"/>
      <c r="I358"/>
      <c r="J358"/>
      <c r="K358"/>
      <c r="L358"/>
      <c r="M358"/>
      <c r="N358"/>
      <c r="O358"/>
      <c r="P358"/>
      <c r="Q358"/>
      <c r="R358"/>
    </row>
    <row r="359" spans="2:18" ht="14.6" x14ac:dyDescent="0.4">
      <c r="B359"/>
      <c r="C359"/>
      <c r="D359"/>
      <c r="E359"/>
      <c r="F359"/>
      <c r="G359"/>
      <c r="H359"/>
      <c r="I359"/>
      <c r="J359"/>
      <c r="K359"/>
      <c r="L359"/>
      <c r="M359"/>
      <c r="N359"/>
      <c r="O359"/>
      <c r="P359"/>
      <c r="Q359"/>
      <c r="R359"/>
    </row>
    <row r="360" spans="2:18" ht="14.6" x14ac:dyDescent="0.4">
      <c r="B360"/>
      <c r="C360"/>
      <c r="D360"/>
      <c r="E360"/>
      <c r="F360"/>
      <c r="G360"/>
      <c r="H360"/>
      <c r="I360"/>
      <c r="J360"/>
      <c r="K360"/>
      <c r="L360"/>
      <c r="M360"/>
      <c r="N360"/>
      <c r="O360"/>
      <c r="P360"/>
      <c r="Q360"/>
      <c r="R360"/>
    </row>
    <row r="361" spans="2:18" ht="14.6" x14ac:dyDescent="0.4">
      <c r="B361"/>
      <c r="C361"/>
      <c r="D361"/>
      <c r="E361"/>
      <c r="F361"/>
      <c r="G361"/>
      <c r="H361"/>
      <c r="I361"/>
      <c r="J361"/>
      <c r="K361"/>
      <c r="L361"/>
      <c r="M361"/>
      <c r="N361"/>
      <c r="O361"/>
      <c r="P361"/>
      <c r="Q361"/>
      <c r="R361"/>
    </row>
    <row r="362" spans="2:18" ht="14.6" x14ac:dyDescent="0.4">
      <c r="B362"/>
      <c r="C362"/>
      <c r="D362"/>
      <c r="E362"/>
      <c r="F362"/>
      <c r="G362"/>
      <c r="H362"/>
      <c r="I362"/>
      <c r="J362"/>
      <c r="K362"/>
      <c r="L362"/>
      <c r="M362"/>
      <c r="N362"/>
      <c r="O362"/>
      <c r="P362"/>
      <c r="Q362"/>
      <c r="R362"/>
    </row>
    <row r="363" spans="2:18" ht="14.6" x14ac:dyDescent="0.4">
      <c r="B363"/>
      <c r="C363"/>
      <c r="D363"/>
      <c r="E363"/>
      <c r="F363"/>
      <c r="G363"/>
      <c r="H363"/>
      <c r="I363"/>
      <c r="J363"/>
      <c r="K363"/>
      <c r="L363"/>
      <c r="M363"/>
      <c r="N363"/>
      <c r="O363"/>
      <c r="P363"/>
      <c r="Q363"/>
      <c r="R363"/>
    </row>
    <row r="364" spans="2:18" ht="14.6" x14ac:dyDescent="0.4">
      <c r="B364"/>
      <c r="C364"/>
      <c r="D364"/>
      <c r="E364"/>
      <c r="F364"/>
      <c r="G364"/>
      <c r="H364"/>
      <c r="I364"/>
      <c r="J364"/>
      <c r="K364"/>
      <c r="L364"/>
      <c r="M364"/>
      <c r="N364"/>
      <c r="O364"/>
      <c r="P364"/>
      <c r="Q364"/>
      <c r="R364"/>
    </row>
    <row r="365" spans="2:18" ht="14.6" x14ac:dyDescent="0.4">
      <c r="B365"/>
      <c r="C365"/>
      <c r="D365"/>
      <c r="E365"/>
      <c r="F365"/>
      <c r="G365"/>
      <c r="H365"/>
      <c r="I365"/>
      <c r="J365"/>
      <c r="K365"/>
      <c r="L365"/>
      <c r="M365"/>
      <c r="N365"/>
      <c r="O365"/>
      <c r="P365"/>
      <c r="Q365"/>
      <c r="R365"/>
    </row>
    <row r="366" spans="2:18" ht="14.6" x14ac:dyDescent="0.4">
      <c r="B366"/>
      <c r="C366"/>
      <c r="D366"/>
      <c r="E366"/>
      <c r="F366"/>
      <c r="G366"/>
      <c r="H366"/>
      <c r="I366"/>
      <c r="J366"/>
      <c r="K366"/>
      <c r="L366"/>
      <c r="M366"/>
      <c r="N366"/>
      <c r="O366"/>
      <c r="P366"/>
      <c r="Q366"/>
      <c r="R366"/>
    </row>
    <row r="367" spans="2:18" ht="14.6" x14ac:dyDescent="0.4">
      <c r="B367"/>
      <c r="C367"/>
      <c r="D367"/>
      <c r="E367"/>
      <c r="F367"/>
      <c r="G367"/>
      <c r="H367"/>
      <c r="I367"/>
      <c r="J367"/>
      <c r="K367"/>
      <c r="L367"/>
      <c r="M367"/>
      <c r="N367"/>
      <c r="O367"/>
      <c r="P367"/>
      <c r="Q367"/>
      <c r="R367"/>
    </row>
    <row r="368" spans="2:18" ht="14.6" x14ac:dyDescent="0.4">
      <c r="B368"/>
      <c r="C368"/>
      <c r="D368"/>
      <c r="E368"/>
      <c r="F368"/>
      <c r="G368"/>
      <c r="H368"/>
      <c r="I368"/>
      <c r="J368"/>
      <c r="K368"/>
      <c r="L368"/>
      <c r="M368"/>
      <c r="N368"/>
      <c r="O368"/>
      <c r="P368"/>
      <c r="Q368"/>
      <c r="R368"/>
    </row>
    <row r="369" spans="2:18" ht="14.6" x14ac:dyDescent="0.4">
      <c r="B369"/>
      <c r="C369"/>
      <c r="D369"/>
      <c r="E369"/>
      <c r="F369"/>
      <c r="G369"/>
      <c r="H369"/>
      <c r="I369"/>
      <c r="J369"/>
      <c r="K369"/>
      <c r="L369"/>
      <c r="M369"/>
      <c r="N369"/>
      <c r="O369"/>
      <c r="P369"/>
      <c r="Q369"/>
      <c r="R369"/>
    </row>
    <row r="370" spans="2:18" ht="14.6" x14ac:dyDescent="0.4">
      <c r="B370"/>
      <c r="C370"/>
      <c r="D370"/>
      <c r="E370"/>
      <c r="F370"/>
      <c r="G370"/>
      <c r="H370"/>
      <c r="I370"/>
      <c r="J370"/>
      <c r="K370"/>
      <c r="L370"/>
      <c r="M370"/>
      <c r="N370"/>
      <c r="O370"/>
      <c r="P370"/>
      <c r="Q370"/>
      <c r="R370"/>
    </row>
    <row r="371" spans="2:18" ht="14.6" x14ac:dyDescent="0.4">
      <c r="B371"/>
      <c r="C371"/>
      <c r="D371"/>
      <c r="E371"/>
      <c r="F371"/>
      <c r="G371"/>
      <c r="H371"/>
      <c r="I371"/>
      <c r="J371"/>
      <c r="K371"/>
      <c r="L371"/>
      <c r="M371"/>
      <c r="N371"/>
      <c r="O371"/>
      <c r="P371"/>
      <c r="Q371"/>
      <c r="R371"/>
    </row>
    <row r="372" spans="2:18" ht="14.6" x14ac:dyDescent="0.4">
      <c r="B372"/>
      <c r="C372"/>
      <c r="D372"/>
      <c r="E372"/>
      <c r="F372"/>
      <c r="G372"/>
      <c r="H372"/>
      <c r="I372"/>
      <c r="J372"/>
      <c r="K372"/>
      <c r="L372"/>
      <c r="M372"/>
      <c r="N372"/>
      <c r="O372"/>
      <c r="P372"/>
      <c r="Q372"/>
      <c r="R372"/>
    </row>
    <row r="373" spans="2:18" ht="14.6" x14ac:dyDescent="0.4">
      <c r="B373"/>
      <c r="C373"/>
      <c r="D373"/>
      <c r="E373"/>
      <c r="F373"/>
      <c r="G373"/>
      <c r="H373"/>
      <c r="I373"/>
      <c r="J373"/>
      <c r="K373"/>
      <c r="L373"/>
      <c r="M373"/>
      <c r="N373"/>
      <c r="O373"/>
      <c r="P373"/>
      <c r="Q373"/>
      <c r="R373"/>
    </row>
    <row r="374" spans="2:18" ht="14.6" x14ac:dyDescent="0.4">
      <c r="B374"/>
      <c r="C374"/>
      <c r="D374"/>
      <c r="E374"/>
      <c r="F374"/>
      <c r="G374"/>
      <c r="H374"/>
      <c r="I374"/>
      <c r="J374"/>
      <c r="K374"/>
      <c r="L374"/>
      <c r="M374"/>
      <c r="N374"/>
      <c r="O374"/>
      <c r="P374"/>
      <c r="Q374"/>
      <c r="R374"/>
    </row>
    <row r="375" spans="2:18" ht="14.6" x14ac:dyDescent="0.4">
      <c r="B375"/>
      <c r="C375"/>
      <c r="D375"/>
      <c r="E375"/>
      <c r="F375"/>
      <c r="G375"/>
      <c r="H375"/>
      <c r="I375"/>
      <c r="J375"/>
      <c r="K375"/>
      <c r="L375"/>
      <c r="M375"/>
      <c r="N375"/>
      <c r="O375"/>
      <c r="P375"/>
      <c r="Q375"/>
      <c r="R375"/>
    </row>
    <row r="376" spans="2:18" ht="14.6" x14ac:dyDescent="0.4">
      <c r="B376"/>
      <c r="C376"/>
      <c r="D376"/>
      <c r="E376"/>
      <c r="F376"/>
      <c r="G376"/>
      <c r="H376"/>
      <c r="I376"/>
      <c r="J376"/>
      <c r="K376"/>
      <c r="L376"/>
      <c r="M376"/>
      <c r="N376"/>
      <c r="O376"/>
      <c r="P376"/>
      <c r="Q376"/>
      <c r="R376"/>
    </row>
    <row r="377" spans="2:18" ht="14.6" x14ac:dyDescent="0.4">
      <c r="B377"/>
      <c r="C377"/>
      <c r="D377"/>
      <c r="E377"/>
      <c r="F377"/>
      <c r="G377"/>
      <c r="H377"/>
      <c r="I377"/>
      <c r="J377"/>
      <c r="K377"/>
      <c r="L377"/>
      <c r="M377"/>
      <c r="N377"/>
      <c r="O377"/>
      <c r="P377"/>
      <c r="Q377"/>
      <c r="R377"/>
    </row>
    <row r="378" spans="2:18" ht="14.6" x14ac:dyDescent="0.4">
      <c r="B378"/>
      <c r="C378"/>
      <c r="D378"/>
      <c r="E378"/>
      <c r="F378"/>
      <c r="G378"/>
      <c r="H378"/>
      <c r="I378"/>
      <c r="J378"/>
      <c r="K378"/>
      <c r="L378"/>
      <c r="M378"/>
      <c r="N378"/>
      <c r="O378"/>
      <c r="P378"/>
      <c r="Q378"/>
      <c r="R378"/>
    </row>
    <row r="379" spans="2:18" ht="14.6" x14ac:dyDescent="0.4">
      <c r="B379"/>
      <c r="C379"/>
      <c r="D379"/>
      <c r="E379"/>
      <c r="F379"/>
      <c r="G379"/>
      <c r="H379"/>
      <c r="I379"/>
      <c r="J379"/>
      <c r="K379"/>
      <c r="L379"/>
      <c r="M379"/>
      <c r="N379"/>
      <c r="O379"/>
      <c r="P379"/>
      <c r="Q379"/>
      <c r="R379"/>
    </row>
    <row r="380" spans="2:18" ht="14.6" x14ac:dyDescent="0.4">
      <c r="B380"/>
      <c r="C380"/>
      <c r="D380"/>
      <c r="E380"/>
      <c r="F380"/>
      <c r="G380"/>
      <c r="H380"/>
      <c r="I380"/>
      <c r="J380"/>
      <c r="K380"/>
      <c r="L380"/>
      <c r="M380"/>
      <c r="N380"/>
      <c r="O380"/>
      <c r="P380"/>
      <c r="Q380"/>
      <c r="R380"/>
    </row>
    <row r="381" spans="2:18" ht="14.6" x14ac:dyDescent="0.4">
      <c r="B381"/>
      <c r="C381"/>
      <c r="D381"/>
      <c r="E381"/>
      <c r="F381"/>
      <c r="G381"/>
      <c r="H381"/>
      <c r="I381"/>
      <c r="J381"/>
      <c r="K381"/>
      <c r="L381"/>
      <c r="M381"/>
      <c r="N381"/>
      <c r="O381"/>
      <c r="P381"/>
      <c r="Q381"/>
      <c r="R381"/>
    </row>
    <row r="382" spans="2:18" ht="14.6" x14ac:dyDescent="0.4">
      <c r="B382"/>
      <c r="C382"/>
      <c r="D382"/>
      <c r="E382"/>
      <c r="F382"/>
      <c r="G382"/>
      <c r="H382"/>
      <c r="I382"/>
      <c r="J382"/>
      <c r="K382"/>
      <c r="L382"/>
      <c r="M382"/>
      <c r="N382"/>
      <c r="O382"/>
      <c r="P382"/>
      <c r="Q382"/>
      <c r="R382"/>
    </row>
    <row r="383" spans="2:18" ht="14.6" x14ac:dyDescent="0.4">
      <c r="B383"/>
      <c r="C383"/>
      <c r="D383"/>
      <c r="E383"/>
      <c r="F383"/>
      <c r="G383"/>
      <c r="H383"/>
      <c r="I383"/>
      <c r="J383"/>
      <c r="K383"/>
      <c r="L383"/>
      <c r="M383"/>
      <c r="N383"/>
      <c r="O383"/>
      <c r="P383"/>
      <c r="Q383"/>
      <c r="R383"/>
    </row>
    <row r="384" spans="2:18" ht="14.6" x14ac:dyDescent="0.4">
      <c r="B384"/>
      <c r="C384"/>
      <c r="D384"/>
      <c r="E384"/>
      <c r="F384"/>
      <c r="G384"/>
      <c r="H384"/>
      <c r="I384"/>
      <c r="J384"/>
      <c r="K384"/>
      <c r="L384"/>
      <c r="M384"/>
      <c r="N384"/>
      <c r="O384"/>
      <c r="P384"/>
      <c r="Q384"/>
      <c r="R384"/>
    </row>
    <row r="385" spans="2:18" ht="14.6" x14ac:dyDescent="0.4">
      <c r="B385"/>
      <c r="C385"/>
      <c r="D385"/>
      <c r="E385"/>
      <c r="F385"/>
      <c r="G385"/>
      <c r="H385"/>
      <c r="I385"/>
      <c r="J385"/>
      <c r="K385"/>
      <c r="L385"/>
      <c r="M385"/>
      <c r="N385"/>
      <c r="O385"/>
      <c r="P385"/>
      <c r="Q385"/>
      <c r="R385"/>
    </row>
    <row r="386" spans="2:18" ht="14.6" x14ac:dyDescent="0.4">
      <c r="B386"/>
      <c r="C386"/>
      <c r="D386"/>
      <c r="E386"/>
      <c r="F386"/>
      <c r="G386"/>
      <c r="H386"/>
      <c r="I386"/>
      <c r="J386"/>
      <c r="K386"/>
      <c r="L386"/>
      <c r="M386"/>
      <c r="N386"/>
      <c r="O386"/>
      <c r="P386"/>
      <c r="Q386"/>
      <c r="R386"/>
    </row>
    <row r="387" spans="2:18" ht="14.6" x14ac:dyDescent="0.4">
      <c r="B387"/>
      <c r="C387"/>
      <c r="D387"/>
      <c r="E387"/>
      <c r="F387"/>
      <c r="G387"/>
      <c r="H387"/>
      <c r="I387"/>
      <c r="J387"/>
      <c r="K387"/>
      <c r="L387"/>
      <c r="M387"/>
      <c r="N387"/>
      <c r="O387"/>
      <c r="P387"/>
      <c r="Q387"/>
      <c r="R387"/>
    </row>
    <row r="388" spans="2:18" ht="14.6" x14ac:dyDescent="0.4">
      <c r="B388"/>
      <c r="C388"/>
      <c r="D388"/>
      <c r="E388"/>
      <c r="F388"/>
      <c r="G388"/>
      <c r="H388"/>
      <c r="I388"/>
      <c r="J388"/>
      <c r="K388"/>
      <c r="L388"/>
      <c r="M388"/>
      <c r="N388"/>
      <c r="O388"/>
      <c r="P388"/>
      <c r="Q388"/>
      <c r="R388"/>
    </row>
    <row r="389" spans="2:18" ht="14.6" x14ac:dyDescent="0.4">
      <c r="B389"/>
      <c r="C389"/>
      <c r="D389"/>
      <c r="E389"/>
      <c r="F389"/>
      <c r="G389"/>
      <c r="H389"/>
      <c r="I389"/>
      <c r="J389"/>
      <c r="K389"/>
      <c r="L389"/>
      <c r="M389"/>
      <c r="N389"/>
      <c r="O389"/>
      <c r="P389"/>
      <c r="Q389"/>
      <c r="R389"/>
    </row>
    <row r="390" spans="2:18" ht="14.6" x14ac:dyDescent="0.4">
      <c r="B390"/>
      <c r="C390"/>
      <c r="D390"/>
      <c r="E390"/>
      <c r="F390"/>
      <c r="G390"/>
      <c r="H390"/>
      <c r="I390"/>
      <c r="J390"/>
      <c r="K390"/>
      <c r="L390"/>
      <c r="M390"/>
      <c r="N390"/>
      <c r="O390"/>
      <c r="P390"/>
      <c r="Q390"/>
      <c r="R390"/>
    </row>
    <row r="391" spans="2:18" ht="14.6" x14ac:dyDescent="0.4">
      <c r="B391"/>
      <c r="C391"/>
      <c r="D391"/>
      <c r="E391"/>
      <c r="F391"/>
      <c r="G391"/>
      <c r="H391"/>
      <c r="I391"/>
      <c r="J391"/>
      <c r="K391"/>
      <c r="L391"/>
      <c r="M391"/>
      <c r="N391"/>
      <c r="O391"/>
      <c r="P391"/>
      <c r="Q391"/>
      <c r="R391"/>
    </row>
    <row r="392" spans="2:18" ht="14.6" x14ac:dyDescent="0.4">
      <c r="B392"/>
      <c r="C392"/>
      <c r="D392"/>
      <c r="E392"/>
      <c r="F392"/>
      <c r="G392"/>
      <c r="H392"/>
      <c r="I392"/>
      <c r="J392"/>
      <c r="K392"/>
      <c r="L392"/>
      <c r="M392"/>
      <c r="N392"/>
      <c r="O392"/>
      <c r="P392"/>
      <c r="Q392"/>
      <c r="R392"/>
    </row>
    <row r="393" spans="2:18" ht="14.6" x14ac:dyDescent="0.4">
      <c r="B393"/>
      <c r="C393"/>
      <c r="D393"/>
      <c r="E393"/>
      <c r="F393"/>
      <c r="G393"/>
      <c r="H393"/>
      <c r="I393"/>
      <c r="J393"/>
      <c r="K393"/>
      <c r="L393"/>
      <c r="M393"/>
      <c r="N393"/>
      <c r="O393"/>
      <c r="P393"/>
      <c r="Q393"/>
      <c r="R393"/>
    </row>
    <row r="394" spans="2:18" ht="14.6" x14ac:dyDescent="0.4">
      <c r="B394"/>
      <c r="C394"/>
      <c r="D394"/>
      <c r="E394"/>
      <c r="F394"/>
      <c r="G394"/>
      <c r="H394"/>
      <c r="I394"/>
      <c r="J394"/>
      <c r="K394"/>
      <c r="L394"/>
      <c r="M394"/>
      <c r="N394"/>
      <c r="O394"/>
      <c r="P394"/>
      <c r="Q394"/>
      <c r="R394"/>
    </row>
    <row r="395" spans="2:18" ht="14.6" x14ac:dyDescent="0.4">
      <c r="B395"/>
      <c r="C395"/>
      <c r="D395"/>
      <c r="E395"/>
      <c r="F395"/>
      <c r="G395"/>
      <c r="H395"/>
      <c r="I395"/>
      <c r="J395"/>
      <c r="K395"/>
      <c r="L395"/>
      <c r="M395"/>
      <c r="N395"/>
      <c r="O395"/>
      <c r="P395"/>
      <c r="Q395"/>
      <c r="R395"/>
    </row>
    <row r="396" spans="2:18" ht="14.6" x14ac:dyDescent="0.4">
      <c r="B396"/>
      <c r="C396"/>
      <c r="D396"/>
      <c r="E396"/>
      <c r="F396"/>
      <c r="G396"/>
      <c r="H396"/>
      <c r="I396"/>
      <c r="J396"/>
      <c r="K396"/>
      <c r="L396"/>
      <c r="M396"/>
      <c r="N396"/>
      <c r="O396"/>
      <c r="P396"/>
      <c r="Q396"/>
      <c r="R396"/>
    </row>
    <row r="397" spans="2:18" ht="14.6" x14ac:dyDescent="0.4">
      <c r="B397"/>
      <c r="C397"/>
      <c r="D397"/>
      <c r="E397"/>
      <c r="F397"/>
      <c r="G397"/>
      <c r="H397"/>
      <c r="I397"/>
      <c r="J397"/>
      <c r="K397"/>
      <c r="L397"/>
      <c r="M397"/>
      <c r="N397"/>
      <c r="O397"/>
      <c r="P397"/>
      <c r="Q397"/>
      <c r="R397"/>
    </row>
    <row r="398" spans="2:18" ht="14.6" x14ac:dyDescent="0.4">
      <c r="B398"/>
      <c r="C398"/>
      <c r="D398"/>
      <c r="E398"/>
      <c r="F398"/>
      <c r="G398"/>
      <c r="H398"/>
      <c r="I398"/>
      <c r="J398"/>
      <c r="K398"/>
      <c r="L398"/>
      <c r="M398"/>
      <c r="N398"/>
      <c r="O398"/>
      <c r="P398"/>
      <c r="Q398"/>
      <c r="R398"/>
    </row>
    <row r="399" spans="2:18" ht="14.6" x14ac:dyDescent="0.4">
      <c r="B399"/>
      <c r="C399"/>
      <c r="D399"/>
      <c r="E399"/>
      <c r="F399"/>
      <c r="G399"/>
      <c r="H399"/>
      <c r="I399"/>
      <c r="J399"/>
      <c r="K399"/>
      <c r="L399"/>
      <c r="M399"/>
      <c r="N399"/>
      <c r="O399"/>
      <c r="P399"/>
      <c r="Q399"/>
      <c r="R399"/>
    </row>
    <row r="400" spans="2:18" ht="14.6" x14ac:dyDescent="0.4">
      <c r="B400"/>
      <c r="C400"/>
      <c r="D400"/>
      <c r="E400"/>
      <c r="F400"/>
      <c r="G400"/>
      <c r="H400"/>
      <c r="I400"/>
      <c r="J400"/>
      <c r="K400"/>
      <c r="L400"/>
      <c r="M400"/>
      <c r="N400"/>
      <c r="O400"/>
      <c r="P400"/>
      <c r="Q400"/>
      <c r="R400"/>
    </row>
    <row r="401" spans="2:18" ht="14.6" x14ac:dyDescent="0.4">
      <c r="B401"/>
      <c r="C401"/>
      <c r="D401"/>
      <c r="E401"/>
      <c r="F401"/>
      <c r="G401"/>
      <c r="H401"/>
      <c r="I401"/>
      <c r="J401"/>
      <c r="K401"/>
      <c r="L401"/>
      <c r="M401"/>
      <c r="N401"/>
      <c r="O401"/>
      <c r="P401"/>
      <c r="Q401"/>
      <c r="R401"/>
    </row>
    <row r="402" spans="2:18" ht="14.6" x14ac:dyDescent="0.4">
      <c r="B402"/>
      <c r="C402"/>
      <c r="D402"/>
      <c r="E402"/>
      <c r="F402"/>
      <c r="G402"/>
      <c r="H402"/>
      <c r="I402"/>
      <c r="J402"/>
      <c r="K402"/>
      <c r="L402"/>
      <c r="M402"/>
      <c r="N402"/>
      <c r="O402"/>
      <c r="P402"/>
      <c r="Q402"/>
      <c r="R402"/>
    </row>
    <row r="403" spans="2:18" ht="14.6" x14ac:dyDescent="0.4">
      <c r="B403"/>
      <c r="C403"/>
      <c r="D403"/>
      <c r="E403"/>
      <c r="F403"/>
      <c r="G403"/>
      <c r="H403"/>
      <c r="I403"/>
      <c r="J403"/>
      <c r="K403"/>
      <c r="L403"/>
      <c r="M403"/>
      <c r="N403"/>
      <c r="O403"/>
      <c r="P403"/>
      <c r="Q403"/>
      <c r="R403"/>
    </row>
    <row r="404" spans="2:18" ht="14.6" x14ac:dyDescent="0.4">
      <c r="B404"/>
      <c r="C404"/>
      <c r="D404"/>
      <c r="E404"/>
      <c r="F404"/>
      <c r="G404"/>
      <c r="H404"/>
      <c r="I404"/>
      <c r="J404"/>
      <c r="K404"/>
      <c r="L404"/>
      <c r="M404"/>
      <c r="N404"/>
      <c r="O404"/>
      <c r="P404"/>
      <c r="Q404"/>
      <c r="R404"/>
    </row>
    <row r="405" spans="2:18" ht="14.6" x14ac:dyDescent="0.4">
      <c r="B405"/>
      <c r="C405"/>
      <c r="D405"/>
      <c r="E405"/>
      <c r="F405"/>
      <c r="G405"/>
      <c r="H405"/>
      <c r="I405"/>
      <c r="J405"/>
      <c r="K405"/>
      <c r="L405"/>
      <c r="M405"/>
      <c r="N405"/>
      <c r="O405"/>
      <c r="P405"/>
      <c r="Q405"/>
      <c r="R405"/>
    </row>
    <row r="406" spans="2:18" ht="14.6" x14ac:dyDescent="0.4">
      <c r="B406"/>
      <c r="C406"/>
      <c r="D406"/>
      <c r="E406"/>
      <c r="F406"/>
      <c r="G406"/>
      <c r="H406"/>
      <c r="I406"/>
      <c r="J406"/>
      <c r="K406"/>
      <c r="L406"/>
      <c r="M406"/>
      <c r="N406"/>
      <c r="O406"/>
      <c r="P406"/>
      <c r="Q406"/>
      <c r="R406"/>
    </row>
    <row r="407" spans="2:18" ht="14.6" x14ac:dyDescent="0.4">
      <c r="B407"/>
      <c r="C407"/>
      <c r="D407"/>
      <c r="E407"/>
      <c r="F407"/>
      <c r="G407"/>
      <c r="H407"/>
      <c r="I407"/>
      <c r="J407"/>
      <c r="K407"/>
      <c r="L407"/>
      <c r="M407"/>
      <c r="N407"/>
      <c r="O407"/>
      <c r="P407"/>
      <c r="Q407"/>
      <c r="R407"/>
    </row>
    <row r="408" spans="2:18" ht="14.6" x14ac:dyDescent="0.4">
      <c r="B408"/>
      <c r="C408"/>
      <c r="D408"/>
      <c r="E408"/>
      <c r="F408"/>
      <c r="G408"/>
      <c r="H408"/>
      <c r="I408"/>
      <c r="J408"/>
      <c r="K408"/>
      <c r="L408"/>
      <c r="M408"/>
      <c r="N408"/>
      <c r="O408"/>
      <c r="P408"/>
      <c r="Q408"/>
      <c r="R408"/>
    </row>
    <row r="409" spans="2:18" ht="14.6" x14ac:dyDescent="0.4">
      <c r="B409"/>
      <c r="C409"/>
      <c r="D409"/>
      <c r="E409"/>
      <c r="F409"/>
      <c r="G409"/>
      <c r="H409"/>
      <c r="I409"/>
      <c r="J409"/>
      <c r="K409"/>
      <c r="L409"/>
      <c r="M409"/>
      <c r="N409"/>
      <c r="O409"/>
      <c r="P409"/>
      <c r="Q409"/>
      <c r="R409"/>
    </row>
    <row r="410" spans="2:18" ht="14.6" x14ac:dyDescent="0.4">
      <c r="B410"/>
      <c r="C410"/>
      <c r="D410"/>
      <c r="E410"/>
      <c r="F410"/>
      <c r="G410"/>
      <c r="H410"/>
      <c r="I410"/>
      <c r="J410"/>
      <c r="K410"/>
      <c r="L410"/>
      <c r="M410"/>
      <c r="N410"/>
      <c r="O410"/>
      <c r="P410"/>
      <c r="Q410"/>
      <c r="R410"/>
    </row>
    <row r="411" spans="2:18" ht="14.6" x14ac:dyDescent="0.4">
      <c r="B411"/>
      <c r="C411"/>
      <c r="D411"/>
      <c r="E411"/>
      <c r="F411"/>
      <c r="G411"/>
      <c r="H411"/>
      <c r="I411"/>
      <c r="J411"/>
      <c r="K411"/>
      <c r="L411"/>
      <c r="M411"/>
      <c r="N411"/>
      <c r="O411"/>
      <c r="P411"/>
      <c r="Q411"/>
      <c r="R411"/>
    </row>
    <row r="412" spans="2:18" ht="14.6" x14ac:dyDescent="0.4">
      <c r="B412"/>
      <c r="C412"/>
      <c r="D412"/>
      <c r="E412"/>
      <c r="F412"/>
      <c r="G412"/>
      <c r="H412"/>
      <c r="I412"/>
      <c r="J412"/>
      <c r="K412"/>
      <c r="L412"/>
      <c r="M412"/>
      <c r="N412"/>
      <c r="O412"/>
      <c r="P412"/>
      <c r="Q412"/>
      <c r="R412"/>
    </row>
    <row r="413" spans="2:18" ht="14.6" x14ac:dyDescent="0.4">
      <c r="B413"/>
      <c r="C413"/>
      <c r="D413"/>
      <c r="E413"/>
      <c r="F413"/>
      <c r="G413"/>
      <c r="H413"/>
      <c r="I413"/>
      <c r="J413"/>
      <c r="K413"/>
      <c r="L413"/>
      <c r="M413"/>
      <c r="N413"/>
      <c r="O413"/>
      <c r="P413"/>
      <c r="Q413"/>
      <c r="R413"/>
    </row>
    <row r="414" spans="2:18" ht="14.6" x14ac:dyDescent="0.4">
      <c r="B414"/>
      <c r="C414"/>
      <c r="D414"/>
      <c r="E414"/>
      <c r="F414"/>
      <c r="G414"/>
      <c r="H414"/>
      <c r="I414"/>
      <c r="J414"/>
      <c r="K414"/>
      <c r="L414"/>
      <c r="M414"/>
      <c r="N414"/>
      <c r="O414"/>
      <c r="P414"/>
      <c r="Q414"/>
      <c r="R414"/>
    </row>
    <row r="415" spans="2:18" ht="14.6" x14ac:dyDescent="0.4">
      <c r="B415"/>
      <c r="C415"/>
      <c r="D415"/>
      <c r="E415"/>
      <c r="F415"/>
      <c r="G415"/>
      <c r="H415"/>
      <c r="I415"/>
      <c r="J415"/>
      <c r="K415"/>
      <c r="L415"/>
      <c r="M415"/>
      <c r="N415"/>
      <c r="O415"/>
      <c r="P415"/>
      <c r="Q415"/>
      <c r="R415"/>
    </row>
    <row r="416" spans="2:18" ht="14.6" x14ac:dyDescent="0.4">
      <c r="B416"/>
      <c r="C416"/>
      <c r="D416"/>
      <c r="E416"/>
      <c r="F416"/>
      <c r="G416"/>
      <c r="H416"/>
      <c r="I416"/>
      <c r="J416"/>
      <c r="K416"/>
      <c r="L416"/>
      <c r="M416"/>
      <c r="N416"/>
      <c r="O416"/>
      <c r="P416"/>
      <c r="Q416"/>
      <c r="R416"/>
    </row>
    <row r="417" spans="2:18" ht="14.6" x14ac:dyDescent="0.4">
      <c r="B417"/>
      <c r="C417"/>
      <c r="D417"/>
      <c r="E417"/>
      <c r="F417"/>
      <c r="G417"/>
      <c r="H417"/>
      <c r="I417"/>
      <c r="J417"/>
      <c r="K417"/>
      <c r="L417"/>
      <c r="M417"/>
      <c r="N417"/>
      <c r="O417"/>
      <c r="P417"/>
      <c r="Q417"/>
      <c r="R417"/>
    </row>
    <row r="418" spans="2:18" ht="14.6" x14ac:dyDescent="0.4">
      <c r="B418"/>
      <c r="C418"/>
      <c r="D418"/>
      <c r="E418"/>
      <c r="F418"/>
      <c r="G418"/>
      <c r="H418"/>
      <c r="I418"/>
      <c r="J418"/>
      <c r="K418"/>
      <c r="L418"/>
      <c r="M418"/>
      <c r="N418"/>
      <c r="O418"/>
      <c r="P418"/>
      <c r="Q418"/>
      <c r="R418"/>
    </row>
    <row r="419" spans="2:18" ht="14.6" x14ac:dyDescent="0.4">
      <c r="B419"/>
      <c r="C419"/>
      <c r="D419"/>
      <c r="E419"/>
      <c r="F419"/>
      <c r="G419"/>
      <c r="H419"/>
      <c r="I419"/>
      <c r="J419"/>
      <c r="K419"/>
      <c r="L419"/>
      <c r="M419"/>
      <c r="N419"/>
      <c r="O419"/>
      <c r="P419"/>
      <c r="Q419"/>
      <c r="R419"/>
    </row>
    <row r="420" spans="2:18" ht="14.6" x14ac:dyDescent="0.4">
      <c r="B420"/>
      <c r="C420"/>
      <c r="D420"/>
      <c r="E420"/>
      <c r="F420"/>
      <c r="G420"/>
      <c r="H420"/>
      <c r="I420"/>
      <c r="J420"/>
      <c r="K420"/>
      <c r="L420"/>
      <c r="M420"/>
      <c r="N420"/>
      <c r="O420"/>
      <c r="P420"/>
      <c r="Q420"/>
      <c r="R420"/>
    </row>
    <row r="421" spans="2:18" ht="14.6" x14ac:dyDescent="0.4">
      <c r="B421"/>
      <c r="C421"/>
      <c r="D421"/>
      <c r="E421"/>
      <c r="F421"/>
      <c r="G421"/>
      <c r="H421"/>
      <c r="I421"/>
      <c r="J421"/>
      <c r="K421"/>
      <c r="L421"/>
      <c r="M421"/>
      <c r="N421"/>
      <c r="O421"/>
      <c r="P421"/>
      <c r="Q421"/>
      <c r="R421"/>
    </row>
    <row r="422" spans="2:18" ht="14.6" x14ac:dyDescent="0.4">
      <c r="B422"/>
      <c r="C422"/>
      <c r="D422"/>
      <c r="E422"/>
      <c r="F422"/>
      <c r="G422"/>
      <c r="H422"/>
      <c r="I422"/>
      <c r="J422"/>
      <c r="K422"/>
      <c r="L422"/>
      <c r="M422"/>
      <c r="N422"/>
      <c r="O422"/>
      <c r="P422"/>
      <c r="Q422"/>
      <c r="R422"/>
    </row>
    <row r="423" spans="2:18" ht="14.6" x14ac:dyDescent="0.4">
      <c r="B423"/>
      <c r="C423"/>
      <c r="D423"/>
      <c r="E423"/>
      <c r="F423"/>
      <c r="G423"/>
      <c r="H423"/>
      <c r="I423"/>
      <c r="J423"/>
      <c r="K423"/>
      <c r="L423"/>
      <c r="M423"/>
      <c r="N423"/>
      <c r="O423"/>
      <c r="P423"/>
      <c r="Q423"/>
      <c r="R423"/>
    </row>
    <row r="424" spans="2:18" ht="14.6" x14ac:dyDescent="0.4">
      <c r="B424"/>
      <c r="C424"/>
      <c r="D424"/>
      <c r="E424"/>
      <c r="F424"/>
      <c r="G424"/>
      <c r="H424"/>
      <c r="I424"/>
      <c r="J424"/>
      <c r="K424"/>
      <c r="L424"/>
      <c r="M424"/>
      <c r="N424"/>
      <c r="O424"/>
      <c r="P424"/>
      <c r="Q424"/>
      <c r="R424"/>
    </row>
    <row r="425" spans="2:18" ht="14.6" x14ac:dyDescent="0.4">
      <c r="B425"/>
      <c r="C425"/>
      <c r="D425"/>
      <c r="E425"/>
      <c r="F425"/>
      <c r="G425"/>
      <c r="H425"/>
      <c r="I425"/>
      <c r="J425"/>
      <c r="K425"/>
      <c r="L425"/>
      <c r="M425"/>
      <c r="N425"/>
      <c r="O425"/>
      <c r="P425"/>
      <c r="Q425"/>
      <c r="R425"/>
    </row>
    <row r="426" spans="2:18" ht="14.6" x14ac:dyDescent="0.4">
      <c r="B426"/>
      <c r="C426"/>
      <c r="D426"/>
      <c r="E426"/>
      <c r="F426"/>
      <c r="G426"/>
      <c r="H426"/>
      <c r="I426"/>
      <c r="J426"/>
      <c r="K426"/>
      <c r="L426"/>
      <c r="M426"/>
      <c r="N426"/>
      <c r="O426"/>
      <c r="P426"/>
      <c r="Q426"/>
      <c r="R426"/>
    </row>
    <row r="427" spans="2:18" ht="14.6" x14ac:dyDescent="0.4">
      <c r="B427"/>
      <c r="C427"/>
      <c r="D427"/>
      <c r="E427"/>
      <c r="F427"/>
      <c r="G427"/>
      <c r="H427"/>
      <c r="I427"/>
      <c r="J427"/>
      <c r="K427"/>
      <c r="L427"/>
      <c r="M427"/>
      <c r="N427"/>
      <c r="O427"/>
      <c r="P427"/>
      <c r="Q427"/>
      <c r="R427"/>
    </row>
    <row r="428" spans="2:18" ht="14.6" x14ac:dyDescent="0.4">
      <c r="B428"/>
      <c r="C428"/>
      <c r="D428"/>
      <c r="E428"/>
      <c r="F428"/>
      <c r="G428"/>
      <c r="H428"/>
      <c r="I428"/>
      <c r="J428"/>
      <c r="K428"/>
      <c r="L428"/>
      <c r="M428"/>
      <c r="N428"/>
      <c r="O428"/>
      <c r="P428"/>
      <c r="Q428"/>
      <c r="R428"/>
    </row>
    <row r="429" spans="2:18" ht="14.6" x14ac:dyDescent="0.4">
      <c r="B429"/>
      <c r="C429"/>
      <c r="D429"/>
      <c r="E429"/>
      <c r="F429"/>
      <c r="G429"/>
      <c r="H429"/>
      <c r="I429"/>
      <c r="J429"/>
      <c r="K429"/>
      <c r="L429"/>
      <c r="M429"/>
      <c r="N429"/>
      <c r="O429"/>
      <c r="P429"/>
      <c r="Q429"/>
      <c r="R429"/>
    </row>
    <row r="430" spans="2:18" ht="14.6" x14ac:dyDescent="0.4">
      <c r="B430"/>
      <c r="C430"/>
      <c r="D430"/>
      <c r="E430"/>
      <c r="F430"/>
      <c r="G430"/>
      <c r="H430"/>
      <c r="I430"/>
      <c r="J430"/>
      <c r="K430"/>
      <c r="L430"/>
      <c r="M430"/>
      <c r="N430"/>
      <c r="O430"/>
      <c r="P430"/>
      <c r="Q430"/>
      <c r="R430"/>
    </row>
    <row r="431" spans="2:18" ht="14.6" x14ac:dyDescent="0.4">
      <c r="B431"/>
      <c r="C431"/>
      <c r="D431"/>
      <c r="E431"/>
      <c r="F431"/>
      <c r="G431"/>
      <c r="H431"/>
      <c r="I431"/>
      <c r="J431"/>
      <c r="K431"/>
      <c r="L431"/>
      <c r="M431"/>
      <c r="N431"/>
      <c r="O431"/>
      <c r="P431"/>
      <c r="Q431"/>
      <c r="R431"/>
    </row>
    <row r="432" spans="2:18" ht="14.6" x14ac:dyDescent="0.4">
      <c r="B432"/>
      <c r="C432"/>
      <c r="D432"/>
      <c r="E432"/>
      <c r="F432"/>
      <c r="G432"/>
      <c r="H432"/>
      <c r="I432"/>
      <c r="J432"/>
      <c r="K432"/>
      <c r="L432"/>
      <c r="M432"/>
      <c r="N432"/>
      <c r="O432"/>
      <c r="P432"/>
      <c r="Q432"/>
      <c r="R432"/>
    </row>
    <row r="433" spans="2:18" ht="14.6" x14ac:dyDescent="0.4">
      <c r="B433"/>
      <c r="C433"/>
      <c r="D433"/>
      <c r="E433"/>
      <c r="F433"/>
      <c r="G433"/>
      <c r="H433"/>
      <c r="I433"/>
      <c r="J433"/>
      <c r="K433"/>
      <c r="L433"/>
      <c r="M433"/>
      <c r="N433"/>
      <c r="O433"/>
      <c r="P433"/>
      <c r="Q433"/>
      <c r="R433"/>
    </row>
    <row r="434" spans="2:18" ht="14.6" x14ac:dyDescent="0.4">
      <c r="B434"/>
      <c r="C434"/>
      <c r="D434"/>
      <c r="E434"/>
      <c r="F434"/>
      <c r="G434"/>
      <c r="H434"/>
      <c r="I434"/>
      <c r="J434"/>
      <c r="K434"/>
      <c r="L434"/>
      <c r="M434"/>
      <c r="N434"/>
      <c r="O434"/>
      <c r="P434"/>
      <c r="Q434"/>
      <c r="R434"/>
    </row>
    <row r="435" spans="2:18" ht="14.6" x14ac:dyDescent="0.4">
      <c r="B435"/>
      <c r="C435"/>
      <c r="D435"/>
      <c r="E435"/>
      <c r="F435"/>
      <c r="G435"/>
      <c r="H435"/>
      <c r="I435"/>
      <c r="J435"/>
      <c r="K435"/>
      <c r="L435"/>
      <c r="M435"/>
      <c r="N435"/>
      <c r="O435"/>
      <c r="P435"/>
      <c r="Q435"/>
      <c r="R435"/>
    </row>
    <row r="436" spans="2:18" ht="14.6" x14ac:dyDescent="0.4">
      <c r="B436"/>
      <c r="C436"/>
      <c r="D436"/>
      <c r="E436"/>
      <c r="F436"/>
      <c r="G436"/>
      <c r="H436"/>
      <c r="I436"/>
      <c r="J436"/>
      <c r="K436"/>
      <c r="L436"/>
      <c r="M436"/>
      <c r="N436"/>
      <c r="O436"/>
      <c r="P436"/>
      <c r="Q436"/>
      <c r="R436"/>
    </row>
    <row r="437" spans="2:18" ht="14.6" x14ac:dyDescent="0.4">
      <c r="B437"/>
      <c r="C437"/>
      <c r="D437"/>
      <c r="E437"/>
      <c r="F437"/>
      <c r="G437"/>
      <c r="H437"/>
      <c r="I437"/>
      <c r="J437"/>
      <c r="K437"/>
      <c r="L437"/>
      <c r="M437"/>
      <c r="N437"/>
      <c r="O437"/>
      <c r="P437"/>
      <c r="Q437"/>
      <c r="R437"/>
    </row>
    <row r="438" spans="2:18" ht="14.6" x14ac:dyDescent="0.4">
      <c r="B438"/>
      <c r="C438"/>
      <c r="D438"/>
      <c r="E438"/>
      <c r="F438"/>
      <c r="G438"/>
      <c r="H438"/>
      <c r="I438"/>
      <c r="J438"/>
      <c r="K438"/>
      <c r="L438"/>
      <c r="M438"/>
      <c r="N438"/>
      <c r="O438"/>
      <c r="P438"/>
      <c r="Q438"/>
      <c r="R438"/>
    </row>
    <row r="439" spans="2:18" ht="14.6" x14ac:dyDescent="0.4">
      <c r="B439"/>
      <c r="C439"/>
      <c r="D439"/>
      <c r="E439"/>
      <c r="F439"/>
      <c r="G439"/>
      <c r="H439"/>
      <c r="I439"/>
      <c r="J439"/>
      <c r="K439"/>
      <c r="L439"/>
      <c r="M439"/>
      <c r="N439"/>
      <c r="O439"/>
      <c r="P439"/>
      <c r="Q439"/>
      <c r="R439"/>
    </row>
    <row r="440" spans="2:18" ht="14.6" x14ac:dyDescent="0.4">
      <c r="B440"/>
      <c r="C440"/>
      <c r="D440"/>
      <c r="E440"/>
      <c r="F440"/>
      <c r="G440"/>
      <c r="H440"/>
      <c r="I440"/>
      <c r="J440"/>
      <c r="K440"/>
      <c r="L440"/>
      <c r="M440"/>
      <c r="N440"/>
      <c r="O440"/>
      <c r="P440"/>
      <c r="Q440"/>
      <c r="R440"/>
    </row>
    <row r="441" spans="2:18" ht="14.6" x14ac:dyDescent="0.4">
      <c r="B441"/>
      <c r="C441"/>
      <c r="D441"/>
      <c r="E441"/>
      <c r="F441"/>
      <c r="G441"/>
      <c r="H441"/>
      <c r="I441"/>
      <c r="J441"/>
      <c r="K441"/>
      <c r="L441"/>
      <c r="M441"/>
      <c r="N441"/>
      <c r="O441"/>
      <c r="P441"/>
      <c r="Q441"/>
      <c r="R441"/>
    </row>
    <row r="442" spans="2:18" ht="14.6" x14ac:dyDescent="0.4">
      <c r="B442"/>
      <c r="C442"/>
      <c r="D442"/>
      <c r="E442"/>
      <c r="F442"/>
      <c r="G442"/>
      <c r="H442"/>
      <c r="I442"/>
      <c r="J442"/>
      <c r="K442"/>
      <c r="L442"/>
      <c r="M442"/>
      <c r="N442"/>
      <c r="O442"/>
      <c r="P442"/>
      <c r="Q442"/>
      <c r="R442"/>
    </row>
    <row r="443" spans="2:18" ht="14.6" x14ac:dyDescent="0.4">
      <c r="B443"/>
      <c r="C443"/>
      <c r="D443"/>
      <c r="E443"/>
      <c r="F443"/>
      <c r="G443"/>
      <c r="H443"/>
      <c r="I443"/>
      <c r="J443"/>
      <c r="K443"/>
      <c r="L443"/>
      <c r="M443"/>
      <c r="N443"/>
      <c r="O443"/>
      <c r="P443"/>
      <c r="Q443"/>
      <c r="R443"/>
    </row>
    <row r="444" spans="2:18" ht="14.6" x14ac:dyDescent="0.4">
      <c r="B444"/>
      <c r="C444"/>
      <c r="D444"/>
      <c r="E444"/>
      <c r="F444"/>
      <c r="G444"/>
      <c r="H444"/>
      <c r="I444"/>
      <c r="J444"/>
      <c r="K444"/>
      <c r="L444"/>
      <c r="M444"/>
      <c r="N444"/>
      <c r="O444"/>
      <c r="P444"/>
      <c r="Q444"/>
      <c r="R444"/>
    </row>
    <row r="445" spans="2:18" ht="14.6" x14ac:dyDescent="0.4">
      <c r="B445"/>
      <c r="C445"/>
      <c r="D445"/>
      <c r="E445"/>
      <c r="F445"/>
      <c r="G445"/>
      <c r="H445"/>
      <c r="I445"/>
      <c r="J445"/>
      <c r="K445"/>
      <c r="L445"/>
      <c r="M445"/>
      <c r="N445"/>
      <c r="O445"/>
      <c r="P445"/>
      <c r="Q445"/>
      <c r="R445"/>
    </row>
    <row r="446" spans="2:18" ht="14.6" x14ac:dyDescent="0.4">
      <c r="B446"/>
      <c r="C446"/>
      <c r="D446"/>
      <c r="E446"/>
      <c r="F446"/>
      <c r="G446"/>
      <c r="H446"/>
      <c r="I446"/>
      <c r="J446"/>
      <c r="K446"/>
      <c r="L446"/>
      <c r="M446"/>
      <c r="N446"/>
      <c r="O446"/>
      <c r="P446"/>
      <c r="Q446"/>
      <c r="R446"/>
    </row>
    <row r="447" spans="2:18" ht="14.6" x14ac:dyDescent="0.4">
      <c r="B447"/>
      <c r="C447"/>
      <c r="D447"/>
      <c r="E447"/>
      <c r="F447"/>
      <c r="G447"/>
      <c r="H447"/>
      <c r="I447"/>
      <c r="J447"/>
      <c r="K447"/>
      <c r="L447"/>
      <c r="M447"/>
      <c r="N447"/>
      <c r="O447"/>
      <c r="P447"/>
      <c r="Q447"/>
      <c r="R447"/>
    </row>
    <row r="448" spans="2:18" ht="14.6" x14ac:dyDescent="0.4">
      <c r="B448"/>
      <c r="C448"/>
      <c r="D448"/>
      <c r="E448"/>
      <c r="F448"/>
      <c r="G448"/>
      <c r="H448"/>
      <c r="I448"/>
      <c r="J448"/>
      <c r="K448"/>
      <c r="L448"/>
      <c r="M448"/>
      <c r="N448"/>
      <c r="O448"/>
      <c r="P448"/>
      <c r="Q448"/>
      <c r="R448"/>
    </row>
    <row r="449" spans="2:18" ht="14.6" x14ac:dyDescent="0.4">
      <c r="B449"/>
      <c r="C449"/>
      <c r="D449"/>
      <c r="E449"/>
      <c r="F449"/>
      <c r="G449"/>
      <c r="H449"/>
      <c r="I449"/>
      <c r="J449"/>
      <c r="K449"/>
      <c r="L449"/>
      <c r="M449"/>
      <c r="N449"/>
      <c r="O449"/>
      <c r="P449"/>
      <c r="Q449"/>
      <c r="R449"/>
    </row>
    <row r="450" spans="2:18" ht="14.6" x14ac:dyDescent="0.4">
      <c r="B450"/>
      <c r="C450"/>
      <c r="D450"/>
      <c r="E450"/>
      <c r="F450"/>
      <c r="G450"/>
      <c r="H450"/>
      <c r="I450"/>
      <c r="J450"/>
      <c r="K450"/>
      <c r="L450"/>
      <c r="M450"/>
      <c r="N450"/>
      <c r="O450"/>
      <c r="P450"/>
      <c r="Q450"/>
      <c r="R450"/>
    </row>
    <row r="451" spans="2:18" ht="14.6" x14ac:dyDescent="0.4">
      <c r="B451"/>
      <c r="C451"/>
      <c r="D451"/>
      <c r="E451"/>
      <c r="F451"/>
      <c r="G451"/>
      <c r="H451"/>
      <c r="I451"/>
      <c r="J451"/>
      <c r="K451"/>
      <c r="L451"/>
      <c r="M451"/>
      <c r="N451"/>
      <c r="O451"/>
      <c r="P451"/>
      <c r="Q451"/>
      <c r="R451"/>
    </row>
    <row r="452" spans="2:18" ht="14.6" x14ac:dyDescent="0.4">
      <c r="B452"/>
      <c r="C452"/>
      <c r="D452"/>
      <c r="E452"/>
      <c r="F452"/>
      <c r="G452"/>
      <c r="H452"/>
      <c r="I452"/>
      <c r="J452"/>
      <c r="K452"/>
      <c r="L452"/>
      <c r="M452"/>
      <c r="N452"/>
      <c r="O452"/>
      <c r="P452"/>
      <c r="Q452"/>
      <c r="R452"/>
    </row>
    <row r="453" spans="2:18" ht="14.6" x14ac:dyDescent="0.4">
      <c r="B453"/>
      <c r="C453"/>
      <c r="D453"/>
      <c r="E453"/>
      <c r="F453"/>
      <c r="G453"/>
      <c r="H453"/>
      <c r="I453"/>
      <c r="J453"/>
      <c r="K453"/>
      <c r="L453"/>
      <c r="M453"/>
      <c r="N453"/>
      <c r="O453"/>
      <c r="P453"/>
      <c r="Q453"/>
      <c r="R453"/>
    </row>
    <row r="454" spans="2:18" ht="14.6" x14ac:dyDescent="0.4">
      <c r="B454"/>
      <c r="C454"/>
      <c r="D454"/>
      <c r="E454"/>
      <c r="F454"/>
      <c r="G454"/>
      <c r="H454"/>
      <c r="I454"/>
      <c r="J454"/>
      <c r="K454"/>
      <c r="L454"/>
      <c r="M454"/>
      <c r="N454"/>
      <c r="O454"/>
      <c r="P454"/>
      <c r="Q454"/>
      <c r="R454"/>
    </row>
    <row r="455" spans="2:18" ht="14.6" x14ac:dyDescent="0.4">
      <c r="B455"/>
      <c r="C455"/>
      <c r="D455"/>
      <c r="E455"/>
      <c r="F455"/>
      <c r="G455"/>
      <c r="H455"/>
      <c r="I455"/>
      <c r="J455"/>
      <c r="K455"/>
      <c r="L455"/>
      <c r="M455"/>
      <c r="N455"/>
      <c r="O455"/>
      <c r="P455"/>
      <c r="Q455"/>
      <c r="R455"/>
    </row>
    <row r="456" spans="2:18" ht="14.6" x14ac:dyDescent="0.4">
      <c r="B456"/>
      <c r="C456"/>
      <c r="D456"/>
      <c r="E456"/>
      <c r="F456"/>
      <c r="G456"/>
      <c r="H456"/>
      <c r="I456"/>
      <c r="J456"/>
      <c r="K456"/>
      <c r="L456"/>
      <c r="M456"/>
      <c r="N456"/>
      <c r="O456"/>
      <c r="P456"/>
      <c r="Q456"/>
      <c r="R456"/>
    </row>
    <row r="457" spans="2:18" ht="14.6" x14ac:dyDescent="0.4">
      <c r="B457"/>
      <c r="C457"/>
      <c r="D457"/>
      <c r="E457"/>
      <c r="F457"/>
      <c r="G457"/>
      <c r="H457"/>
      <c r="I457"/>
      <c r="J457"/>
      <c r="K457"/>
      <c r="L457"/>
      <c r="M457"/>
      <c r="N457"/>
      <c r="O457"/>
      <c r="P457"/>
      <c r="Q457"/>
      <c r="R457"/>
    </row>
    <row r="458" spans="2:18" ht="14.6" x14ac:dyDescent="0.4">
      <c r="B458"/>
      <c r="C458"/>
      <c r="D458"/>
      <c r="E458"/>
      <c r="F458"/>
      <c r="G458"/>
      <c r="H458"/>
      <c r="I458"/>
      <c r="J458"/>
      <c r="K458"/>
      <c r="L458"/>
      <c r="M458"/>
      <c r="N458"/>
      <c r="O458"/>
      <c r="P458"/>
      <c r="Q458"/>
      <c r="R458"/>
    </row>
    <row r="459" spans="2:18" ht="14.6" x14ac:dyDescent="0.4">
      <c r="B459"/>
      <c r="C459"/>
      <c r="D459"/>
      <c r="E459"/>
      <c r="F459"/>
      <c r="G459"/>
      <c r="H459"/>
      <c r="I459"/>
      <c r="J459"/>
      <c r="K459"/>
      <c r="L459"/>
      <c r="M459"/>
      <c r="N459"/>
      <c r="O459"/>
      <c r="P459"/>
      <c r="Q459"/>
      <c r="R459"/>
    </row>
    <row r="460" spans="2:18" ht="14.6" x14ac:dyDescent="0.4">
      <c r="B460"/>
      <c r="C460"/>
      <c r="D460"/>
      <c r="E460"/>
      <c r="F460"/>
      <c r="G460"/>
      <c r="H460"/>
      <c r="I460"/>
      <c r="J460"/>
      <c r="K460"/>
      <c r="L460"/>
      <c r="M460"/>
      <c r="N460"/>
      <c r="O460"/>
      <c r="P460"/>
      <c r="Q460"/>
      <c r="R460"/>
    </row>
    <row r="461" spans="2:18" ht="14.6" x14ac:dyDescent="0.4">
      <c r="B461"/>
      <c r="C461"/>
      <c r="D461"/>
      <c r="E461"/>
      <c r="F461"/>
      <c r="G461"/>
      <c r="H461"/>
      <c r="I461"/>
      <c r="J461"/>
      <c r="K461"/>
      <c r="L461"/>
      <c r="M461"/>
      <c r="N461"/>
      <c r="O461"/>
      <c r="P461"/>
      <c r="Q461"/>
      <c r="R461"/>
    </row>
    <row r="462" spans="2:18" ht="14.6" x14ac:dyDescent="0.4">
      <c r="B462"/>
      <c r="C462"/>
      <c r="D462"/>
      <c r="E462"/>
      <c r="F462"/>
      <c r="G462"/>
      <c r="H462"/>
      <c r="I462"/>
      <c r="J462"/>
      <c r="K462"/>
      <c r="L462"/>
      <c r="M462"/>
      <c r="N462"/>
      <c r="O462"/>
      <c r="P462"/>
      <c r="Q462"/>
      <c r="R462"/>
    </row>
    <row r="463" spans="2:18" ht="14.6" x14ac:dyDescent="0.4">
      <c r="B463"/>
      <c r="C463"/>
      <c r="D463"/>
      <c r="E463"/>
      <c r="F463"/>
      <c r="G463"/>
      <c r="H463"/>
      <c r="I463"/>
      <c r="J463"/>
      <c r="K463"/>
      <c r="L463"/>
      <c r="M463"/>
      <c r="N463"/>
      <c r="O463"/>
      <c r="P463"/>
      <c r="Q463"/>
      <c r="R463"/>
    </row>
    <row r="464" spans="2:18" ht="14.6" x14ac:dyDescent="0.4">
      <c r="B464"/>
      <c r="C464"/>
      <c r="D464"/>
      <c r="E464"/>
      <c r="F464"/>
      <c r="G464"/>
      <c r="H464"/>
      <c r="I464"/>
      <c r="J464"/>
      <c r="K464"/>
      <c r="L464"/>
      <c r="M464"/>
      <c r="N464"/>
      <c r="O464"/>
      <c r="P464"/>
      <c r="Q464"/>
      <c r="R464"/>
    </row>
    <row r="465" spans="2:18" ht="14.6" x14ac:dyDescent="0.4">
      <c r="B465"/>
      <c r="C465"/>
      <c r="D465"/>
      <c r="E465"/>
      <c r="F465"/>
      <c r="G465"/>
      <c r="H465"/>
      <c r="I465"/>
      <c r="J465"/>
      <c r="K465"/>
      <c r="L465"/>
      <c r="M465"/>
      <c r="N465"/>
      <c r="O465"/>
      <c r="P465"/>
      <c r="Q465"/>
      <c r="R465"/>
    </row>
    <row r="466" spans="2:18" ht="14.6" x14ac:dyDescent="0.4">
      <c r="B466"/>
      <c r="C466"/>
      <c r="D466"/>
      <c r="E466"/>
      <c r="F466"/>
      <c r="G466"/>
      <c r="H466"/>
      <c r="I466"/>
      <c r="J466"/>
      <c r="K466"/>
      <c r="L466"/>
      <c r="M466"/>
      <c r="N466"/>
      <c r="O466"/>
      <c r="P466"/>
      <c r="Q466"/>
      <c r="R466"/>
    </row>
    <row r="467" spans="2:18" ht="14.6" x14ac:dyDescent="0.4">
      <c r="B467"/>
      <c r="C467"/>
      <c r="D467"/>
      <c r="E467"/>
      <c r="F467"/>
      <c r="G467"/>
      <c r="H467"/>
      <c r="I467"/>
      <c r="J467"/>
      <c r="K467"/>
      <c r="L467"/>
      <c r="M467"/>
      <c r="N467"/>
      <c r="O467"/>
      <c r="P467"/>
      <c r="Q467"/>
      <c r="R467"/>
    </row>
    <row r="468" spans="2:18" ht="14.6" x14ac:dyDescent="0.4">
      <c r="B468"/>
      <c r="C468"/>
      <c r="D468"/>
      <c r="E468"/>
      <c r="F468"/>
      <c r="G468"/>
      <c r="H468"/>
      <c r="I468"/>
      <c r="J468"/>
      <c r="K468"/>
      <c r="L468"/>
      <c r="M468"/>
      <c r="N468"/>
      <c r="O468"/>
      <c r="P468"/>
      <c r="Q468"/>
      <c r="R468"/>
    </row>
    <row r="469" spans="2:18" ht="14.6" x14ac:dyDescent="0.4">
      <c r="B469"/>
      <c r="C469"/>
      <c r="D469"/>
      <c r="E469"/>
      <c r="F469"/>
      <c r="G469"/>
      <c r="H469"/>
      <c r="I469"/>
      <c r="J469"/>
      <c r="K469"/>
      <c r="L469"/>
      <c r="M469"/>
      <c r="N469"/>
      <c r="O469"/>
      <c r="P469"/>
      <c r="Q469"/>
      <c r="R469"/>
    </row>
    <row r="470" spans="2:18" ht="14.6" x14ac:dyDescent="0.4">
      <c r="B470"/>
      <c r="C470"/>
      <c r="D470"/>
      <c r="E470"/>
      <c r="F470"/>
      <c r="G470"/>
      <c r="H470"/>
      <c r="I470"/>
      <c r="J470"/>
      <c r="K470"/>
      <c r="L470"/>
      <c r="M470"/>
      <c r="N470"/>
      <c r="O470"/>
      <c r="P470"/>
      <c r="Q470"/>
      <c r="R470"/>
    </row>
    <row r="471" spans="2:18" ht="14.6" x14ac:dyDescent="0.4">
      <c r="B471"/>
      <c r="C471"/>
      <c r="D471"/>
      <c r="E471"/>
      <c r="F471"/>
      <c r="G471"/>
      <c r="H471"/>
      <c r="I471"/>
      <c r="J471"/>
      <c r="K471"/>
      <c r="L471"/>
      <c r="M471"/>
      <c r="N471"/>
      <c r="O471"/>
      <c r="P471"/>
      <c r="Q471"/>
      <c r="R471"/>
    </row>
    <row r="472" spans="2:18" ht="14.6" x14ac:dyDescent="0.4">
      <c r="B472"/>
      <c r="C472"/>
      <c r="D472"/>
      <c r="E472"/>
      <c r="F472"/>
      <c r="G472"/>
      <c r="H472"/>
      <c r="I472"/>
      <c r="J472"/>
      <c r="K472"/>
      <c r="L472"/>
      <c r="M472"/>
      <c r="N472"/>
      <c r="O472"/>
      <c r="P472"/>
      <c r="Q472"/>
      <c r="R472"/>
    </row>
    <row r="473" spans="2:18" ht="14.6" x14ac:dyDescent="0.4">
      <c r="B473"/>
      <c r="C473"/>
      <c r="D473"/>
      <c r="E473"/>
      <c r="F473"/>
      <c r="G473"/>
      <c r="H473"/>
      <c r="I473"/>
      <c r="J473"/>
      <c r="K473"/>
      <c r="L473"/>
      <c r="M473"/>
      <c r="N473"/>
      <c r="O473"/>
      <c r="P473"/>
      <c r="Q473"/>
      <c r="R473"/>
    </row>
    <row r="474" spans="2:18" ht="14.6" x14ac:dyDescent="0.4">
      <c r="B474"/>
      <c r="C474"/>
      <c r="D474"/>
      <c r="E474"/>
      <c r="F474"/>
      <c r="G474"/>
      <c r="H474"/>
      <c r="I474"/>
      <c r="J474"/>
      <c r="K474"/>
      <c r="L474"/>
      <c r="M474"/>
      <c r="N474"/>
      <c r="O474"/>
      <c r="P474"/>
      <c r="Q474"/>
      <c r="R474"/>
    </row>
    <row r="475" spans="2:18" ht="14.6" x14ac:dyDescent="0.4">
      <c r="B475"/>
      <c r="C475"/>
      <c r="D475"/>
      <c r="E475"/>
      <c r="F475"/>
      <c r="G475"/>
      <c r="H475"/>
      <c r="I475"/>
      <c r="J475"/>
      <c r="K475"/>
      <c r="L475"/>
      <c r="M475"/>
      <c r="N475"/>
      <c r="O475"/>
      <c r="P475"/>
      <c r="Q475"/>
      <c r="R475"/>
    </row>
    <row r="476" spans="2:18" ht="14.6" x14ac:dyDescent="0.4">
      <c r="B476"/>
      <c r="C476"/>
      <c r="D476"/>
      <c r="E476"/>
      <c r="F476"/>
      <c r="G476"/>
      <c r="H476"/>
      <c r="I476"/>
      <c r="J476"/>
      <c r="K476"/>
      <c r="L476"/>
      <c r="M476"/>
      <c r="N476"/>
      <c r="O476"/>
      <c r="P476"/>
      <c r="Q476"/>
      <c r="R476"/>
    </row>
    <row r="477" spans="2:18" ht="14.6" x14ac:dyDescent="0.4">
      <c r="B477"/>
      <c r="C477"/>
      <c r="D477"/>
      <c r="E477"/>
      <c r="F477"/>
      <c r="G477"/>
      <c r="H477"/>
      <c r="I477"/>
      <c r="J477"/>
      <c r="K477"/>
      <c r="L477"/>
      <c r="M477"/>
      <c r="N477"/>
      <c r="O477"/>
      <c r="P477"/>
      <c r="Q477"/>
      <c r="R477"/>
    </row>
    <row r="478" spans="2:18" ht="14.6" x14ac:dyDescent="0.4">
      <c r="B478"/>
      <c r="C478"/>
      <c r="D478"/>
      <c r="E478"/>
      <c r="F478"/>
      <c r="G478"/>
      <c r="H478"/>
      <c r="I478"/>
      <c r="J478"/>
      <c r="K478"/>
      <c r="L478"/>
      <c r="M478"/>
      <c r="N478"/>
      <c r="O478"/>
      <c r="P478"/>
      <c r="Q478"/>
      <c r="R478"/>
    </row>
    <row r="479" spans="2:18" ht="14.6" x14ac:dyDescent="0.4">
      <c r="B479"/>
      <c r="C479"/>
      <c r="D479"/>
      <c r="E479"/>
      <c r="F479"/>
      <c r="G479"/>
      <c r="H479"/>
      <c r="I479"/>
      <c r="J479"/>
      <c r="K479"/>
      <c r="L479"/>
      <c r="M479"/>
      <c r="N479"/>
      <c r="O479"/>
      <c r="P479"/>
      <c r="Q479"/>
      <c r="R479"/>
    </row>
    <row r="480" spans="2:18" ht="14.6" x14ac:dyDescent="0.4">
      <c r="B480"/>
      <c r="C480"/>
      <c r="D480"/>
      <c r="E480"/>
      <c r="F480"/>
      <c r="G480"/>
      <c r="H480"/>
      <c r="I480"/>
      <c r="J480"/>
      <c r="K480"/>
      <c r="L480"/>
      <c r="M480"/>
      <c r="N480"/>
      <c r="O480"/>
      <c r="P480"/>
      <c r="Q480"/>
      <c r="R480"/>
    </row>
    <row r="481" spans="2:18" ht="14.6" x14ac:dyDescent="0.4">
      <c r="B481"/>
      <c r="C481"/>
      <c r="D481"/>
      <c r="E481"/>
      <c r="F481"/>
      <c r="G481"/>
      <c r="H481"/>
      <c r="I481"/>
      <c r="J481"/>
      <c r="K481"/>
      <c r="L481"/>
      <c r="M481"/>
      <c r="N481"/>
      <c r="O481"/>
      <c r="P481"/>
      <c r="Q481"/>
      <c r="R481"/>
    </row>
    <row r="482" spans="2:18" ht="14.6" x14ac:dyDescent="0.4">
      <c r="B482"/>
      <c r="C482"/>
      <c r="D482"/>
      <c r="E482"/>
      <c r="F482"/>
      <c r="G482"/>
      <c r="H482"/>
      <c r="I482"/>
      <c r="J482"/>
      <c r="K482"/>
      <c r="L482"/>
      <c r="M482"/>
      <c r="N482"/>
      <c r="O482"/>
      <c r="P482"/>
      <c r="Q482"/>
      <c r="R482"/>
    </row>
    <row r="483" spans="2:18" ht="14.6" x14ac:dyDescent="0.4">
      <c r="B483"/>
      <c r="C483"/>
      <c r="D483"/>
      <c r="E483"/>
      <c r="F483"/>
      <c r="G483"/>
      <c r="H483"/>
      <c r="I483"/>
      <c r="J483"/>
      <c r="K483"/>
      <c r="L483"/>
      <c r="M483"/>
      <c r="N483"/>
      <c r="O483"/>
      <c r="P483"/>
      <c r="Q483"/>
      <c r="R483"/>
    </row>
    <row r="484" spans="2:18" ht="14.6" x14ac:dyDescent="0.4">
      <c r="B484"/>
      <c r="C484"/>
      <c r="D484"/>
      <c r="E484"/>
      <c r="F484"/>
      <c r="G484"/>
      <c r="H484"/>
      <c r="I484"/>
      <c r="J484"/>
      <c r="K484"/>
      <c r="L484"/>
      <c r="M484"/>
      <c r="N484"/>
      <c r="O484"/>
      <c r="P484"/>
      <c r="Q484"/>
      <c r="R484"/>
    </row>
    <row r="485" spans="2:18" ht="14.6" x14ac:dyDescent="0.4">
      <c r="B485"/>
      <c r="C485"/>
      <c r="D485"/>
      <c r="E485"/>
      <c r="F485"/>
      <c r="G485"/>
      <c r="H485"/>
      <c r="I485"/>
      <c r="J485"/>
      <c r="K485"/>
      <c r="L485"/>
      <c r="M485"/>
      <c r="N485"/>
      <c r="O485"/>
      <c r="P485"/>
      <c r="Q485"/>
      <c r="R485"/>
    </row>
    <row r="486" spans="2:18" ht="14.6" x14ac:dyDescent="0.4">
      <c r="B486"/>
      <c r="C486"/>
      <c r="D486"/>
      <c r="E486"/>
      <c r="F486"/>
      <c r="G486"/>
      <c r="H486"/>
      <c r="I486"/>
      <c r="J486"/>
      <c r="K486"/>
      <c r="L486"/>
      <c r="M486"/>
      <c r="N486"/>
      <c r="O486"/>
      <c r="P486"/>
      <c r="Q486"/>
      <c r="R486"/>
    </row>
    <row r="487" spans="2:18" ht="14.6" x14ac:dyDescent="0.4">
      <c r="B487"/>
      <c r="C487"/>
      <c r="D487"/>
      <c r="E487"/>
      <c r="F487"/>
      <c r="G487"/>
      <c r="H487"/>
      <c r="I487"/>
      <c r="J487"/>
      <c r="K487"/>
      <c r="L487"/>
      <c r="M487"/>
      <c r="N487"/>
      <c r="O487"/>
      <c r="P487"/>
      <c r="Q487"/>
      <c r="R487"/>
    </row>
    <row r="488" spans="2:18" ht="14.6" x14ac:dyDescent="0.4">
      <c r="B488"/>
      <c r="C488"/>
      <c r="D488"/>
      <c r="E488"/>
      <c r="F488"/>
      <c r="G488"/>
      <c r="H488"/>
      <c r="I488"/>
      <c r="J488"/>
      <c r="K488"/>
      <c r="L488"/>
      <c r="M488"/>
      <c r="N488"/>
      <c r="O488"/>
      <c r="P488"/>
      <c r="Q488"/>
      <c r="R488"/>
    </row>
    <row r="489" spans="2:18" ht="14.6" x14ac:dyDescent="0.4">
      <c r="B489"/>
      <c r="C489"/>
      <c r="D489"/>
      <c r="E489"/>
      <c r="F489"/>
      <c r="G489"/>
      <c r="H489"/>
      <c r="I489"/>
      <c r="J489"/>
      <c r="K489"/>
      <c r="L489"/>
      <c r="M489"/>
      <c r="N489"/>
      <c r="O489"/>
      <c r="P489"/>
      <c r="Q489"/>
      <c r="R489"/>
    </row>
    <row r="490" spans="2:18" ht="14.6" x14ac:dyDescent="0.4">
      <c r="B490"/>
      <c r="C490"/>
      <c r="D490"/>
      <c r="E490"/>
      <c r="F490"/>
      <c r="G490"/>
      <c r="H490"/>
      <c r="I490"/>
      <c r="J490"/>
      <c r="K490"/>
      <c r="L490"/>
      <c r="M490"/>
      <c r="N490"/>
      <c r="O490"/>
      <c r="P490"/>
      <c r="Q490"/>
      <c r="R490"/>
    </row>
    <row r="491" spans="2:18" ht="14.6" x14ac:dyDescent="0.4">
      <c r="B491"/>
      <c r="C491"/>
      <c r="D491"/>
      <c r="E491"/>
      <c r="F491"/>
      <c r="G491"/>
      <c r="H491"/>
      <c r="I491"/>
      <c r="J491"/>
      <c r="K491"/>
      <c r="L491"/>
      <c r="M491"/>
      <c r="N491"/>
      <c r="O491"/>
      <c r="P491"/>
      <c r="Q491"/>
      <c r="R491"/>
    </row>
    <row r="492" spans="2:18" ht="14.6" x14ac:dyDescent="0.4">
      <c r="B492"/>
      <c r="C492"/>
      <c r="D492"/>
      <c r="E492"/>
      <c r="F492"/>
      <c r="G492"/>
      <c r="H492"/>
      <c r="I492"/>
      <c r="J492"/>
      <c r="K492"/>
      <c r="L492"/>
      <c r="M492"/>
      <c r="N492"/>
      <c r="O492"/>
      <c r="P492"/>
      <c r="Q492"/>
      <c r="R492"/>
    </row>
    <row r="493" spans="2:18" ht="14.6" x14ac:dyDescent="0.4">
      <c r="B493"/>
      <c r="C493"/>
      <c r="D493"/>
      <c r="E493"/>
      <c r="F493"/>
      <c r="G493"/>
      <c r="H493"/>
      <c r="I493"/>
      <c r="J493"/>
      <c r="K493"/>
      <c r="L493"/>
      <c r="M493"/>
      <c r="N493"/>
      <c r="O493"/>
      <c r="P493"/>
      <c r="Q493"/>
      <c r="R493"/>
    </row>
    <row r="494" spans="2:18" ht="14.6" x14ac:dyDescent="0.4">
      <c r="B494"/>
      <c r="C494"/>
      <c r="D494"/>
      <c r="E494"/>
      <c r="F494"/>
      <c r="G494"/>
      <c r="H494"/>
      <c r="I494"/>
      <c r="J494"/>
      <c r="K494"/>
      <c r="L494"/>
      <c r="M494"/>
      <c r="N494"/>
      <c r="O494"/>
      <c r="P494"/>
      <c r="Q494"/>
      <c r="R494"/>
    </row>
    <row r="495" spans="2:18" ht="14.6" x14ac:dyDescent="0.4">
      <c r="B495"/>
      <c r="C495"/>
      <c r="D495"/>
      <c r="E495"/>
      <c r="F495"/>
      <c r="G495"/>
      <c r="H495"/>
      <c r="I495"/>
      <c r="J495"/>
      <c r="K495"/>
      <c r="L495"/>
      <c r="M495"/>
      <c r="N495"/>
      <c r="O495"/>
      <c r="P495"/>
      <c r="Q495"/>
      <c r="R495"/>
    </row>
    <row r="496" spans="2:18" ht="14.6" x14ac:dyDescent="0.4">
      <c r="B496"/>
      <c r="C496"/>
      <c r="D496"/>
      <c r="E496"/>
      <c r="F496"/>
      <c r="G496"/>
      <c r="H496"/>
      <c r="I496"/>
      <c r="J496"/>
      <c r="K496"/>
      <c r="L496"/>
      <c r="M496"/>
      <c r="N496"/>
      <c r="O496"/>
      <c r="P496"/>
      <c r="Q496"/>
      <c r="R496"/>
    </row>
    <row r="497" spans="2:18" ht="14.6" x14ac:dyDescent="0.4">
      <c r="B497"/>
      <c r="C497"/>
      <c r="D497"/>
      <c r="E497"/>
      <c r="F497"/>
      <c r="G497"/>
      <c r="H497"/>
      <c r="I497"/>
      <c r="J497"/>
      <c r="K497"/>
      <c r="L497"/>
      <c r="M497"/>
      <c r="N497"/>
      <c r="O497"/>
      <c r="P497"/>
      <c r="Q497"/>
      <c r="R497"/>
    </row>
    <row r="498" spans="2:18" ht="14.6" x14ac:dyDescent="0.4">
      <c r="B498"/>
      <c r="C498"/>
      <c r="D498"/>
      <c r="E498"/>
      <c r="F498"/>
      <c r="G498"/>
      <c r="H498"/>
      <c r="I498"/>
      <c r="J498"/>
      <c r="K498"/>
      <c r="L498"/>
      <c r="M498"/>
      <c r="N498"/>
      <c r="O498"/>
      <c r="P498"/>
      <c r="Q498"/>
      <c r="R498"/>
    </row>
    <row r="499" spans="2:18" ht="14.6" x14ac:dyDescent="0.4">
      <c r="B499"/>
      <c r="C499"/>
      <c r="D499"/>
      <c r="E499"/>
      <c r="F499"/>
      <c r="G499"/>
      <c r="H499"/>
      <c r="I499"/>
      <c r="J499"/>
      <c r="K499"/>
      <c r="L499"/>
      <c r="M499"/>
      <c r="N499"/>
      <c r="O499"/>
      <c r="P499"/>
      <c r="Q499"/>
      <c r="R499"/>
    </row>
    <row r="500" spans="2:18" ht="14.6" x14ac:dyDescent="0.4">
      <c r="B500"/>
      <c r="C500"/>
      <c r="D500"/>
      <c r="E500"/>
      <c r="F500"/>
      <c r="G500"/>
      <c r="H500"/>
      <c r="I500"/>
      <c r="J500"/>
      <c r="K500"/>
      <c r="L500"/>
      <c r="M500"/>
      <c r="N500"/>
      <c r="O500"/>
      <c r="P500"/>
      <c r="Q500"/>
      <c r="R500"/>
    </row>
    <row r="501" spans="2:18" ht="14.6" x14ac:dyDescent="0.4">
      <c r="B501"/>
      <c r="C501"/>
      <c r="D501"/>
      <c r="E501"/>
      <c r="F501"/>
      <c r="G501"/>
      <c r="H501"/>
      <c r="I501"/>
      <c r="J501"/>
      <c r="K501"/>
      <c r="L501"/>
      <c r="M501"/>
      <c r="N501"/>
      <c r="O501"/>
      <c r="P501"/>
      <c r="Q501"/>
      <c r="R501"/>
    </row>
    <row r="502" spans="2:18" ht="14.6" x14ac:dyDescent="0.4">
      <c r="B502"/>
      <c r="C502"/>
      <c r="D502"/>
      <c r="E502"/>
      <c r="F502"/>
      <c r="G502"/>
      <c r="H502"/>
      <c r="I502"/>
      <c r="J502"/>
      <c r="K502"/>
      <c r="L502"/>
      <c r="M502"/>
      <c r="N502"/>
      <c r="O502"/>
      <c r="P502"/>
      <c r="Q502"/>
      <c r="R502"/>
    </row>
    <row r="503" spans="2:18" ht="14.6" x14ac:dyDescent="0.4">
      <c r="B503"/>
      <c r="C503"/>
      <c r="D503"/>
      <c r="E503"/>
      <c r="F503"/>
      <c r="G503"/>
      <c r="H503"/>
      <c r="I503"/>
      <c r="J503"/>
      <c r="K503"/>
      <c r="L503"/>
      <c r="M503"/>
      <c r="N503"/>
      <c r="O503"/>
      <c r="P503"/>
      <c r="Q503"/>
      <c r="R503"/>
    </row>
  </sheetData>
  <mergeCells count="2">
    <mergeCell ref="B1:K1"/>
    <mergeCell ref="B2:K2"/>
  </mergeCells>
  <conditionalFormatting sqref="B4:C1048576">
    <cfRule type="notContainsBlanks" dxfId="21" priority="12">
      <formula>LEN(TRIM(B4))&gt;0</formula>
    </cfRule>
  </conditionalFormatting>
  <conditionalFormatting sqref="H5:H1048576">
    <cfRule type="cellIs" dxfId="20" priority="7" operator="equal">
      <formula>"N"</formula>
    </cfRule>
  </conditionalFormatting>
  <conditionalFormatting sqref="B5:K1048576">
    <cfRule type="expression" dxfId="19" priority="74">
      <formula>IF(AND($C5=0,NOT(ISBLANK($C5))),TRUE,FALSE)</formula>
    </cfRule>
  </conditionalFormatting>
  <conditionalFormatting sqref="I5:I1048576">
    <cfRule type="expression" dxfId="18" priority="75">
      <formula>IF(ISNUMBER($C5),TRUE,FALSE)</formula>
    </cfRule>
  </conditionalFormatting>
  <conditionalFormatting sqref="G5:G1048576">
    <cfRule type="expression" dxfId="17" priority="76">
      <formula>IF($C5=3,TRUE,FALSE)</formula>
    </cfRule>
  </conditionalFormatting>
  <conditionalFormatting sqref="F5:F1048576">
    <cfRule type="expression" dxfId="16" priority="77">
      <formula>IF($C5=2,TRUE,FALSE)</formula>
    </cfRule>
  </conditionalFormatting>
  <conditionalFormatting sqref="E5:E1048576">
    <cfRule type="expression" dxfId="15" priority="78">
      <formula>IF($C5=1,TRUE,FALSE)</formula>
    </cfRule>
  </conditionalFormatting>
  <conditionalFormatting sqref="H5:I1048576">
    <cfRule type="cellIs" dxfId="14" priority="5" operator="equal">
      <formula>"(blank)"</formula>
    </cfRule>
    <cfRule type="cellIs" dxfId="13" priority="6" operator="equal">
      <formula>"Y"</formula>
    </cfRule>
  </conditionalFormatting>
  <conditionalFormatting sqref="J5:K1048576">
    <cfRule type="cellIs" dxfId="12" priority="8" operator="notEqual">
      <formula>0</formula>
    </cfRule>
    <cfRule type="cellIs" dxfId="11" priority="9" operator="equal">
      <formula>0</formula>
    </cfRule>
  </conditionalFormatting>
  <pageMargins left="0.70866141732283472" right="0.70866141732283472" top="0.74803149606299213" bottom="0.74803149606299213" header="0.31496062992125984" footer="0.31496062992125984"/>
  <pageSetup orientation="portrait" r:id="rId2"/>
  <headerFooter>
    <oddHeader>&amp;L                  &amp;G</oddHeader>
    <oddFooter>&amp;L&amp;"DM Sans,Regular"&amp;8&amp;K1D1765© 2023 WiseTech Global&amp;C&amp;"DM Sans,Regular"&amp;8&amp;K1D1765CargoWise One STL Price List&amp;R&amp;"DM Sans,Regular"&amp;8&amp;K1D1765Page &amp;P</oddFooter>
  </headerFooter>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D044-6A50-4C82-84A2-C66FB92D6FF5}">
  <sheetPr codeName="Sheet13"/>
  <dimension ref="B1:I4"/>
  <sheetViews>
    <sheetView workbookViewId="0">
      <selection activeCell="X43" sqref="X43"/>
    </sheetView>
  </sheetViews>
  <sheetFormatPr defaultColWidth="9.15234375" defaultRowHeight="14.6" x14ac:dyDescent="0.4"/>
  <cols>
    <col min="1" max="1" width="0.23046875" style="105" customWidth="1"/>
    <col min="2" max="16384" width="9.15234375" style="105"/>
  </cols>
  <sheetData>
    <row r="1" spans="2:9" x14ac:dyDescent="0.4">
      <c r="E1" s="106"/>
    </row>
    <row r="2" spans="2:9" x14ac:dyDescent="0.4">
      <c r="B2" s="195" t="s">
        <v>741</v>
      </c>
      <c r="C2" s="167"/>
      <c r="D2" s="168"/>
      <c r="E2" s="116"/>
      <c r="F2" s="118"/>
      <c r="G2" s="116"/>
      <c r="H2" s="119"/>
      <c r="I2" s="117"/>
    </row>
    <row r="3" spans="2:9" x14ac:dyDescent="0.4">
      <c r="B3" s="196"/>
      <c r="C3" s="169" t="s">
        <v>865</v>
      </c>
      <c r="D3" s="168"/>
      <c r="E3" s="117"/>
      <c r="F3" s="120"/>
      <c r="G3" s="116"/>
      <c r="H3" s="117"/>
      <c r="I3" s="117"/>
    </row>
    <row r="4" spans="2:9" x14ac:dyDescent="0.4">
      <c r="C4" s="117" t="s">
        <v>866</v>
      </c>
    </row>
  </sheetData>
  <conditionalFormatting sqref="H2:H3">
    <cfRule type="expression" dxfId="10" priority="81">
      <formula>OR(#REF!="CAD",#REF!="TWD",#REF!="USD",#REF!="AUD",#REF!="NZD",#REF!="HKD",,#REF!="SGD")</formula>
    </cfRule>
    <cfRule type="expression" dxfId="9" priority="82">
      <formula>#REF!="CNY"</formula>
    </cfRule>
  </conditionalFormatting>
  <pageMargins left="0.7" right="0.7" top="0.75" bottom="0.75" header="0.3" footer="0.3"/>
  <pageSetup orientation="portrait" horizontalDpi="300" verticalDpi="300" r:id="rId1"/>
  <rowBreaks count="1" manualBreakCount="1">
    <brk id="4" max="16383"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33D8-CA39-486B-A0AE-CC9678EE2B8C}">
  <sheetPr codeName="Sheet14"/>
  <dimension ref="A2:R46"/>
  <sheetViews>
    <sheetView topLeftCell="G1" workbookViewId="0">
      <selection activeCell="N6" sqref="N6"/>
    </sheetView>
  </sheetViews>
  <sheetFormatPr defaultRowHeight="14.6" x14ac:dyDescent="0.4"/>
  <cols>
    <col min="6" max="6" width="34.61328125" customWidth="1"/>
    <col min="9" max="9" width="20.15234375" customWidth="1"/>
    <col min="13" max="13" width="47.921875" bestFit="1" customWidth="1"/>
    <col min="14" max="14" width="44.61328125" customWidth="1"/>
    <col min="15" max="15" width="12.3828125" customWidth="1"/>
    <col min="17" max="17" width="23" customWidth="1"/>
    <col min="19" max="19" width="26" customWidth="1"/>
    <col min="21" max="21" width="11" customWidth="1"/>
    <col min="22" max="22" width="6.15234375" customWidth="1"/>
    <col min="23" max="23" width="34" customWidth="1"/>
    <col min="24" max="24" width="22" customWidth="1"/>
  </cols>
  <sheetData>
    <row r="2" spans="2:18" x14ac:dyDescent="0.4">
      <c r="B2" s="33" t="s">
        <v>26</v>
      </c>
    </row>
    <row r="3" spans="2:18" x14ac:dyDescent="0.4">
      <c r="B3" s="87" t="s">
        <v>646</v>
      </c>
      <c r="C3" s="86" t="s">
        <v>849</v>
      </c>
    </row>
    <row r="4" spans="2:18" s="287" customFormat="1" x14ac:dyDescent="0.4">
      <c r="B4" s="87" t="s">
        <v>867</v>
      </c>
      <c r="C4" s="86" t="s">
        <v>868</v>
      </c>
    </row>
    <row r="5" spans="2:18" x14ac:dyDescent="0.4">
      <c r="C5" s="311"/>
    </row>
    <row r="6" spans="2:18" x14ac:dyDescent="0.4">
      <c r="B6" s="8" t="s">
        <v>15</v>
      </c>
      <c r="C6" s="4" t="s">
        <v>14</v>
      </c>
      <c r="D6" s="4" t="s">
        <v>13</v>
      </c>
      <c r="E6" s="4" t="s">
        <v>12</v>
      </c>
      <c r="F6" s="4" t="s">
        <v>11</v>
      </c>
      <c r="G6" s="4" t="s">
        <v>28</v>
      </c>
      <c r="H6" s="4" t="s">
        <v>8</v>
      </c>
      <c r="I6" s="4" t="s">
        <v>23</v>
      </c>
      <c r="J6" s="4" t="s">
        <v>7</v>
      </c>
      <c r="K6" s="4" t="s">
        <v>83</v>
      </c>
      <c r="L6" s="4" t="s">
        <v>0</v>
      </c>
      <c r="M6" s="4" t="s">
        <v>27</v>
      </c>
      <c r="N6" s="4" t="s">
        <v>504</v>
      </c>
      <c r="O6" s="4" t="s">
        <v>501</v>
      </c>
      <c r="P6" s="4" t="s">
        <v>502</v>
      </c>
      <c r="Q6" s="4" t="s">
        <v>503</v>
      </c>
      <c r="R6" s="4" t="s">
        <v>378</v>
      </c>
    </row>
    <row r="7" spans="2:18" x14ac:dyDescent="0.4">
      <c r="B7" s="27">
        <f>FIND(LEFT(TRIM(BORClientPriceCompute[[#This Row],[Description]]),1),BORClientPriceCompute[[#This Row],[Description]])-1</f>
        <v>0</v>
      </c>
      <c r="C7" s="3">
        <v>9000</v>
      </c>
      <c r="D7" s="3"/>
      <c r="E7" s="3"/>
      <c r="F7" s="3" t="s">
        <v>29</v>
      </c>
      <c r="G7" s="3">
        <v>0</v>
      </c>
      <c r="H7" s="3"/>
      <c r="I7" s="2"/>
      <c r="J7" s="2">
        <v>0</v>
      </c>
      <c r="K7" s="16" t="str">
        <f>IF(CONCATENATE(BORClientPriceCompute[[#This Row],[Category]],BORClientPriceCompute[[#This Row],[Code]])="","",IF(BORClientPriceCompute[[#This Row],[Base Price]]=0,"Free",BORClientPriceCompute[[#This Row],[Base Price]]))</f>
        <v/>
      </c>
      <c r="L7" s="16" t="str">
        <f>IF(CONCATENATE(BORClientPriceCompute[[#This Row],[Category]],BORClientPriceCompute[[#This Row],[Code]])="","",IF(BORClientPriceCompute[[#This Row],[License Units]]=0,"-",BORClientPriceCompute[[#This Row],[License Units]]))</f>
        <v/>
      </c>
      <c r="M7" s="1"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7"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v>
      </c>
      <c r="O7" s="82" t="str">
        <f>IF(BORClientPriceCompute[[#This Row],[Item Level]]=0,BORClientPriceCompute[[#This Row],[Desc without indent]],"")</f>
        <v>BorderWise</v>
      </c>
      <c r="P7" s="82" t="str">
        <f>IF(BORClientPriceCompute[[#This Row],[Item Level]]=1,BORClientPriceCompute[[#This Row],[Desc without indent]],"")</f>
        <v/>
      </c>
      <c r="Q7" s="82" t="str">
        <f>IF(BORClientPriceCompute[[#This Row],[Item Level]]=2,BORClientPriceCompute[[#This Row],[Desc without indent]],"")</f>
        <v/>
      </c>
      <c r="R7" s="82" t="str">
        <f>IF(BORClientPriceCompute[[#This Row],[Item Level]]&gt;=3,_xlfn.CONCAT(REPT(" ",BORClientPriceCompute[[#This Row],[Item Level]]-3), BORClientPriceCompute[[#This Row],[Desc without indent]]),"")</f>
        <v/>
      </c>
    </row>
    <row r="8" spans="2:18" x14ac:dyDescent="0.4">
      <c r="B8" s="27">
        <f>FIND(LEFT(TRIM(BORClientPriceCompute[[#This Row],[Description]]),1),BORClientPriceCompute[[#This Row],[Description]])-1</f>
        <v>2</v>
      </c>
      <c r="C8" s="13">
        <v>9001</v>
      </c>
      <c r="D8" s="13"/>
      <c r="E8" s="13"/>
      <c r="F8" s="13" t="s">
        <v>647</v>
      </c>
      <c r="G8" s="13">
        <v>0</v>
      </c>
      <c r="H8" s="13"/>
      <c r="I8" s="2"/>
      <c r="J8" s="3">
        <v>0</v>
      </c>
      <c r="K8" s="30" t="str">
        <f>IF(CONCATENATE(BORClientPriceCompute[[#This Row],[Category]],BORClientPriceCompute[[#This Row],[Code]])="","",IF(BORClientPriceCompute[[#This Row],[Base Price]]=0,"Free",BORClientPriceCompute[[#This Row],[Base Price]]))</f>
        <v/>
      </c>
      <c r="L8" s="31" t="str">
        <f>IF(CONCATENATE(BORClientPriceCompute[[#This Row],[Category]],BORClientPriceCompute[[#This Row],[Code]])="","",IF(BORClientPriceCompute[[#This Row],[License Units]]=0,"-",BORClientPriceCompute[[#This Row],[License Units]]))</f>
        <v/>
      </c>
      <c r="M8"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8"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Licence AU</v>
      </c>
      <c r="O8" s="88" t="str">
        <f>IF(BORClientPriceCompute[[#This Row],[Item Level]]=0,BORClientPriceCompute[[#This Row],[Desc without indent]],"")</f>
        <v/>
      </c>
      <c r="P8" s="88" t="str">
        <f>IF(BORClientPriceCompute[[#This Row],[Item Level]]=1,BORClientPriceCompute[[#This Row],[Desc without indent]],"")</f>
        <v/>
      </c>
      <c r="Q8" s="88" t="str">
        <f>IF(BORClientPriceCompute[[#This Row],[Item Level]]=2,BORClientPriceCompute[[#This Row],[Desc without indent]],"")</f>
        <v>BorderWise Licence AU</v>
      </c>
      <c r="R8" s="88" t="str">
        <f>IF(BORClientPriceCompute[[#This Row],[Item Level]]&gt;=3,_xlfn.CONCAT(REPT(" ",BORClientPriceCompute[[#This Row],[Item Level]]-3), BORClientPriceCompute[[#This Row],[Desc without indent]]),"")</f>
        <v/>
      </c>
    </row>
    <row r="9" spans="2:18" x14ac:dyDescent="0.4">
      <c r="B9" s="27">
        <f>FIND(LEFT(TRIM(BORClientPriceCompute[[#This Row],[Description]]),1),BORClientPriceCompute[[#This Row],[Description]])-1</f>
        <v>3</v>
      </c>
      <c r="C9" s="13">
        <v>9002</v>
      </c>
      <c r="D9" s="13" t="s">
        <v>30</v>
      </c>
      <c r="E9" s="13" t="s">
        <v>31</v>
      </c>
      <c r="F9" s="13" t="s">
        <v>32</v>
      </c>
      <c r="G9" s="13">
        <v>20.6</v>
      </c>
      <c r="H9" s="13" t="s">
        <v>33</v>
      </c>
      <c r="I9" s="14" t="s">
        <v>16</v>
      </c>
      <c r="J9" s="3">
        <v>206</v>
      </c>
      <c r="K9" s="30">
        <f>IF(CONCATENATE(BORClientPriceCompute[[#This Row],[Category]],BORClientPriceCompute[[#This Row],[Code]])="","",IF(BORClientPriceCompute[[#This Row],[Base Price]]=0,"Free",BORClientPriceCompute[[#This Row],[Base Price]]))</f>
        <v>20.6</v>
      </c>
      <c r="L9" s="31">
        <f>IF(CONCATENATE(BORClientPriceCompute[[#This Row],[Category]],BORClientPriceCompute[[#This Row],[Code]])="","",IF(BORClientPriceCompute[[#This Row],[License Units]]=0,"-",BORClientPriceCompute[[#This Row],[License Units]]))</f>
        <v>206</v>
      </c>
      <c r="M9"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9"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(AU) Partner</v>
      </c>
      <c r="O9" s="89" t="str">
        <f>IF(BORClientPriceCompute[[#This Row],[Item Level]]=0,BORClientPriceCompute[[#This Row],[Desc without indent]],"")</f>
        <v/>
      </c>
      <c r="P9" s="89" t="str">
        <f>IF(BORClientPriceCompute[[#This Row],[Item Level]]=1,BORClientPriceCompute[[#This Row],[Desc without indent]],"")</f>
        <v/>
      </c>
      <c r="Q9" s="89" t="str">
        <f>IF(BORClientPriceCompute[[#This Row],[Item Level]]=2,BORClientPriceCompute[[#This Row],[Desc without indent]],"")</f>
        <v/>
      </c>
      <c r="R9" s="89" t="str">
        <f>IF(BORClientPriceCompute[[#This Row],[Item Level]]&gt;=3,_xlfn.CONCAT(REPT(" ",BORClientPriceCompute[[#This Row],[Item Level]]-3), BORClientPriceCompute[[#This Row],[Desc without indent]]),"")</f>
        <v>Single Window (AU) Partner</v>
      </c>
    </row>
    <row r="10" spans="2:18" x14ac:dyDescent="0.4">
      <c r="B10" s="27">
        <f>FIND(LEFT(TRIM(BORClientPriceCompute[[#This Row],[Description]]),1),BORClientPriceCompute[[#This Row],[Description]])-1</f>
        <v>3</v>
      </c>
      <c r="C10" s="13">
        <v>9003</v>
      </c>
      <c r="D10" s="13" t="s">
        <v>30</v>
      </c>
      <c r="E10" s="13" t="s">
        <v>34</v>
      </c>
      <c r="F10" s="13" t="s">
        <v>35</v>
      </c>
      <c r="G10" s="13">
        <v>30.9</v>
      </c>
      <c r="H10" s="13" t="s">
        <v>33</v>
      </c>
      <c r="I10" s="14" t="s">
        <v>16</v>
      </c>
      <c r="J10" s="3">
        <v>309</v>
      </c>
      <c r="K10" s="30">
        <f>IF(CONCATENATE(BORClientPriceCompute[[#This Row],[Category]],BORClientPriceCompute[[#This Row],[Code]])="","",IF(BORClientPriceCompute[[#This Row],[Base Price]]=0,"Free",BORClientPriceCompute[[#This Row],[Base Price]]))</f>
        <v>30.9</v>
      </c>
      <c r="L10" s="31">
        <f>IF(CONCATENATE(BORClientPriceCompute[[#This Row],[Category]],BORClientPriceCompute[[#This Row],[Code]])="","",IF(BORClientPriceCompute[[#This Row],[License Units]]=0,"-",BORClientPriceCompute[[#This Row],[License Units]]))</f>
        <v>309</v>
      </c>
      <c r="M10"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0"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(AU) CW1</v>
      </c>
      <c r="O10" s="89" t="str">
        <f>IF(BORClientPriceCompute[[#This Row],[Item Level]]=0,BORClientPriceCompute[[#This Row],[Desc without indent]],"")</f>
        <v/>
      </c>
      <c r="P10" s="89" t="str">
        <f>IF(BORClientPriceCompute[[#This Row],[Item Level]]=1,BORClientPriceCompute[[#This Row],[Desc without indent]],"")</f>
        <v/>
      </c>
      <c r="Q10" s="89" t="str">
        <f>IF(BORClientPriceCompute[[#This Row],[Item Level]]=2,BORClientPriceCompute[[#This Row],[Desc without indent]],"")</f>
        <v/>
      </c>
      <c r="R10" s="89" t="str">
        <f>IF(BORClientPriceCompute[[#This Row],[Item Level]]&gt;=3,_xlfn.CONCAT(REPT(" ",BORClientPriceCompute[[#This Row],[Item Level]]-3), BORClientPriceCompute[[#This Row],[Desc without indent]]),"")</f>
        <v>Single Window (AU) CW1</v>
      </c>
    </row>
    <row r="11" spans="2:18" x14ac:dyDescent="0.4">
      <c r="B11" s="27">
        <f>FIND(LEFT(TRIM(BORClientPriceCompute[[#This Row],[Description]]),1),BORClientPriceCompute[[#This Row],[Description]])-1</f>
        <v>3</v>
      </c>
      <c r="C11" s="13">
        <v>9004</v>
      </c>
      <c r="D11" s="13" t="s">
        <v>30</v>
      </c>
      <c r="E11" s="13" t="s">
        <v>36</v>
      </c>
      <c r="F11" s="13" t="s">
        <v>37</v>
      </c>
      <c r="G11" s="13">
        <v>0</v>
      </c>
      <c r="H11" s="13" t="s">
        <v>33</v>
      </c>
      <c r="I11" s="14" t="s">
        <v>16</v>
      </c>
      <c r="J11" s="3">
        <v>0</v>
      </c>
      <c r="K11" s="30" t="str">
        <f>IF(CONCATENATE(BORClientPriceCompute[[#This Row],[Category]],BORClientPriceCompute[[#This Row],[Code]])="","",IF(BORClientPriceCompute[[#This Row],[Base Price]]=0,"Free",BORClientPriceCompute[[#This Row],[Base Price]]))</f>
        <v>Free</v>
      </c>
      <c r="L11" s="31" t="str">
        <f>IF(CONCATENATE(BORClientPriceCompute[[#This Row],[Category]],BORClientPriceCompute[[#This Row],[Code]])="","",IF(BORClientPriceCompute[[#This Row],[License Units]]=0,"-",BORClientPriceCompute[[#This Row],[License Units]]))</f>
        <v>-</v>
      </c>
      <c r="M11"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1"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(AU) CW1 + Partner</v>
      </c>
      <c r="O11" s="89" t="str">
        <f>IF(BORClientPriceCompute[[#This Row],[Item Level]]=0,BORClientPriceCompute[[#This Row],[Desc without indent]],"")</f>
        <v/>
      </c>
      <c r="P11" s="89" t="str">
        <f>IF(BORClientPriceCompute[[#This Row],[Item Level]]=1,BORClientPriceCompute[[#This Row],[Desc without indent]],"")</f>
        <v/>
      </c>
      <c r="Q11" s="89" t="str">
        <f>IF(BORClientPriceCompute[[#This Row],[Item Level]]=2,BORClientPriceCompute[[#This Row],[Desc without indent]],"")</f>
        <v/>
      </c>
      <c r="R11" s="89" t="str">
        <f>IF(BORClientPriceCompute[[#This Row],[Item Level]]&gt;=3,_xlfn.CONCAT(REPT(" ",BORClientPriceCompute[[#This Row],[Item Level]]-3), BORClientPriceCompute[[#This Row],[Desc without indent]]),"")</f>
        <v>Single Window (AU) CW1 + Partner</v>
      </c>
    </row>
    <row r="12" spans="2:18" x14ac:dyDescent="0.4">
      <c r="B12" s="27">
        <f>FIND(LEFT(TRIM(BORClientPriceCompute[[#This Row],[Description]]),1),BORClientPriceCompute[[#This Row],[Description]])-1</f>
        <v>3</v>
      </c>
      <c r="C12" s="13">
        <v>9005</v>
      </c>
      <c r="D12" s="13" t="s">
        <v>30</v>
      </c>
      <c r="E12" s="13" t="s">
        <v>38</v>
      </c>
      <c r="F12" s="13" t="s">
        <v>39</v>
      </c>
      <c r="G12" s="13">
        <v>72.099999999999994</v>
      </c>
      <c r="H12" s="13" t="s">
        <v>33</v>
      </c>
      <c r="I12" s="14" t="s">
        <v>16</v>
      </c>
      <c r="J12" s="3">
        <v>721</v>
      </c>
      <c r="K12" s="30">
        <f>IF(CONCATENATE(BORClientPriceCompute[[#This Row],[Category]],BORClientPriceCompute[[#This Row],[Code]])="","",IF(BORClientPriceCompute[[#This Row],[Base Price]]=0,"Free",BORClientPriceCompute[[#This Row],[Base Price]]))</f>
        <v>72.099999999999994</v>
      </c>
      <c r="L12" s="31">
        <f>IF(CONCATENATE(BORClientPriceCompute[[#This Row],[Category]],BORClientPriceCompute[[#This Row],[Code]])="","",IF(BORClientPriceCompute[[#This Row],[License Units]]=0,"-",BORClientPriceCompute[[#This Row],[License Units]]))</f>
        <v>721</v>
      </c>
      <c r="M12"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2"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(AU) Standalone</v>
      </c>
      <c r="O12" s="89" t="str">
        <f>IF(BORClientPriceCompute[[#This Row],[Item Level]]=0,BORClientPriceCompute[[#This Row],[Desc without indent]],"")</f>
        <v/>
      </c>
      <c r="P12" s="89" t="str">
        <f>IF(BORClientPriceCompute[[#This Row],[Item Level]]=1,BORClientPriceCompute[[#This Row],[Desc without indent]],"")</f>
        <v/>
      </c>
      <c r="Q12" s="89" t="str">
        <f>IF(BORClientPriceCompute[[#This Row],[Item Level]]=2,BORClientPriceCompute[[#This Row],[Desc without indent]],"")</f>
        <v/>
      </c>
      <c r="R12" s="89" t="str">
        <f>IF(BORClientPriceCompute[[#This Row],[Item Level]]&gt;=3,_xlfn.CONCAT(REPT(" ",BORClientPriceCompute[[#This Row],[Item Level]]-3), BORClientPriceCompute[[#This Row],[Desc without indent]]),"")</f>
        <v>Single Window (AU) Standalone</v>
      </c>
    </row>
    <row r="13" spans="2:18" x14ac:dyDescent="0.4">
      <c r="B13" s="27">
        <f>FIND(LEFT(TRIM(BORClientPriceCompute[[#This Row],[Description]]),1),BORClientPriceCompute[[#This Row],[Description]])-1</f>
        <v>3</v>
      </c>
      <c r="C13" s="13">
        <v>9006</v>
      </c>
      <c r="D13" s="13" t="s">
        <v>30</v>
      </c>
      <c r="E13" s="13" t="s">
        <v>40</v>
      </c>
      <c r="F13" s="13" t="s">
        <v>41</v>
      </c>
      <c r="G13" s="13">
        <v>30.9</v>
      </c>
      <c r="H13" s="13" t="s">
        <v>33</v>
      </c>
      <c r="I13" s="14" t="s">
        <v>16</v>
      </c>
      <c r="J13" s="3">
        <v>309</v>
      </c>
      <c r="K13" s="30">
        <f>IF(CONCATENATE(BORClientPriceCompute[[#This Row],[Category]],BORClientPriceCompute[[#This Row],[Code]])="","",IF(BORClientPriceCompute[[#This Row],[Base Price]]=0,"Free",BORClientPriceCompute[[#This Row],[Base Price]]))</f>
        <v>30.9</v>
      </c>
      <c r="L13" s="31">
        <f>IF(CONCATENATE(BORClientPriceCompute[[#This Row],[Category]],BORClientPriceCompute[[#This Row],[Code]])="","",IF(BORClientPriceCompute[[#This Row],[License Units]]=0,"-",BORClientPriceCompute[[#This Row],[License Units]]))</f>
        <v>309</v>
      </c>
      <c r="M13"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Must be purchased with BorderWise Single Window (AU)</v>
      </c>
      <c r="N13"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Pro Pack (AU)</v>
      </c>
      <c r="O13" s="89" t="str">
        <f>IF(BORClientPriceCompute[[#This Row],[Item Level]]=0,BORClientPriceCompute[[#This Row],[Desc without indent]],"")</f>
        <v/>
      </c>
      <c r="P13" s="89" t="str">
        <f>IF(BORClientPriceCompute[[#This Row],[Item Level]]=1,BORClientPriceCompute[[#This Row],[Desc without indent]],"")</f>
        <v/>
      </c>
      <c r="Q13" s="89" t="str">
        <f>IF(BORClientPriceCompute[[#This Row],[Item Level]]=2,BORClientPriceCompute[[#This Row],[Desc without indent]],"")</f>
        <v/>
      </c>
      <c r="R13" s="89" t="str">
        <f>IF(BORClientPriceCompute[[#This Row],[Item Level]]&gt;=3,_xlfn.CONCAT(REPT(" ",BORClientPriceCompute[[#This Row],[Item Level]]-3), BORClientPriceCompute[[#This Row],[Desc without indent]]),"")</f>
        <v>Pro Pack (AU)</v>
      </c>
    </row>
    <row r="14" spans="2:18" x14ac:dyDescent="0.4">
      <c r="B14" s="27">
        <f>FIND(LEFT(TRIM(BORClientPriceCompute[[#This Row],[Description]]),1),BORClientPriceCompute[[#This Row],[Description]])-1</f>
        <v>2</v>
      </c>
      <c r="C14" s="13">
        <v>9010</v>
      </c>
      <c r="D14" s="13"/>
      <c r="E14" s="13"/>
      <c r="F14" s="13" t="s">
        <v>648</v>
      </c>
      <c r="G14" s="13">
        <v>0</v>
      </c>
      <c r="H14" s="13"/>
      <c r="I14" s="14"/>
      <c r="J14" s="3">
        <v>0</v>
      </c>
      <c r="K14" s="30" t="str">
        <f>IF(CONCATENATE(BORClientPriceCompute[[#This Row],[Category]],BORClientPriceCompute[[#This Row],[Code]])="","",IF(BORClientPriceCompute[[#This Row],[Base Price]]=0,"Free",BORClientPriceCompute[[#This Row],[Base Price]]))</f>
        <v/>
      </c>
      <c r="L14" s="31" t="str">
        <f>IF(CONCATENATE(BORClientPriceCompute[[#This Row],[Category]],BORClientPriceCompute[[#This Row],[Code]])="","",IF(BORClientPriceCompute[[#This Row],[License Units]]=0,"-",BORClientPriceCompute[[#This Row],[License Units]]))</f>
        <v/>
      </c>
      <c r="M14"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14"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Licence NZ</v>
      </c>
      <c r="O14" s="89" t="str">
        <f>IF(BORClientPriceCompute[[#This Row],[Item Level]]=0,BORClientPriceCompute[[#This Row],[Desc without indent]],"")</f>
        <v/>
      </c>
      <c r="P14" s="89" t="str">
        <f>IF(BORClientPriceCompute[[#This Row],[Item Level]]=1,BORClientPriceCompute[[#This Row],[Desc without indent]],"")</f>
        <v/>
      </c>
      <c r="Q14" s="89" t="str">
        <f>IF(BORClientPriceCompute[[#This Row],[Item Level]]=2,BORClientPriceCompute[[#This Row],[Desc without indent]],"")</f>
        <v>BorderWise Licence NZ</v>
      </c>
      <c r="R14" s="89" t="str">
        <f>IF(BORClientPriceCompute[[#This Row],[Item Level]]&gt;=3,_xlfn.CONCAT(REPT(" ",BORClientPriceCompute[[#This Row],[Item Level]]-3), BORClientPriceCompute[[#This Row],[Desc without indent]]),"")</f>
        <v/>
      </c>
    </row>
    <row r="15" spans="2:18" x14ac:dyDescent="0.4">
      <c r="B15" s="27">
        <f>FIND(LEFT(TRIM(BORClientPriceCompute[[#This Row],[Description]]),1),BORClientPriceCompute[[#This Row],[Description]])-1</f>
        <v>3</v>
      </c>
      <c r="C15" s="13">
        <v>9011</v>
      </c>
      <c r="D15" s="13" t="s">
        <v>30</v>
      </c>
      <c r="E15" s="13" t="s">
        <v>42</v>
      </c>
      <c r="F15" s="13" t="s">
        <v>43</v>
      </c>
      <c r="G15" s="13">
        <v>20.6</v>
      </c>
      <c r="H15" s="13" t="s">
        <v>33</v>
      </c>
      <c r="I15" s="14" t="s">
        <v>44</v>
      </c>
      <c r="J15" s="3">
        <v>206</v>
      </c>
      <c r="K15" s="30">
        <f>IF(CONCATENATE(BORClientPriceCompute[[#This Row],[Category]],BORClientPriceCompute[[#This Row],[Code]])="","",IF(BORClientPriceCompute[[#This Row],[Base Price]]=0,"Free",BORClientPriceCompute[[#This Row],[Base Price]]))</f>
        <v>20.6</v>
      </c>
      <c r="L15" s="31">
        <f>IF(CONCATENATE(BORClientPriceCompute[[#This Row],[Category]],BORClientPriceCompute[[#This Row],[Code]])="","",IF(BORClientPriceCompute[[#This Row],[License Units]]=0,"-",BORClientPriceCompute[[#This Row],[License Units]]))</f>
        <v>206</v>
      </c>
      <c r="M15"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5"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(NZ) Partner</v>
      </c>
      <c r="O15" s="89" t="str">
        <f>IF(BORClientPriceCompute[[#This Row],[Item Level]]=0,BORClientPriceCompute[[#This Row],[Desc without indent]],"")</f>
        <v/>
      </c>
      <c r="P15" s="89" t="str">
        <f>IF(BORClientPriceCompute[[#This Row],[Item Level]]=1,BORClientPriceCompute[[#This Row],[Desc without indent]],"")</f>
        <v/>
      </c>
      <c r="Q15" s="89" t="str">
        <f>IF(BORClientPriceCompute[[#This Row],[Item Level]]=2,BORClientPriceCompute[[#This Row],[Desc without indent]],"")</f>
        <v/>
      </c>
      <c r="R15" s="89" t="str">
        <f>IF(BORClientPriceCompute[[#This Row],[Item Level]]&gt;=3,_xlfn.CONCAT(REPT(" ",BORClientPriceCompute[[#This Row],[Item Level]]-3), BORClientPriceCompute[[#This Row],[Desc without indent]]),"")</f>
        <v>Single Window (NZ) Partner</v>
      </c>
    </row>
    <row r="16" spans="2:18" x14ac:dyDescent="0.4">
      <c r="B16" s="27">
        <f>FIND(LEFT(TRIM(BORClientPriceCompute[[#This Row],[Description]]),1),BORClientPriceCompute[[#This Row],[Description]])-1</f>
        <v>3</v>
      </c>
      <c r="C16" s="13">
        <v>9012</v>
      </c>
      <c r="D16" s="13" t="s">
        <v>30</v>
      </c>
      <c r="E16" s="13" t="s">
        <v>45</v>
      </c>
      <c r="F16" s="13" t="s">
        <v>46</v>
      </c>
      <c r="G16" s="13">
        <v>30.9</v>
      </c>
      <c r="H16" s="13" t="s">
        <v>33</v>
      </c>
      <c r="I16" s="14" t="s">
        <v>44</v>
      </c>
      <c r="J16" s="3">
        <v>309</v>
      </c>
      <c r="K16" s="30">
        <f>IF(CONCATENATE(BORClientPriceCompute[[#This Row],[Category]],BORClientPriceCompute[[#This Row],[Code]])="","",IF(BORClientPriceCompute[[#This Row],[Base Price]]=0,"Free",BORClientPriceCompute[[#This Row],[Base Price]]))</f>
        <v>30.9</v>
      </c>
      <c r="L16" s="31">
        <f>IF(CONCATENATE(BORClientPriceCompute[[#This Row],[Category]],BORClientPriceCompute[[#This Row],[Code]])="","",IF(BORClientPriceCompute[[#This Row],[License Units]]=0,"-",BORClientPriceCompute[[#This Row],[License Units]]))</f>
        <v>309</v>
      </c>
      <c r="M16"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6"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(NZ) CW1</v>
      </c>
      <c r="O16" s="89" t="str">
        <f>IF(BORClientPriceCompute[[#This Row],[Item Level]]=0,BORClientPriceCompute[[#This Row],[Desc without indent]],"")</f>
        <v/>
      </c>
      <c r="P16" s="89" t="str">
        <f>IF(BORClientPriceCompute[[#This Row],[Item Level]]=1,BORClientPriceCompute[[#This Row],[Desc without indent]],"")</f>
        <v/>
      </c>
      <c r="Q16" s="89" t="str">
        <f>IF(BORClientPriceCompute[[#This Row],[Item Level]]=2,BORClientPriceCompute[[#This Row],[Desc without indent]],"")</f>
        <v/>
      </c>
      <c r="R16" s="89" t="str">
        <f>IF(BORClientPriceCompute[[#This Row],[Item Level]]&gt;=3,_xlfn.CONCAT(REPT(" ",BORClientPriceCompute[[#This Row],[Item Level]]-3), BORClientPriceCompute[[#This Row],[Desc without indent]]),"")</f>
        <v>Single Window (NZ) CW1</v>
      </c>
    </row>
    <row r="17" spans="2:18" x14ac:dyDescent="0.4">
      <c r="B17" s="27">
        <f>FIND(LEFT(TRIM(BORClientPriceCompute[[#This Row],[Description]]),1),BORClientPriceCompute[[#This Row],[Description]])-1</f>
        <v>3</v>
      </c>
      <c r="C17" s="13">
        <v>9013</v>
      </c>
      <c r="D17" s="13" t="s">
        <v>30</v>
      </c>
      <c r="E17" s="13" t="s">
        <v>47</v>
      </c>
      <c r="F17" s="13" t="s">
        <v>48</v>
      </c>
      <c r="G17" s="13">
        <v>0</v>
      </c>
      <c r="H17" s="13" t="s">
        <v>33</v>
      </c>
      <c r="I17" s="14" t="s">
        <v>44</v>
      </c>
      <c r="J17" s="3">
        <v>0</v>
      </c>
      <c r="K17" s="30" t="str">
        <f>IF(CONCATENATE(BORClientPriceCompute[[#This Row],[Category]],BORClientPriceCompute[[#This Row],[Code]])="","",IF(BORClientPriceCompute[[#This Row],[Base Price]]=0,"Free",BORClientPriceCompute[[#This Row],[Base Price]]))</f>
        <v>Free</v>
      </c>
      <c r="L17" s="31" t="str">
        <f>IF(CONCATENATE(BORClientPriceCompute[[#This Row],[Category]],BORClientPriceCompute[[#This Row],[Code]])="","",IF(BORClientPriceCompute[[#This Row],[License Units]]=0,"-",BORClientPriceCompute[[#This Row],[License Units]]))</f>
        <v>-</v>
      </c>
      <c r="M17"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7"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(NZ) CW1 + Partner</v>
      </c>
      <c r="O17" s="89" t="str">
        <f>IF(BORClientPriceCompute[[#This Row],[Item Level]]=0,BORClientPriceCompute[[#This Row],[Desc without indent]],"")</f>
        <v/>
      </c>
      <c r="P17" s="89" t="str">
        <f>IF(BORClientPriceCompute[[#This Row],[Item Level]]=1,BORClientPriceCompute[[#This Row],[Desc without indent]],"")</f>
        <v/>
      </c>
      <c r="Q17" s="89" t="str">
        <f>IF(BORClientPriceCompute[[#This Row],[Item Level]]=2,BORClientPriceCompute[[#This Row],[Desc without indent]],"")</f>
        <v/>
      </c>
      <c r="R17" s="89" t="str">
        <f>IF(BORClientPriceCompute[[#This Row],[Item Level]]&gt;=3,_xlfn.CONCAT(REPT(" ",BORClientPriceCompute[[#This Row],[Item Level]]-3), BORClientPriceCompute[[#This Row],[Desc without indent]]),"")</f>
        <v>Single Window (NZ) CW1 + Partner</v>
      </c>
    </row>
    <row r="18" spans="2:18" x14ac:dyDescent="0.4">
      <c r="B18" s="27">
        <f>FIND(LEFT(TRIM(BORClientPriceCompute[[#This Row],[Description]]),1),BORClientPriceCompute[[#This Row],[Description]])-1</f>
        <v>3</v>
      </c>
      <c r="C18" s="13">
        <v>9014</v>
      </c>
      <c r="D18" s="13" t="s">
        <v>30</v>
      </c>
      <c r="E18" s="13" t="s">
        <v>49</v>
      </c>
      <c r="F18" s="13" t="s">
        <v>50</v>
      </c>
      <c r="G18" s="13">
        <v>72.099999999999994</v>
      </c>
      <c r="H18" s="13" t="s">
        <v>33</v>
      </c>
      <c r="I18" s="14" t="s">
        <v>44</v>
      </c>
      <c r="J18" s="3">
        <v>721</v>
      </c>
      <c r="K18" s="30">
        <f>IF(CONCATENATE(BORClientPriceCompute[[#This Row],[Category]],BORClientPriceCompute[[#This Row],[Code]])="","",IF(BORClientPriceCompute[[#This Row],[Base Price]]=0,"Free",BORClientPriceCompute[[#This Row],[Base Price]]))</f>
        <v>72.099999999999994</v>
      </c>
      <c r="L18" s="31">
        <f>IF(CONCATENATE(BORClientPriceCompute[[#This Row],[Category]],BORClientPriceCompute[[#This Row],[Code]])="","",IF(BORClientPriceCompute[[#This Row],[License Units]]=0,"-",BORClientPriceCompute[[#This Row],[License Units]]))</f>
        <v>721</v>
      </c>
      <c r="M18"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18"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(NZ) Standalone</v>
      </c>
      <c r="O18" s="89" t="str">
        <f>IF(BORClientPriceCompute[[#This Row],[Item Level]]=0,BORClientPriceCompute[[#This Row],[Desc without indent]],"")</f>
        <v/>
      </c>
      <c r="P18" s="89" t="str">
        <f>IF(BORClientPriceCompute[[#This Row],[Item Level]]=1,BORClientPriceCompute[[#This Row],[Desc without indent]],"")</f>
        <v/>
      </c>
      <c r="Q18" s="89" t="str">
        <f>IF(BORClientPriceCompute[[#This Row],[Item Level]]=2,BORClientPriceCompute[[#This Row],[Desc without indent]],"")</f>
        <v/>
      </c>
      <c r="R18" s="89" t="str">
        <f>IF(BORClientPriceCompute[[#This Row],[Item Level]]&gt;=3,_xlfn.CONCAT(REPT(" ",BORClientPriceCompute[[#This Row],[Item Level]]-3), BORClientPriceCompute[[#This Row],[Desc without indent]]),"")</f>
        <v>Single Window (NZ) Standalone</v>
      </c>
    </row>
    <row r="19" spans="2:18" x14ac:dyDescent="0.4">
      <c r="B19" s="27">
        <f>FIND(LEFT(TRIM(BORClientPriceCompute[[#This Row],[Description]]),1),BORClientPriceCompute[[#This Row],[Description]])-1</f>
        <v>3</v>
      </c>
      <c r="C19" s="13">
        <v>9015</v>
      </c>
      <c r="D19" s="13" t="s">
        <v>30</v>
      </c>
      <c r="E19" s="13" t="s">
        <v>51</v>
      </c>
      <c r="F19" s="13" t="s">
        <v>52</v>
      </c>
      <c r="G19" s="13">
        <v>30.9</v>
      </c>
      <c r="H19" s="13" t="s">
        <v>33</v>
      </c>
      <c r="I19" s="14" t="s">
        <v>44</v>
      </c>
      <c r="J19" s="3">
        <v>309</v>
      </c>
      <c r="K19" s="30">
        <f>IF(CONCATENATE(BORClientPriceCompute[[#This Row],[Category]],BORClientPriceCompute[[#This Row],[Code]])="","",IF(BORClientPriceCompute[[#This Row],[Base Price]]=0,"Free",BORClientPriceCompute[[#This Row],[Base Price]]))</f>
        <v>30.9</v>
      </c>
      <c r="L19" s="31">
        <f>IF(CONCATENATE(BORClientPriceCompute[[#This Row],[Category]],BORClientPriceCompute[[#This Row],[Code]])="","",IF(BORClientPriceCompute[[#This Row],[License Units]]=0,"-",BORClientPriceCompute[[#This Row],[License Units]]))</f>
        <v>309</v>
      </c>
      <c r="M19"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Must be purchased with BorderWise Single Window (NZ)</v>
      </c>
      <c r="N19"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Pro Pack (NZ)</v>
      </c>
      <c r="O19" s="89" t="str">
        <f>IF(BORClientPriceCompute[[#This Row],[Item Level]]=0,BORClientPriceCompute[[#This Row],[Desc without indent]],"")</f>
        <v/>
      </c>
      <c r="P19" s="89" t="str">
        <f>IF(BORClientPriceCompute[[#This Row],[Item Level]]=1,BORClientPriceCompute[[#This Row],[Desc without indent]],"")</f>
        <v/>
      </c>
      <c r="Q19" s="89" t="str">
        <f>IF(BORClientPriceCompute[[#This Row],[Item Level]]=2,BORClientPriceCompute[[#This Row],[Desc without indent]],"")</f>
        <v/>
      </c>
      <c r="R19" s="89" t="str">
        <f>IF(BORClientPriceCompute[[#This Row],[Item Level]]&gt;=3,_xlfn.CONCAT(REPT(" ",BORClientPriceCompute[[#This Row],[Item Level]]-3), BORClientPriceCompute[[#This Row],[Desc without indent]]),"")</f>
        <v>Pro Pack (NZ)</v>
      </c>
    </row>
    <row r="20" spans="2:18" x14ac:dyDescent="0.4">
      <c r="B20" s="27">
        <f>FIND(LEFT(TRIM(BORClientPriceCompute[[#This Row],[Description]]),1),BORClientPriceCompute[[#This Row],[Description]])-1</f>
        <v>2</v>
      </c>
      <c r="C20" s="13">
        <v>9020</v>
      </c>
      <c r="D20" s="13"/>
      <c r="E20" s="13"/>
      <c r="F20" s="13" t="s">
        <v>649</v>
      </c>
      <c r="G20" s="13">
        <v>0</v>
      </c>
      <c r="H20" s="13"/>
      <c r="I20" s="14"/>
      <c r="J20" s="3">
        <v>0</v>
      </c>
      <c r="K20" s="30" t="str">
        <f>IF(CONCATENATE(BORClientPriceCompute[[#This Row],[Category]],BORClientPriceCompute[[#This Row],[Code]])="","",IF(BORClientPriceCompute[[#This Row],[Base Price]]=0,"Free",BORClientPriceCompute[[#This Row],[Base Price]]))</f>
        <v/>
      </c>
      <c r="L20" s="31" t="str">
        <f>IF(CONCATENATE(BORClientPriceCompute[[#This Row],[Category]],BORClientPriceCompute[[#This Row],[Code]])="","",IF(BORClientPriceCompute[[#This Row],[License Units]]=0,"-",BORClientPriceCompute[[#This Row],[License Units]]))</f>
        <v/>
      </c>
      <c r="M20"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20"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Licence US</v>
      </c>
      <c r="O20" s="89" t="str">
        <f>IF(BORClientPriceCompute[[#This Row],[Item Level]]=0,BORClientPriceCompute[[#This Row],[Desc without indent]],"")</f>
        <v/>
      </c>
      <c r="P20" s="89" t="str">
        <f>IF(BORClientPriceCompute[[#This Row],[Item Level]]=1,BORClientPriceCompute[[#This Row],[Desc without indent]],"")</f>
        <v/>
      </c>
      <c r="Q20" s="89" t="str">
        <f>IF(BORClientPriceCompute[[#This Row],[Item Level]]=2,BORClientPriceCompute[[#This Row],[Desc without indent]],"")</f>
        <v>BorderWise Licence US</v>
      </c>
      <c r="R20" s="89" t="str">
        <f>IF(BORClientPriceCompute[[#This Row],[Item Level]]&gt;=3,_xlfn.CONCAT(REPT(" ",BORClientPriceCompute[[#This Row],[Item Level]]-3), BORClientPriceCompute[[#This Row],[Desc without indent]]),"")</f>
        <v/>
      </c>
    </row>
    <row r="21" spans="2:18" x14ac:dyDescent="0.4">
      <c r="B21" s="27">
        <f>FIND(LEFT(TRIM(BORClientPriceCompute[[#This Row],[Description]]),1),BORClientPriceCompute[[#This Row],[Description]])-1</f>
        <v>3</v>
      </c>
      <c r="C21" s="13">
        <v>9021</v>
      </c>
      <c r="D21" s="13" t="s">
        <v>30</v>
      </c>
      <c r="E21" s="13" t="s">
        <v>53</v>
      </c>
      <c r="F21" s="13" t="s">
        <v>54</v>
      </c>
      <c r="G21" s="13">
        <v>20.6</v>
      </c>
      <c r="H21" s="13" t="s">
        <v>33</v>
      </c>
      <c r="I21" s="14" t="s">
        <v>55</v>
      </c>
      <c r="J21" s="3">
        <v>206</v>
      </c>
      <c r="K21" s="30">
        <f>IF(CONCATENATE(BORClientPriceCompute[[#This Row],[Category]],BORClientPriceCompute[[#This Row],[Code]])="","",IF(BORClientPriceCompute[[#This Row],[Base Price]]=0,"Free",BORClientPriceCompute[[#This Row],[Base Price]]))</f>
        <v>20.6</v>
      </c>
      <c r="L21" s="31">
        <f>IF(CONCATENATE(BORClientPriceCompute[[#This Row],[Category]],BORClientPriceCompute[[#This Row],[Code]])="","",IF(BORClientPriceCompute[[#This Row],[License Units]]=0,"-",BORClientPriceCompute[[#This Row],[License Units]]))</f>
        <v>206</v>
      </c>
      <c r="M21"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1"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(US) Partner</v>
      </c>
      <c r="O21" s="89" t="str">
        <f>IF(BORClientPriceCompute[[#This Row],[Item Level]]=0,BORClientPriceCompute[[#This Row],[Desc without indent]],"")</f>
        <v/>
      </c>
      <c r="P21" s="89" t="str">
        <f>IF(BORClientPriceCompute[[#This Row],[Item Level]]=1,BORClientPriceCompute[[#This Row],[Desc without indent]],"")</f>
        <v/>
      </c>
      <c r="Q21" s="89" t="str">
        <f>IF(BORClientPriceCompute[[#This Row],[Item Level]]=2,BORClientPriceCompute[[#This Row],[Desc without indent]],"")</f>
        <v/>
      </c>
      <c r="R21" s="89" t="str">
        <f>IF(BORClientPriceCompute[[#This Row],[Item Level]]&gt;=3,_xlfn.CONCAT(REPT(" ",BORClientPriceCompute[[#This Row],[Item Level]]-3), BORClientPriceCompute[[#This Row],[Desc without indent]]),"")</f>
        <v>Single Window (US) Partner</v>
      </c>
    </row>
    <row r="22" spans="2:18" x14ac:dyDescent="0.4">
      <c r="B22" s="27">
        <f>FIND(LEFT(TRIM(BORClientPriceCompute[[#This Row],[Description]]),1),BORClientPriceCompute[[#This Row],[Description]])-1</f>
        <v>3</v>
      </c>
      <c r="C22" s="13">
        <v>9022</v>
      </c>
      <c r="D22" s="13" t="s">
        <v>30</v>
      </c>
      <c r="E22" s="13" t="s">
        <v>56</v>
      </c>
      <c r="F22" s="13" t="s">
        <v>57</v>
      </c>
      <c r="G22" s="13">
        <v>30.9</v>
      </c>
      <c r="H22" s="13" t="s">
        <v>33</v>
      </c>
      <c r="I22" s="14" t="s">
        <v>55</v>
      </c>
      <c r="J22" s="3">
        <v>309</v>
      </c>
      <c r="K22" s="30">
        <f>IF(CONCATENATE(BORClientPriceCompute[[#This Row],[Category]],BORClientPriceCompute[[#This Row],[Code]])="","",IF(BORClientPriceCompute[[#This Row],[Base Price]]=0,"Free",BORClientPriceCompute[[#This Row],[Base Price]]))</f>
        <v>30.9</v>
      </c>
      <c r="L22" s="31">
        <f>IF(CONCATENATE(BORClientPriceCompute[[#This Row],[Category]],BORClientPriceCompute[[#This Row],[Code]])="","",IF(BORClientPriceCompute[[#This Row],[License Units]]=0,"-",BORClientPriceCompute[[#This Row],[License Units]]))</f>
        <v>309</v>
      </c>
      <c r="M22"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2"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(US) CW1</v>
      </c>
      <c r="O22" s="89" t="str">
        <f>IF(BORClientPriceCompute[[#This Row],[Item Level]]=0,BORClientPriceCompute[[#This Row],[Desc without indent]],"")</f>
        <v/>
      </c>
      <c r="P22" s="89" t="str">
        <f>IF(BORClientPriceCompute[[#This Row],[Item Level]]=1,BORClientPriceCompute[[#This Row],[Desc without indent]],"")</f>
        <v/>
      </c>
      <c r="Q22" s="89" t="str">
        <f>IF(BORClientPriceCompute[[#This Row],[Item Level]]=2,BORClientPriceCompute[[#This Row],[Desc without indent]],"")</f>
        <v/>
      </c>
      <c r="R22" s="89" t="str">
        <f>IF(BORClientPriceCompute[[#This Row],[Item Level]]&gt;=3,_xlfn.CONCAT(REPT(" ",BORClientPriceCompute[[#This Row],[Item Level]]-3), BORClientPriceCompute[[#This Row],[Desc without indent]]),"")</f>
        <v>Single Window (US) CW1</v>
      </c>
    </row>
    <row r="23" spans="2:18" x14ac:dyDescent="0.4">
      <c r="B23" s="27">
        <f>FIND(LEFT(TRIM(BORClientPriceCompute[[#This Row],[Description]]),1),BORClientPriceCompute[[#This Row],[Description]])-1</f>
        <v>3</v>
      </c>
      <c r="C23" s="13">
        <v>9023</v>
      </c>
      <c r="D23" s="13" t="s">
        <v>30</v>
      </c>
      <c r="E23" s="13" t="s">
        <v>58</v>
      </c>
      <c r="F23" s="13" t="s">
        <v>59</v>
      </c>
      <c r="G23" s="13">
        <v>0</v>
      </c>
      <c r="H23" s="13" t="s">
        <v>33</v>
      </c>
      <c r="I23" s="14" t="s">
        <v>55</v>
      </c>
      <c r="J23" s="3">
        <v>0</v>
      </c>
      <c r="K23" s="30" t="str">
        <f>IF(CONCATENATE(BORClientPriceCompute[[#This Row],[Category]],BORClientPriceCompute[[#This Row],[Code]])="","",IF(BORClientPriceCompute[[#This Row],[Base Price]]=0,"Free",BORClientPriceCompute[[#This Row],[Base Price]]))</f>
        <v>Free</v>
      </c>
      <c r="L23" s="31" t="str">
        <f>IF(CONCATENATE(BORClientPriceCompute[[#This Row],[Category]],BORClientPriceCompute[[#This Row],[Code]])="","",IF(BORClientPriceCompute[[#This Row],[License Units]]=0,"-",BORClientPriceCompute[[#This Row],[License Units]]))</f>
        <v>-</v>
      </c>
      <c r="M23"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3"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(US) CW1 + Partner</v>
      </c>
      <c r="O23" s="89" t="str">
        <f>IF(BORClientPriceCompute[[#This Row],[Item Level]]=0,BORClientPriceCompute[[#This Row],[Desc without indent]],"")</f>
        <v/>
      </c>
      <c r="P23" s="89" t="str">
        <f>IF(BORClientPriceCompute[[#This Row],[Item Level]]=1,BORClientPriceCompute[[#This Row],[Desc without indent]],"")</f>
        <v/>
      </c>
      <c r="Q23" s="89" t="str">
        <f>IF(BORClientPriceCompute[[#This Row],[Item Level]]=2,BORClientPriceCompute[[#This Row],[Desc without indent]],"")</f>
        <v/>
      </c>
      <c r="R23" s="89" t="str">
        <f>IF(BORClientPriceCompute[[#This Row],[Item Level]]&gt;=3,_xlfn.CONCAT(REPT(" ",BORClientPriceCompute[[#This Row],[Item Level]]-3), BORClientPriceCompute[[#This Row],[Desc without indent]]),"")</f>
        <v>Single Window (US) CW1 + Partner</v>
      </c>
    </row>
    <row r="24" spans="2:18" x14ac:dyDescent="0.4">
      <c r="B24" s="27">
        <f>FIND(LEFT(TRIM(BORClientPriceCompute[[#This Row],[Description]]),1),BORClientPriceCompute[[#This Row],[Description]])-1</f>
        <v>3</v>
      </c>
      <c r="C24" s="13">
        <v>9024</v>
      </c>
      <c r="D24" s="13" t="s">
        <v>30</v>
      </c>
      <c r="E24" s="13" t="s">
        <v>60</v>
      </c>
      <c r="F24" s="13" t="s">
        <v>61</v>
      </c>
      <c r="G24" s="13">
        <v>72.099999999999994</v>
      </c>
      <c r="H24" s="13" t="s">
        <v>33</v>
      </c>
      <c r="I24" s="14" t="s">
        <v>55</v>
      </c>
      <c r="J24" s="3">
        <v>721</v>
      </c>
      <c r="K24" s="30">
        <f>IF(CONCATENATE(BORClientPriceCompute[[#This Row],[Category]],BORClientPriceCompute[[#This Row],[Code]])="","",IF(BORClientPriceCompute[[#This Row],[Base Price]]=0,"Free",BORClientPriceCompute[[#This Row],[Base Price]]))</f>
        <v>72.099999999999994</v>
      </c>
      <c r="L24" s="31">
        <f>IF(CONCATENATE(BORClientPriceCompute[[#This Row],[Category]],BORClientPriceCompute[[#This Row],[Code]])="","",IF(BORClientPriceCompute[[#This Row],[License Units]]=0,"-",BORClientPriceCompute[[#This Row],[License Units]]))</f>
        <v>721</v>
      </c>
      <c r="M24"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4"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(US) Standalone</v>
      </c>
      <c r="O24" s="89" t="str">
        <f>IF(BORClientPriceCompute[[#This Row],[Item Level]]=0,BORClientPriceCompute[[#This Row],[Desc without indent]],"")</f>
        <v/>
      </c>
      <c r="P24" s="89" t="str">
        <f>IF(BORClientPriceCompute[[#This Row],[Item Level]]=1,BORClientPriceCompute[[#This Row],[Desc without indent]],"")</f>
        <v/>
      </c>
      <c r="Q24" s="89" t="str">
        <f>IF(BORClientPriceCompute[[#This Row],[Item Level]]=2,BORClientPriceCompute[[#This Row],[Desc without indent]],"")</f>
        <v/>
      </c>
      <c r="R24" s="89" t="str">
        <f>IF(BORClientPriceCompute[[#This Row],[Item Level]]&gt;=3,_xlfn.CONCAT(REPT(" ",BORClientPriceCompute[[#This Row],[Item Level]]-3), BORClientPriceCompute[[#This Row],[Desc without indent]]),"")</f>
        <v>Single Window (US) Standalone</v>
      </c>
    </row>
    <row r="25" spans="2:18" x14ac:dyDescent="0.4">
      <c r="B25" s="27">
        <f>FIND(LEFT(TRIM(BORClientPriceCompute[[#This Row],[Description]]),1),BORClientPriceCompute[[#This Row],[Description]])-1</f>
        <v>3</v>
      </c>
      <c r="C25" s="13">
        <v>9025</v>
      </c>
      <c r="D25" s="13" t="s">
        <v>30</v>
      </c>
      <c r="E25" s="13" t="s">
        <v>62</v>
      </c>
      <c r="F25" s="13" t="s">
        <v>63</v>
      </c>
      <c r="G25" s="13">
        <v>30.9</v>
      </c>
      <c r="H25" s="13" t="s">
        <v>33</v>
      </c>
      <c r="I25" s="14" t="s">
        <v>55</v>
      </c>
      <c r="J25" s="3">
        <v>309</v>
      </c>
      <c r="K25" s="30">
        <f>IF(CONCATENATE(BORClientPriceCompute[[#This Row],[Category]],BORClientPriceCompute[[#This Row],[Code]])="","",IF(BORClientPriceCompute[[#This Row],[Base Price]]=0,"Free",BORClientPriceCompute[[#This Row],[Base Price]]))</f>
        <v>30.9</v>
      </c>
      <c r="L25" s="31">
        <f>IF(CONCATENATE(BORClientPriceCompute[[#This Row],[Category]],BORClientPriceCompute[[#This Row],[Code]])="","",IF(BORClientPriceCompute[[#This Row],[License Units]]=0,"-",BORClientPriceCompute[[#This Row],[License Units]]))</f>
        <v>309</v>
      </c>
      <c r="M25"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Must be purchased with BorderWise Single Window (US)</v>
      </c>
      <c r="N25"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Pro Pack (US)</v>
      </c>
      <c r="O25" s="89" t="str">
        <f>IF(BORClientPriceCompute[[#This Row],[Item Level]]=0,BORClientPriceCompute[[#This Row],[Desc without indent]],"")</f>
        <v/>
      </c>
      <c r="P25" s="89" t="str">
        <f>IF(BORClientPriceCompute[[#This Row],[Item Level]]=1,BORClientPriceCompute[[#This Row],[Desc without indent]],"")</f>
        <v/>
      </c>
      <c r="Q25" s="89" t="str">
        <f>IF(BORClientPriceCompute[[#This Row],[Item Level]]=2,BORClientPriceCompute[[#This Row],[Desc without indent]],"")</f>
        <v/>
      </c>
      <c r="R25" s="89" t="str">
        <f>IF(BORClientPriceCompute[[#This Row],[Item Level]]&gt;=3,_xlfn.CONCAT(REPT(" ",BORClientPriceCompute[[#This Row],[Item Level]]-3), BORClientPriceCompute[[#This Row],[Desc without indent]]),"")</f>
        <v>Pro Pack (US)</v>
      </c>
    </row>
    <row r="26" spans="2:18" x14ac:dyDescent="0.4">
      <c r="B26" s="27">
        <f>FIND(LEFT(TRIM(BORClientPriceCompute[[#This Row],[Description]]),1),BORClientPriceCompute[[#This Row],[Description]])-1</f>
        <v>2</v>
      </c>
      <c r="C26" s="13">
        <v>9030</v>
      </c>
      <c r="D26" s="13"/>
      <c r="E26" s="13"/>
      <c r="F26" s="13" t="s">
        <v>650</v>
      </c>
      <c r="G26" s="13">
        <v>0</v>
      </c>
      <c r="H26" s="13"/>
      <c r="I26" s="14"/>
      <c r="J26" s="3">
        <v>0</v>
      </c>
      <c r="K26" s="30" t="str">
        <f>IF(CONCATENATE(BORClientPriceCompute[[#This Row],[Category]],BORClientPriceCompute[[#This Row],[Code]])="","",IF(BORClientPriceCompute[[#This Row],[Base Price]]=0,"Free",BORClientPriceCompute[[#This Row],[Base Price]]))</f>
        <v/>
      </c>
      <c r="L26" s="31" t="str">
        <f>IF(CONCATENATE(BORClientPriceCompute[[#This Row],[Category]],BORClientPriceCompute[[#This Row],[Code]])="","",IF(BORClientPriceCompute[[#This Row],[License Units]]=0,"-",BORClientPriceCompute[[#This Row],[License Units]]))</f>
        <v/>
      </c>
      <c r="M26"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26"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Licence ZA</v>
      </c>
      <c r="O26" s="89" t="str">
        <f>IF(BORClientPriceCompute[[#This Row],[Item Level]]=0,BORClientPriceCompute[[#This Row],[Desc without indent]],"")</f>
        <v/>
      </c>
      <c r="P26" s="89" t="str">
        <f>IF(BORClientPriceCompute[[#This Row],[Item Level]]=1,BORClientPriceCompute[[#This Row],[Desc without indent]],"")</f>
        <v/>
      </c>
      <c r="Q26" s="89" t="str">
        <f>IF(BORClientPriceCompute[[#This Row],[Item Level]]=2,BORClientPriceCompute[[#This Row],[Desc without indent]],"")</f>
        <v>BorderWise Licence ZA</v>
      </c>
      <c r="R26" s="89" t="str">
        <f>IF(BORClientPriceCompute[[#This Row],[Item Level]]&gt;=3,_xlfn.CONCAT(REPT(" ",BORClientPriceCompute[[#This Row],[Item Level]]-3), BORClientPriceCompute[[#This Row],[Desc without indent]]),"")</f>
        <v/>
      </c>
    </row>
    <row r="27" spans="2:18" x14ac:dyDescent="0.4">
      <c r="B27" s="27">
        <f>FIND(LEFT(TRIM(BORClientPriceCompute[[#This Row],[Description]]),1),BORClientPriceCompute[[#This Row],[Description]])-1</f>
        <v>3</v>
      </c>
      <c r="C27" s="13">
        <v>9031</v>
      </c>
      <c r="D27" s="13" t="s">
        <v>30</v>
      </c>
      <c r="E27" s="13" t="s">
        <v>64</v>
      </c>
      <c r="F27" s="13" t="s">
        <v>65</v>
      </c>
      <c r="G27" s="13">
        <v>206</v>
      </c>
      <c r="H27" s="13" t="s">
        <v>33</v>
      </c>
      <c r="I27" s="14" t="s">
        <v>66</v>
      </c>
      <c r="J27" s="3">
        <v>2060</v>
      </c>
      <c r="K27" s="30">
        <f>IF(CONCATENATE(BORClientPriceCompute[[#This Row],[Category]],BORClientPriceCompute[[#This Row],[Code]])="","",IF(BORClientPriceCompute[[#This Row],[Base Price]]=0,"Free",BORClientPriceCompute[[#This Row],[Base Price]]))</f>
        <v>206</v>
      </c>
      <c r="L27" s="31">
        <f>IF(CONCATENATE(BORClientPriceCompute[[#This Row],[Category]],BORClientPriceCompute[[#This Row],[Code]])="","",IF(BORClientPriceCompute[[#This Row],[License Units]]=0,"-",BORClientPriceCompute[[#This Row],[License Units]]))</f>
        <v>2060</v>
      </c>
      <c r="M27"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7"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(ZA) Partner</v>
      </c>
      <c r="O27" s="89" t="str">
        <f>IF(BORClientPriceCompute[[#This Row],[Item Level]]=0,BORClientPriceCompute[[#This Row],[Desc without indent]],"")</f>
        <v/>
      </c>
      <c r="P27" s="89" t="str">
        <f>IF(BORClientPriceCompute[[#This Row],[Item Level]]=1,BORClientPriceCompute[[#This Row],[Desc without indent]],"")</f>
        <v/>
      </c>
      <c r="Q27" s="89" t="str">
        <f>IF(BORClientPriceCompute[[#This Row],[Item Level]]=2,BORClientPriceCompute[[#This Row],[Desc without indent]],"")</f>
        <v/>
      </c>
      <c r="R27" s="89" t="str">
        <f>IF(BORClientPriceCompute[[#This Row],[Item Level]]&gt;=3,_xlfn.CONCAT(REPT(" ",BORClientPriceCompute[[#This Row],[Item Level]]-3), BORClientPriceCompute[[#This Row],[Desc without indent]]),"")</f>
        <v>Single Window (ZA) Partner</v>
      </c>
    </row>
    <row r="28" spans="2:18" x14ac:dyDescent="0.4">
      <c r="B28" s="27">
        <f>FIND(LEFT(TRIM(BORClientPriceCompute[[#This Row],[Description]]),1),BORClientPriceCompute[[#This Row],[Description]])-1</f>
        <v>3</v>
      </c>
      <c r="C28" s="13">
        <v>9032</v>
      </c>
      <c r="D28" s="13" t="s">
        <v>30</v>
      </c>
      <c r="E28" s="13" t="s">
        <v>67</v>
      </c>
      <c r="F28" s="13" t="s">
        <v>68</v>
      </c>
      <c r="G28" s="13">
        <v>309</v>
      </c>
      <c r="H28" s="13" t="s">
        <v>33</v>
      </c>
      <c r="I28" s="14" t="s">
        <v>66</v>
      </c>
      <c r="J28" s="3">
        <v>3090</v>
      </c>
      <c r="K28" s="30">
        <f>IF(CONCATENATE(BORClientPriceCompute[[#This Row],[Category]],BORClientPriceCompute[[#This Row],[Code]])="","",IF(BORClientPriceCompute[[#This Row],[Base Price]]=0,"Free",BORClientPriceCompute[[#This Row],[Base Price]]))</f>
        <v>309</v>
      </c>
      <c r="L28" s="31">
        <f>IF(CONCATENATE(BORClientPriceCompute[[#This Row],[Category]],BORClientPriceCompute[[#This Row],[Code]])="","",IF(BORClientPriceCompute[[#This Row],[License Units]]=0,"-",BORClientPriceCompute[[#This Row],[License Units]]))</f>
        <v>3090</v>
      </c>
      <c r="M28"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8"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(ZA) CW1</v>
      </c>
      <c r="O28" s="89" t="str">
        <f>IF(BORClientPriceCompute[[#This Row],[Item Level]]=0,BORClientPriceCompute[[#This Row],[Desc without indent]],"")</f>
        <v/>
      </c>
      <c r="P28" s="89" t="str">
        <f>IF(BORClientPriceCompute[[#This Row],[Item Level]]=1,BORClientPriceCompute[[#This Row],[Desc without indent]],"")</f>
        <v/>
      </c>
      <c r="Q28" s="89" t="str">
        <f>IF(BORClientPriceCompute[[#This Row],[Item Level]]=2,BORClientPriceCompute[[#This Row],[Desc without indent]],"")</f>
        <v/>
      </c>
      <c r="R28" s="89" t="str">
        <f>IF(BORClientPriceCompute[[#This Row],[Item Level]]&gt;=3,_xlfn.CONCAT(REPT(" ",BORClientPriceCompute[[#This Row],[Item Level]]-3), BORClientPriceCompute[[#This Row],[Desc without indent]]),"")</f>
        <v>Single Window (ZA) CW1</v>
      </c>
    </row>
    <row r="29" spans="2:18" x14ac:dyDescent="0.4">
      <c r="B29" s="27">
        <f>FIND(LEFT(TRIM(BORClientPriceCompute[[#This Row],[Description]]),1),BORClientPriceCompute[[#This Row],[Description]])-1</f>
        <v>3</v>
      </c>
      <c r="C29" s="13">
        <v>9033</v>
      </c>
      <c r="D29" s="13" t="s">
        <v>30</v>
      </c>
      <c r="E29" s="13" t="s">
        <v>69</v>
      </c>
      <c r="F29" s="13" t="s">
        <v>70</v>
      </c>
      <c r="G29" s="13">
        <v>0</v>
      </c>
      <c r="H29" s="13" t="s">
        <v>33</v>
      </c>
      <c r="I29" s="14" t="s">
        <v>66</v>
      </c>
      <c r="J29" s="3">
        <v>0</v>
      </c>
      <c r="K29" s="30" t="str">
        <f>IF(CONCATENATE(BORClientPriceCompute[[#This Row],[Category]],BORClientPriceCompute[[#This Row],[Code]])="","",IF(BORClientPriceCompute[[#This Row],[Base Price]]=0,"Free",BORClientPriceCompute[[#This Row],[Base Price]]))</f>
        <v>Free</v>
      </c>
      <c r="L29" s="31" t="str">
        <f>IF(CONCATENATE(BORClientPriceCompute[[#This Row],[Category]],BORClientPriceCompute[[#This Row],[Code]])="","",IF(BORClientPriceCompute[[#This Row],[License Units]]=0,"-",BORClientPriceCompute[[#This Row],[License Units]]))</f>
        <v>-</v>
      </c>
      <c r="M29"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29"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(ZA) CW1 + Partner</v>
      </c>
      <c r="O29" s="89" t="str">
        <f>IF(BORClientPriceCompute[[#This Row],[Item Level]]=0,BORClientPriceCompute[[#This Row],[Desc without indent]],"")</f>
        <v/>
      </c>
      <c r="P29" s="89" t="str">
        <f>IF(BORClientPriceCompute[[#This Row],[Item Level]]=1,BORClientPriceCompute[[#This Row],[Desc without indent]],"")</f>
        <v/>
      </c>
      <c r="Q29" s="89" t="str">
        <f>IF(BORClientPriceCompute[[#This Row],[Item Level]]=2,BORClientPriceCompute[[#This Row],[Desc without indent]],"")</f>
        <v/>
      </c>
      <c r="R29" s="89" t="str">
        <f>IF(BORClientPriceCompute[[#This Row],[Item Level]]&gt;=3,_xlfn.CONCAT(REPT(" ",BORClientPriceCompute[[#This Row],[Item Level]]-3), BORClientPriceCompute[[#This Row],[Desc without indent]]),"")</f>
        <v>Single Window (ZA) CW1 + Partner</v>
      </c>
    </row>
    <row r="30" spans="2:18" x14ac:dyDescent="0.4">
      <c r="B30" s="27">
        <f>FIND(LEFT(TRIM(BORClientPriceCompute[[#This Row],[Description]]),1),BORClientPriceCompute[[#This Row],[Description]])-1</f>
        <v>3</v>
      </c>
      <c r="C30" s="13">
        <v>9034</v>
      </c>
      <c r="D30" s="13" t="s">
        <v>30</v>
      </c>
      <c r="E30" s="13" t="s">
        <v>71</v>
      </c>
      <c r="F30" s="13" t="s">
        <v>72</v>
      </c>
      <c r="G30" s="13">
        <v>721</v>
      </c>
      <c r="H30" s="13" t="s">
        <v>33</v>
      </c>
      <c r="I30" s="14" t="s">
        <v>66</v>
      </c>
      <c r="J30" s="3">
        <v>7210</v>
      </c>
      <c r="K30" s="30">
        <f>IF(CONCATENATE(BORClientPriceCompute[[#This Row],[Category]],BORClientPriceCompute[[#This Row],[Code]])="","",IF(BORClientPriceCompute[[#This Row],[Base Price]]=0,"Free",BORClientPriceCompute[[#This Row],[Base Price]]))</f>
        <v>721</v>
      </c>
      <c r="L30" s="31">
        <f>IF(CONCATENATE(BORClientPriceCompute[[#This Row],[Category]],BORClientPriceCompute[[#This Row],[Code]])="","",IF(BORClientPriceCompute[[#This Row],[License Units]]=0,"-",BORClientPriceCompute[[#This Row],[License Units]]))</f>
        <v>7210</v>
      </c>
      <c r="M30"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30"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Single Window (ZA) Standalone</v>
      </c>
      <c r="O30" s="89" t="str">
        <f>IF(BORClientPriceCompute[[#This Row],[Item Level]]=0,BORClientPriceCompute[[#This Row],[Desc without indent]],"")</f>
        <v/>
      </c>
      <c r="P30" s="89" t="str">
        <f>IF(BORClientPriceCompute[[#This Row],[Item Level]]=1,BORClientPriceCompute[[#This Row],[Desc without indent]],"")</f>
        <v/>
      </c>
      <c r="Q30" s="89" t="str">
        <f>IF(BORClientPriceCompute[[#This Row],[Item Level]]=2,BORClientPriceCompute[[#This Row],[Desc without indent]],"")</f>
        <v/>
      </c>
      <c r="R30" s="89" t="str">
        <f>IF(BORClientPriceCompute[[#This Row],[Item Level]]&gt;=3,_xlfn.CONCAT(REPT(" ",BORClientPriceCompute[[#This Row],[Item Level]]-3), BORClientPriceCompute[[#This Row],[Desc without indent]]),"")</f>
        <v>Single Window (ZA) Standalone</v>
      </c>
    </row>
    <row r="31" spans="2:18" x14ac:dyDescent="0.4">
      <c r="B31" s="27">
        <f>FIND(LEFT(TRIM(BORClientPriceCompute[[#This Row],[Description]]),1),BORClientPriceCompute[[#This Row],[Description]])-1</f>
        <v>3</v>
      </c>
      <c r="C31" s="13">
        <v>9035</v>
      </c>
      <c r="D31" s="13" t="s">
        <v>30</v>
      </c>
      <c r="E31" s="13" t="s">
        <v>73</v>
      </c>
      <c r="F31" s="13" t="s">
        <v>74</v>
      </c>
      <c r="G31" s="13">
        <v>309</v>
      </c>
      <c r="H31" s="13" t="s">
        <v>33</v>
      </c>
      <c r="I31" s="14" t="s">
        <v>66</v>
      </c>
      <c r="J31" s="3">
        <v>3090</v>
      </c>
      <c r="K31" s="30">
        <f>IF(CONCATENATE(BORClientPriceCompute[[#This Row],[Category]],BORClientPriceCompute[[#This Row],[Code]])="","",IF(BORClientPriceCompute[[#This Row],[Base Price]]=0,"Free",BORClientPriceCompute[[#This Row],[Base Price]]))</f>
        <v>309</v>
      </c>
      <c r="L31" s="31">
        <f>IF(CONCATENATE(BORClientPriceCompute[[#This Row],[Category]],BORClientPriceCompute[[#This Row],[Code]])="","",IF(BORClientPriceCompute[[#This Row],[License Units]]=0,"-",BORClientPriceCompute[[#This Row],[License Units]]))</f>
        <v>3090</v>
      </c>
      <c r="M31"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Must be purchased with BorderWise Single Window (ZA)</v>
      </c>
      <c r="N31"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Pro Pack (ZA)</v>
      </c>
      <c r="O31" s="89" t="str">
        <f>IF(BORClientPriceCompute[[#This Row],[Item Level]]=0,BORClientPriceCompute[[#This Row],[Desc without indent]],"")</f>
        <v/>
      </c>
      <c r="P31" s="89" t="str">
        <f>IF(BORClientPriceCompute[[#This Row],[Item Level]]=1,BORClientPriceCompute[[#This Row],[Desc without indent]],"")</f>
        <v/>
      </c>
      <c r="Q31" s="89" t="str">
        <f>IF(BORClientPriceCompute[[#This Row],[Item Level]]=2,BORClientPriceCompute[[#This Row],[Desc without indent]],"")</f>
        <v/>
      </c>
      <c r="R31" s="89" t="str">
        <f>IF(BORClientPriceCompute[[#This Row],[Item Level]]&gt;=3,_xlfn.CONCAT(REPT(" ",BORClientPriceCompute[[#This Row],[Item Level]]-3), BORClientPriceCompute[[#This Row],[Desc without indent]]),"")</f>
        <v>Pro Pack (ZA)</v>
      </c>
    </row>
    <row r="32" spans="2:18" x14ac:dyDescent="0.4">
      <c r="B32" s="27">
        <f>FIND(LEFT(TRIM(BORClientPriceCompute[[#This Row],[Description]]),1),BORClientPriceCompute[[#This Row],[Description]])-1</f>
        <v>2</v>
      </c>
      <c r="C32" s="13">
        <v>9040</v>
      </c>
      <c r="D32" s="13"/>
      <c r="E32" s="13"/>
      <c r="F32" s="13" t="s">
        <v>651</v>
      </c>
      <c r="G32" s="13">
        <v>0</v>
      </c>
      <c r="H32" s="13"/>
      <c r="I32" s="14"/>
      <c r="J32" s="3">
        <v>0</v>
      </c>
      <c r="K32" s="30" t="str">
        <f>IF(CONCATENATE(BORClientPriceCompute[[#This Row],[Category]],BORClientPriceCompute[[#This Row],[Code]])="","",IF(BORClientPriceCompute[[#This Row],[Base Price]]=0,"Free",BORClientPriceCompute[[#This Row],[Base Price]]))</f>
        <v/>
      </c>
      <c r="L32" s="31" t="str">
        <f>IF(CONCATENATE(BORClientPriceCompute[[#This Row],[Category]],BORClientPriceCompute[[#This Row],[Code]])="","",IF(BORClientPriceCompute[[#This Row],[License Units]]=0,"-",BORClientPriceCompute[[#This Row],[License Units]]))</f>
        <v/>
      </c>
      <c r="M32"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32"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Licence Global</v>
      </c>
      <c r="O32" s="89" t="str">
        <f>IF(BORClientPriceCompute[[#This Row],[Item Level]]=0,BORClientPriceCompute[[#This Row],[Desc without indent]],"")</f>
        <v/>
      </c>
      <c r="P32" s="89" t="str">
        <f>IF(BORClientPriceCompute[[#This Row],[Item Level]]=1,BORClientPriceCompute[[#This Row],[Desc without indent]],"")</f>
        <v/>
      </c>
      <c r="Q32" s="89" t="str">
        <f>IF(BORClientPriceCompute[[#This Row],[Item Level]]=2,BORClientPriceCompute[[#This Row],[Desc without indent]],"")</f>
        <v>BorderWise Licence Global</v>
      </c>
      <c r="R32" s="89" t="str">
        <f>IF(BORClientPriceCompute[[#This Row],[Item Level]]&gt;=3,_xlfn.CONCAT(REPT(" ",BORClientPriceCompute[[#This Row],[Item Level]]-3), BORClientPriceCompute[[#This Row],[Desc without indent]]),"")</f>
        <v/>
      </c>
    </row>
    <row r="33" spans="1:18" x14ac:dyDescent="0.4">
      <c r="B33" s="27">
        <f>FIND(LEFT(TRIM(BORClientPriceCompute[[#This Row],[Description]]),1),BORClientPriceCompute[[#This Row],[Description]])-1</f>
        <v>3</v>
      </c>
      <c r="C33" s="13">
        <v>9041</v>
      </c>
      <c r="D33" s="13" t="s">
        <v>30</v>
      </c>
      <c r="E33" s="13" t="s">
        <v>75</v>
      </c>
      <c r="F33" s="13" t="s">
        <v>652</v>
      </c>
      <c r="G33" s="13">
        <v>72.099999999999994</v>
      </c>
      <c r="H33" s="13" t="s">
        <v>33</v>
      </c>
      <c r="I33" s="14" t="s">
        <v>55</v>
      </c>
      <c r="J33" s="3">
        <v>721</v>
      </c>
      <c r="K33" s="30">
        <f>IF(CONCATENATE(BORClientPriceCompute[[#This Row],[Category]],BORClientPriceCompute[[#This Row],[Code]])="","",IF(BORClientPriceCompute[[#This Row],[Base Price]]=0,"Free",BORClientPriceCompute[[#This Row],[Base Price]]))</f>
        <v>72.099999999999994</v>
      </c>
      <c r="L33" s="31">
        <f>IF(CONCATENATE(BORClientPriceCompute[[#This Row],[Category]],BORClientPriceCompute[[#This Row],[Code]])="","",IF(BORClientPriceCompute[[#This Row],[License Units]]=0,"-",BORClientPriceCompute[[#This Row],[License Units]]))</f>
        <v>721</v>
      </c>
      <c r="M33"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33"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Global Partner and/or CW1</v>
      </c>
      <c r="O33" s="89" t="str">
        <f>IF(BORClientPriceCompute[[#This Row],[Item Level]]=0,BORClientPriceCompute[[#This Row],[Desc without indent]],"")</f>
        <v/>
      </c>
      <c r="P33" s="89" t="str">
        <f>IF(BORClientPriceCompute[[#This Row],[Item Level]]=1,BORClientPriceCompute[[#This Row],[Desc without indent]],"")</f>
        <v/>
      </c>
      <c r="Q33" s="89" t="str">
        <f>IF(BORClientPriceCompute[[#This Row],[Item Level]]=2,BORClientPriceCompute[[#This Row],[Desc without indent]],"")</f>
        <v/>
      </c>
      <c r="R33" s="89" t="str">
        <f>IF(BORClientPriceCompute[[#This Row],[Item Level]]&gt;=3,_xlfn.CONCAT(REPT(" ",BORClientPriceCompute[[#This Row],[Item Level]]-3), BORClientPriceCompute[[#This Row],[Desc without indent]]),"")</f>
        <v>Global Partner and/or CW1</v>
      </c>
    </row>
    <row r="34" spans="1:18" x14ac:dyDescent="0.4">
      <c r="B34" s="27">
        <f>FIND(LEFT(TRIM(BORClientPriceCompute[[#This Row],[Description]]),1),BORClientPriceCompute[[#This Row],[Description]])-1</f>
        <v>3</v>
      </c>
      <c r="C34" s="13">
        <v>9042</v>
      </c>
      <c r="D34" s="13" t="s">
        <v>30</v>
      </c>
      <c r="E34" s="13" t="s">
        <v>76</v>
      </c>
      <c r="F34" s="13" t="s">
        <v>653</v>
      </c>
      <c r="G34" s="13">
        <v>175.1</v>
      </c>
      <c r="H34" s="13" t="s">
        <v>33</v>
      </c>
      <c r="I34" s="14" t="s">
        <v>55</v>
      </c>
      <c r="J34" s="3">
        <v>1751</v>
      </c>
      <c r="K34" s="30">
        <f>IF(CONCATENATE(BORClientPriceCompute[[#This Row],[Category]],BORClientPriceCompute[[#This Row],[Code]])="","",IF(BORClientPriceCompute[[#This Row],[Base Price]]=0,"Free",BORClientPriceCompute[[#This Row],[Base Price]]))</f>
        <v>175.1</v>
      </c>
      <c r="L34" s="31">
        <f>IF(CONCATENATE(BORClientPriceCompute[[#This Row],[Category]],BORClientPriceCompute[[#This Row],[Code]])="","",IF(BORClientPriceCompute[[#This Row],[License Units]]=0,"-",BORClientPriceCompute[[#This Row],[License Units]]))</f>
        <v>1751</v>
      </c>
      <c r="M34"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34"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Global Standalone</v>
      </c>
      <c r="O34" s="89" t="str">
        <f>IF(BORClientPriceCompute[[#This Row],[Item Level]]=0,BORClientPriceCompute[[#This Row],[Desc without indent]],"")</f>
        <v/>
      </c>
      <c r="P34" s="89" t="str">
        <f>IF(BORClientPriceCompute[[#This Row],[Item Level]]=1,BORClientPriceCompute[[#This Row],[Desc without indent]],"")</f>
        <v/>
      </c>
      <c r="Q34" s="89" t="str">
        <f>IF(BORClientPriceCompute[[#This Row],[Item Level]]=2,BORClientPriceCompute[[#This Row],[Desc without indent]],"")</f>
        <v/>
      </c>
      <c r="R34" s="89" t="str">
        <f>IF(BORClientPriceCompute[[#This Row],[Item Level]]&gt;=3,_xlfn.CONCAT(REPT(" ",BORClientPriceCompute[[#This Row],[Item Level]]-3), BORClientPriceCompute[[#This Row],[Desc without indent]]),"")</f>
        <v>Global Standalone</v>
      </c>
    </row>
    <row r="35" spans="1:18" x14ac:dyDescent="0.4">
      <c r="B35" s="27">
        <f>FIND(LEFT(TRIM(BORClientPriceCompute[[#This Row],[Description]]),1),BORClientPriceCompute[[#This Row],[Description]])-1</f>
        <v>3</v>
      </c>
      <c r="C35" s="13">
        <v>9043</v>
      </c>
      <c r="D35" s="13" t="s">
        <v>30</v>
      </c>
      <c r="E35" s="13" t="s">
        <v>77</v>
      </c>
      <c r="F35" s="13" t="s">
        <v>78</v>
      </c>
      <c r="G35" s="13">
        <v>30.9</v>
      </c>
      <c r="H35" s="13" t="s">
        <v>33</v>
      </c>
      <c r="I35" s="14" t="s">
        <v>55</v>
      </c>
      <c r="J35" s="3">
        <v>309</v>
      </c>
      <c r="K35" s="30">
        <f>IF(CONCATENATE(BORClientPriceCompute[[#This Row],[Category]],BORClientPriceCompute[[#This Row],[Code]])="","",IF(BORClientPriceCompute[[#This Row],[Base Price]]=0,"Free",BORClientPriceCompute[[#This Row],[Base Price]]))</f>
        <v>30.9</v>
      </c>
      <c r="L35" s="31">
        <f>IF(CONCATENATE(BORClientPriceCompute[[#This Row],[Category]],BORClientPriceCompute[[#This Row],[Code]])="","",IF(BORClientPriceCompute[[#This Row],[License Units]]=0,"-",BORClientPriceCompute[[#This Row],[License Units]]))</f>
        <v>309</v>
      </c>
      <c r="M35"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Must be purchased with BorderWise Global Licence</v>
      </c>
      <c r="N35"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Pro Pack (Global)</v>
      </c>
      <c r="O35" s="89" t="str">
        <f>IF(BORClientPriceCompute[[#This Row],[Item Level]]=0,BORClientPriceCompute[[#This Row],[Desc without indent]],"")</f>
        <v/>
      </c>
      <c r="P35" s="89" t="str">
        <f>IF(BORClientPriceCompute[[#This Row],[Item Level]]=1,BORClientPriceCompute[[#This Row],[Desc without indent]],"")</f>
        <v/>
      </c>
      <c r="Q35" s="89" t="str">
        <f>IF(BORClientPriceCompute[[#This Row],[Item Level]]=2,BORClientPriceCompute[[#This Row],[Desc without indent]],"")</f>
        <v/>
      </c>
      <c r="R35" s="89" t="str">
        <f>IF(BORClientPriceCompute[[#This Row],[Item Level]]&gt;=3,_xlfn.CONCAT(REPT(" ",BORClientPriceCompute[[#This Row],[Item Level]]-3), BORClientPriceCompute[[#This Row],[Desc without indent]]),"")</f>
        <v>Pro Pack (Global)</v>
      </c>
    </row>
    <row r="36" spans="1:18" x14ac:dyDescent="0.4">
      <c r="B36" s="27">
        <f>FIND(LEFT(TRIM(BORClientPriceCompute[[#This Row],[Description]]),1),BORClientPriceCompute[[#This Row],[Description]])-1</f>
        <v>2</v>
      </c>
      <c r="C36" s="13">
        <v>9044</v>
      </c>
      <c r="D36" s="13"/>
      <c r="E36" s="13"/>
      <c r="F36" s="13" t="s">
        <v>79</v>
      </c>
      <c r="G36" s="13">
        <v>0</v>
      </c>
      <c r="H36" s="13" t="s">
        <v>33</v>
      </c>
      <c r="I36" s="14"/>
      <c r="J36" s="3">
        <v>0</v>
      </c>
      <c r="K36" s="30" t="str">
        <f>IF(CONCATENATE(BORClientPriceCompute[[#This Row],[Category]],BORClientPriceCompute[[#This Row],[Code]])="","",IF(BORClientPriceCompute[[#This Row],[Base Price]]=0,"Free",BORClientPriceCompute[[#This Row],[Base Price]]))</f>
        <v/>
      </c>
      <c r="L36" s="31" t="str">
        <f>IF(CONCATENATE(BORClientPriceCompute[[#This Row],[Category]],BORClientPriceCompute[[#This Row],[Code]])="","",IF(BORClientPriceCompute[[#This Row],[License Units]]=0,"-",BORClientPriceCompute[[#This Row],[License Units]]))</f>
        <v/>
      </c>
      <c r="M36"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
      </c>
      <c r="N36"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BorderWise Free Trial Licence</v>
      </c>
      <c r="O36" s="89" t="str">
        <f>IF(BORClientPriceCompute[[#This Row],[Item Level]]=0,BORClientPriceCompute[[#This Row],[Desc without indent]],"")</f>
        <v/>
      </c>
      <c r="P36" s="89" t="str">
        <f>IF(BORClientPriceCompute[[#This Row],[Item Level]]=1,BORClientPriceCompute[[#This Row],[Desc without indent]],"")</f>
        <v/>
      </c>
      <c r="Q36" s="89" t="str">
        <f>IF(BORClientPriceCompute[[#This Row],[Item Level]]=2,BORClientPriceCompute[[#This Row],[Desc without indent]],"")</f>
        <v>BorderWise Free Trial Licence</v>
      </c>
      <c r="R36" s="89" t="str">
        <f>IF(BORClientPriceCompute[[#This Row],[Item Level]]&gt;=3,_xlfn.CONCAT(REPT(" ",BORClientPriceCompute[[#This Row],[Item Level]]-3), BORClientPriceCompute[[#This Row],[Desc without indent]]),"")</f>
        <v/>
      </c>
    </row>
    <row r="37" spans="1:18" x14ac:dyDescent="0.4">
      <c r="B37" s="27">
        <f>FIND(LEFT(TRIM(BORClientPriceCompute[[#This Row],[Description]]),1),BORClientPriceCompute[[#This Row],[Description]])-1</f>
        <v>3</v>
      </c>
      <c r="C37" s="13">
        <v>9045</v>
      </c>
      <c r="D37" s="13" t="s">
        <v>30</v>
      </c>
      <c r="E37" s="13" t="s">
        <v>80</v>
      </c>
      <c r="F37" s="13" t="s">
        <v>81</v>
      </c>
      <c r="G37" s="13">
        <v>0</v>
      </c>
      <c r="H37" s="13" t="s">
        <v>33</v>
      </c>
      <c r="I37" s="14"/>
      <c r="J37" s="3">
        <v>0</v>
      </c>
      <c r="K37" s="30" t="str">
        <f>IF(CONCATENATE(BORClientPriceCompute[[#This Row],[Category]],BORClientPriceCompute[[#This Row],[Code]])="","",IF(BORClientPriceCompute[[#This Row],[Base Price]]=0,"Free",BORClientPriceCompute[[#This Row],[Base Price]]))</f>
        <v>Free</v>
      </c>
      <c r="L37" s="31" t="str">
        <f>IF(CONCATENATE(BORClientPriceCompute[[#This Row],[Category]],BORClientPriceCompute[[#This Row],[Code]])="","",IF(BORClientPriceCompute[[#This Row],[License Units]]=0,"-",BORClientPriceCompute[[#This Row],[License Units]]))</f>
        <v>-</v>
      </c>
      <c r="M37" s="15" t="str">
        <f>IF(BORClientPriceCompute[[#This Row],[Code]]="","",IF(BORClientPriceCompute[[#This Row],[Code]]="BW3",$C$4,IF(ISNUMBER(SEARCH("Pro Pack",BORClientPriceCompute[[#This Row],[Description]])),$C$3&amp;RIGHT(BORClientPriceCompute[[#This Row],[Description]],LEN(BORClientPriceCompute[[#This Row],[Description]])-FIND("(",BORClientPriceCompute[[#This Row],[Description]])+1),"N/A")))</f>
        <v>N/A</v>
      </c>
      <c r="N37" s="88" t="str">
        <f>IF(OR(RIGHT(TRIM(BORClientPriceCompute[[#This Row],[Description]]),2)="SG",RIGHT(TRIM(BORClientPriceCompute[[#This Row],[Description]]),2)="UK",RIGHT(TRIM(BORClientPriceCompute[[#This Row],[Description]]),2)="IE",RIGHT(TRIM(BORClientPriceCompute[[#This Row],[Description]]),2)="EU"),TRIM(BORClientPriceCompute[[#This Row],[Description]])&amp;" *Currently on introductory pricing",TRIM(BORClientPriceCompute[[#This Row],[Description]]))</f>
        <v>Free Trial Access</v>
      </c>
      <c r="O37" s="89" t="str">
        <f>IF(BORClientPriceCompute[[#This Row],[Item Level]]=0,BORClientPriceCompute[[#This Row],[Desc without indent]],"")</f>
        <v/>
      </c>
      <c r="P37" s="89" t="str">
        <f>IF(BORClientPriceCompute[[#This Row],[Item Level]]=1,BORClientPriceCompute[[#This Row],[Desc without indent]],"")</f>
        <v/>
      </c>
      <c r="Q37" s="89" t="str">
        <f>IF(BORClientPriceCompute[[#This Row],[Item Level]]=2,BORClientPriceCompute[[#This Row],[Desc without indent]],"")</f>
        <v/>
      </c>
      <c r="R37" s="89" t="str">
        <f>IF(BORClientPriceCompute[[#This Row],[Item Level]]&gt;=3,_xlfn.CONCAT(REPT(" ",BORClientPriceCompute[[#This Row],[Item Level]]-3), BORClientPriceCompute[[#This Row],[Desc without indent]]),"")</f>
        <v>Free Trial Access</v>
      </c>
    </row>
    <row r="46" spans="1:18" x14ac:dyDescent="0.4">
      <c r="A46" s="32"/>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ECB5-C56A-4EBB-AE3C-C0E037F46803}">
  <sheetPr codeName="Sheet15">
    <tabColor rgb="FF92D050"/>
  </sheetPr>
  <dimension ref="B1:L36"/>
  <sheetViews>
    <sheetView workbookViewId="0">
      <selection activeCell="L8" sqref="L8"/>
    </sheetView>
  </sheetViews>
  <sheetFormatPr defaultRowHeight="14.6" x14ac:dyDescent="0.4"/>
  <cols>
    <col min="2" max="2" width="3.15234375" customWidth="1"/>
    <col min="3" max="3" width="3.3828125" customWidth="1"/>
    <col min="4" max="4" width="3" customWidth="1"/>
    <col min="5" max="6" width="3.15234375" customWidth="1"/>
    <col min="7" max="7" width="40.84375" customWidth="1"/>
    <col min="8" max="8" width="51.23046875" bestFit="1" customWidth="1"/>
    <col min="9" max="9" width="23" customWidth="1"/>
    <col min="10" max="10" width="10.69140625" customWidth="1"/>
    <col min="12" max="12" width="16.921875" bestFit="1" customWidth="1"/>
  </cols>
  <sheetData>
    <row r="1" spans="2:12" ht="26.9" customHeight="1" x14ac:dyDescent="0.6">
      <c r="B1" s="320" t="s">
        <v>29</v>
      </c>
      <c r="C1" s="320"/>
      <c r="D1" s="320"/>
      <c r="E1" s="320"/>
      <c r="F1" s="320"/>
      <c r="G1" s="320"/>
      <c r="H1" s="320"/>
      <c r="I1" s="320"/>
      <c r="J1" s="320"/>
      <c r="K1" s="320"/>
      <c r="L1" s="287"/>
    </row>
    <row r="2" spans="2:12" x14ac:dyDescent="0.4">
      <c r="B2" s="321"/>
      <c r="C2" s="321"/>
      <c r="D2" s="321"/>
      <c r="E2" s="321"/>
      <c r="F2" s="321"/>
      <c r="G2" s="321"/>
      <c r="H2" s="321"/>
      <c r="I2" s="321"/>
      <c r="J2" s="321"/>
      <c r="K2" s="321"/>
      <c r="L2" s="287"/>
    </row>
    <row r="5" spans="2:12" x14ac:dyDescent="0.4">
      <c r="B5" s="124" t="s">
        <v>14</v>
      </c>
      <c r="C5" s="124" t="s">
        <v>15</v>
      </c>
      <c r="D5" s="124" t="s">
        <v>501</v>
      </c>
      <c r="E5" s="124" t="s">
        <v>502</v>
      </c>
      <c r="F5" s="124" t="s">
        <v>503</v>
      </c>
      <c r="G5" s="124" t="s">
        <v>378</v>
      </c>
      <c r="H5" s="124" t="s">
        <v>27</v>
      </c>
      <c r="I5" s="124" t="s">
        <v>8</v>
      </c>
      <c r="J5" s="124" t="s">
        <v>23</v>
      </c>
      <c r="K5" s="124" t="s">
        <v>83</v>
      </c>
      <c r="L5" s="124" t="s">
        <v>0</v>
      </c>
    </row>
    <row r="6" spans="2:12" x14ac:dyDescent="0.4">
      <c r="B6" s="308">
        <v>9000</v>
      </c>
      <c r="C6" s="308">
        <v>0</v>
      </c>
      <c r="D6" s="308" t="s">
        <v>29</v>
      </c>
      <c r="E6" s="308"/>
      <c r="F6" s="308"/>
      <c r="G6" s="308"/>
      <c r="H6" s="308"/>
      <c r="I6" s="308" t="s">
        <v>376</v>
      </c>
      <c r="J6" s="308" t="s">
        <v>376</v>
      </c>
      <c r="K6" s="308"/>
      <c r="L6" s="308"/>
    </row>
    <row r="7" spans="2:12" x14ac:dyDescent="0.4">
      <c r="B7" s="308">
        <v>9001</v>
      </c>
      <c r="C7" s="308">
        <v>2</v>
      </c>
      <c r="D7" s="308"/>
      <c r="E7" s="287"/>
      <c r="F7" s="308" t="s">
        <v>654</v>
      </c>
      <c r="G7" s="287"/>
      <c r="H7" s="287"/>
      <c r="I7" s="287" t="s">
        <v>376</v>
      </c>
      <c r="J7" s="287" t="s">
        <v>376</v>
      </c>
      <c r="K7" s="287"/>
      <c r="L7" s="308"/>
    </row>
    <row r="8" spans="2:12" x14ac:dyDescent="0.4">
      <c r="B8" s="308">
        <v>9002</v>
      </c>
      <c r="C8" s="308">
        <v>3</v>
      </c>
      <c r="D8" s="287"/>
      <c r="E8" s="287"/>
      <c r="F8" s="308"/>
      <c r="G8" s="308" t="s">
        <v>660</v>
      </c>
      <c r="H8" s="287" t="s">
        <v>850</v>
      </c>
      <c r="I8" s="287" t="s">
        <v>33</v>
      </c>
      <c r="J8" s="287" t="s">
        <v>16</v>
      </c>
      <c r="K8" s="287">
        <v>20.6</v>
      </c>
      <c r="L8" s="287">
        <v>206</v>
      </c>
    </row>
    <row r="9" spans="2:12" x14ac:dyDescent="0.4">
      <c r="B9" s="308">
        <v>9003</v>
      </c>
      <c r="C9" s="287">
        <v>3</v>
      </c>
      <c r="D9" s="287"/>
      <c r="E9" s="287"/>
      <c r="F9" s="287"/>
      <c r="G9" s="308" t="s">
        <v>661</v>
      </c>
      <c r="H9" s="287" t="s">
        <v>850</v>
      </c>
      <c r="I9" s="287" t="s">
        <v>33</v>
      </c>
      <c r="J9" s="287" t="s">
        <v>16</v>
      </c>
      <c r="K9" s="287">
        <v>30.9</v>
      </c>
      <c r="L9" s="287">
        <v>309</v>
      </c>
    </row>
    <row r="10" spans="2:12" x14ac:dyDescent="0.4">
      <c r="B10" s="308">
        <v>9004</v>
      </c>
      <c r="C10" s="287">
        <v>3</v>
      </c>
      <c r="D10" s="287"/>
      <c r="E10" s="287"/>
      <c r="F10" s="287"/>
      <c r="G10" s="308" t="s">
        <v>662</v>
      </c>
      <c r="H10" s="287" t="s">
        <v>850</v>
      </c>
      <c r="I10" s="287" t="s">
        <v>33</v>
      </c>
      <c r="J10" s="287" t="s">
        <v>16</v>
      </c>
      <c r="K10" s="287" t="s">
        <v>684</v>
      </c>
      <c r="L10" s="287" t="s">
        <v>685</v>
      </c>
    </row>
    <row r="11" spans="2:12" x14ac:dyDescent="0.4">
      <c r="B11" s="308">
        <v>9005</v>
      </c>
      <c r="C11" s="287">
        <v>3</v>
      </c>
      <c r="D11" s="287"/>
      <c r="E11" s="287"/>
      <c r="F11" s="287"/>
      <c r="G11" s="308" t="s">
        <v>663</v>
      </c>
      <c r="H11" s="287" t="s">
        <v>850</v>
      </c>
      <c r="I11" s="287" t="s">
        <v>33</v>
      </c>
      <c r="J11" s="287" t="s">
        <v>16</v>
      </c>
      <c r="K11" s="287">
        <v>72.099999999999994</v>
      </c>
      <c r="L11" s="287">
        <v>721</v>
      </c>
    </row>
    <row r="12" spans="2:12" x14ac:dyDescent="0.4">
      <c r="B12" s="308">
        <v>9006</v>
      </c>
      <c r="C12" s="287">
        <v>3</v>
      </c>
      <c r="D12" s="287"/>
      <c r="E12" s="287"/>
      <c r="F12" s="287"/>
      <c r="G12" s="308" t="s">
        <v>664</v>
      </c>
      <c r="H12" s="287" t="s">
        <v>851</v>
      </c>
      <c r="I12" s="287" t="s">
        <v>33</v>
      </c>
      <c r="J12" s="287" t="s">
        <v>16</v>
      </c>
      <c r="K12" s="287">
        <v>30.9</v>
      </c>
      <c r="L12" s="287">
        <v>309</v>
      </c>
    </row>
    <row r="13" spans="2:12" x14ac:dyDescent="0.4">
      <c r="B13" s="308">
        <v>9010</v>
      </c>
      <c r="C13" s="308">
        <v>2</v>
      </c>
      <c r="D13" s="287"/>
      <c r="E13" s="287"/>
      <c r="F13" s="308" t="s">
        <v>655</v>
      </c>
      <c r="G13" s="308"/>
      <c r="H13" s="308"/>
      <c r="I13" s="308" t="s">
        <v>376</v>
      </c>
      <c r="J13" s="308" t="s">
        <v>376</v>
      </c>
      <c r="K13" s="308"/>
      <c r="L13" s="308"/>
    </row>
    <row r="14" spans="2:12" x14ac:dyDescent="0.4">
      <c r="B14" s="308">
        <v>9011</v>
      </c>
      <c r="C14" s="308">
        <v>3</v>
      </c>
      <c r="D14" s="287"/>
      <c r="E14" s="287"/>
      <c r="F14" s="308"/>
      <c r="G14" s="308" t="s">
        <v>665</v>
      </c>
      <c r="H14" s="287" t="s">
        <v>850</v>
      </c>
      <c r="I14" s="287" t="s">
        <v>33</v>
      </c>
      <c r="J14" s="287" t="s">
        <v>44</v>
      </c>
      <c r="K14" s="287">
        <v>20.6</v>
      </c>
      <c r="L14" s="287">
        <v>206</v>
      </c>
    </row>
    <row r="15" spans="2:12" x14ac:dyDescent="0.4">
      <c r="B15" s="308">
        <v>9012</v>
      </c>
      <c r="C15" s="287">
        <v>3</v>
      </c>
      <c r="D15" s="287"/>
      <c r="E15" s="287"/>
      <c r="F15" s="287"/>
      <c r="G15" s="308" t="s">
        <v>666</v>
      </c>
      <c r="H15" s="287" t="s">
        <v>850</v>
      </c>
      <c r="I15" s="287" t="s">
        <v>33</v>
      </c>
      <c r="J15" s="287" t="s">
        <v>44</v>
      </c>
      <c r="K15" s="287">
        <v>30.9</v>
      </c>
      <c r="L15" s="287">
        <v>309</v>
      </c>
    </row>
    <row r="16" spans="2:12" x14ac:dyDescent="0.4">
      <c r="B16" s="308">
        <v>9013</v>
      </c>
      <c r="C16" s="287">
        <v>3</v>
      </c>
      <c r="D16" s="287"/>
      <c r="E16" s="287"/>
      <c r="F16" s="287"/>
      <c r="G16" s="308" t="s">
        <v>667</v>
      </c>
      <c r="H16" s="287" t="s">
        <v>850</v>
      </c>
      <c r="I16" s="287" t="s">
        <v>33</v>
      </c>
      <c r="J16" s="287" t="s">
        <v>44</v>
      </c>
      <c r="K16" s="287" t="s">
        <v>684</v>
      </c>
      <c r="L16" s="287" t="s">
        <v>685</v>
      </c>
    </row>
    <row r="17" spans="2:12" x14ac:dyDescent="0.4">
      <c r="B17" s="308">
        <v>9014</v>
      </c>
      <c r="C17" s="287">
        <v>3</v>
      </c>
      <c r="D17" s="287"/>
      <c r="E17" s="287"/>
      <c r="F17" s="287"/>
      <c r="G17" s="308" t="s">
        <v>668</v>
      </c>
      <c r="H17" s="287" t="s">
        <v>850</v>
      </c>
      <c r="I17" s="287" t="s">
        <v>33</v>
      </c>
      <c r="J17" s="287" t="s">
        <v>44</v>
      </c>
      <c r="K17" s="287">
        <v>72.099999999999994</v>
      </c>
      <c r="L17" s="287">
        <v>721</v>
      </c>
    </row>
    <row r="18" spans="2:12" x14ac:dyDescent="0.4">
      <c r="B18" s="308">
        <v>9015</v>
      </c>
      <c r="C18" s="287">
        <v>3</v>
      </c>
      <c r="D18" s="287"/>
      <c r="E18" s="287"/>
      <c r="F18" s="287"/>
      <c r="G18" s="308" t="s">
        <v>669</v>
      </c>
      <c r="H18" s="287" t="s">
        <v>852</v>
      </c>
      <c r="I18" s="287" t="s">
        <v>33</v>
      </c>
      <c r="J18" s="287" t="s">
        <v>44</v>
      </c>
      <c r="K18" s="287">
        <v>30.9</v>
      </c>
      <c r="L18" s="287">
        <v>309</v>
      </c>
    </row>
    <row r="19" spans="2:12" x14ac:dyDescent="0.4">
      <c r="B19" s="308">
        <v>9020</v>
      </c>
      <c r="C19" s="308">
        <v>2</v>
      </c>
      <c r="D19" s="287"/>
      <c r="E19" s="287"/>
      <c r="F19" s="308" t="s">
        <v>656</v>
      </c>
      <c r="G19" s="308"/>
      <c r="H19" s="308"/>
      <c r="I19" s="308" t="s">
        <v>376</v>
      </c>
      <c r="J19" s="308" t="s">
        <v>376</v>
      </c>
      <c r="K19" s="308"/>
      <c r="L19" s="308"/>
    </row>
    <row r="20" spans="2:12" x14ac:dyDescent="0.4">
      <c r="B20" s="308">
        <v>9021</v>
      </c>
      <c r="C20" s="308">
        <v>3</v>
      </c>
      <c r="D20" s="287"/>
      <c r="E20" s="287"/>
      <c r="F20" s="308"/>
      <c r="G20" s="308" t="s">
        <v>670</v>
      </c>
      <c r="H20" s="287" t="s">
        <v>850</v>
      </c>
      <c r="I20" s="287" t="s">
        <v>33</v>
      </c>
      <c r="J20" s="287" t="s">
        <v>55</v>
      </c>
      <c r="K20" s="287">
        <v>20.6</v>
      </c>
      <c r="L20" s="287">
        <v>206</v>
      </c>
    </row>
    <row r="21" spans="2:12" x14ac:dyDescent="0.4">
      <c r="B21" s="308">
        <v>9022</v>
      </c>
      <c r="C21" s="287">
        <v>3</v>
      </c>
      <c r="D21" s="287"/>
      <c r="E21" s="287"/>
      <c r="F21" s="287"/>
      <c r="G21" s="308" t="s">
        <v>671</v>
      </c>
      <c r="H21" s="287" t="s">
        <v>850</v>
      </c>
      <c r="I21" s="287" t="s">
        <v>33</v>
      </c>
      <c r="J21" s="287" t="s">
        <v>55</v>
      </c>
      <c r="K21" s="287">
        <v>30.9</v>
      </c>
      <c r="L21" s="287">
        <v>309</v>
      </c>
    </row>
    <row r="22" spans="2:12" x14ac:dyDescent="0.4">
      <c r="B22" s="308">
        <v>9023</v>
      </c>
      <c r="C22" s="287">
        <v>3</v>
      </c>
      <c r="D22" s="287"/>
      <c r="E22" s="287"/>
      <c r="F22" s="287"/>
      <c r="G22" s="308" t="s">
        <v>672</v>
      </c>
      <c r="H22" s="287" t="s">
        <v>850</v>
      </c>
      <c r="I22" s="287" t="s">
        <v>33</v>
      </c>
      <c r="J22" s="287" t="s">
        <v>55</v>
      </c>
      <c r="K22" s="287" t="s">
        <v>684</v>
      </c>
      <c r="L22" s="287" t="s">
        <v>685</v>
      </c>
    </row>
    <row r="23" spans="2:12" x14ac:dyDescent="0.4">
      <c r="B23" s="308">
        <v>9024</v>
      </c>
      <c r="C23" s="287">
        <v>3</v>
      </c>
      <c r="D23" s="287"/>
      <c r="E23" s="287"/>
      <c r="F23" s="287"/>
      <c r="G23" s="308" t="s">
        <v>673</v>
      </c>
      <c r="H23" s="287" t="s">
        <v>850</v>
      </c>
      <c r="I23" s="287" t="s">
        <v>33</v>
      </c>
      <c r="J23" s="287" t="s">
        <v>55</v>
      </c>
      <c r="K23" s="287">
        <v>72.099999999999994</v>
      </c>
      <c r="L23" s="287">
        <v>721</v>
      </c>
    </row>
    <row r="24" spans="2:12" x14ac:dyDescent="0.4">
      <c r="B24" s="308">
        <v>9025</v>
      </c>
      <c r="C24" s="287">
        <v>3</v>
      </c>
      <c r="D24" s="287"/>
      <c r="E24" s="287"/>
      <c r="F24" s="287"/>
      <c r="G24" s="308" t="s">
        <v>674</v>
      </c>
      <c r="H24" s="287" t="s">
        <v>853</v>
      </c>
      <c r="I24" s="287" t="s">
        <v>33</v>
      </c>
      <c r="J24" s="287" t="s">
        <v>55</v>
      </c>
      <c r="K24" s="287">
        <v>30.9</v>
      </c>
      <c r="L24" s="287">
        <v>309</v>
      </c>
    </row>
    <row r="25" spans="2:12" x14ac:dyDescent="0.4">
      <c r="B25" s="308">
        <v>9030</v>
      </c>
      <c r="C25" s="308">
        <v>2</v>
      </c>
      <c r="D25" s="287"/>
      <c r="E25" s="287"/>
      <c r="F25" s="308" t="s">
        <v>657</v>
      </c>
      <c r="G25" s="308"/>
      <c r="H25" s="308"/>
      <c r="I25" s="308" t="s">
        <v>376</v>
      </c>
      <c r="J25" s="308" t="s">
        <v>376</v>
      </c>
      <c r="K25" s="308"/>
      <c r="L25" s="308"/>
    </row>
    <row r="26" spans="2:12" x14ac:dyDescent="0.4">
      <c r="B26" s="308">
        <v>9031</v>
      </c>
      <c r="C26" s="308">
        <v>3</v>
      </c>
      <c r="D26" s="287"/>
      <c r="E26" s="287"/>
      <c r="F26" s="308"/>
      <c r="G26" s="308" t="s">
        <v>675</v>
      </c>
      <c r="H26" s="287" t="s">
        <v>850</v>
      </c>
      <c r="I26" s="287" t="s">
        <v>33</v>
      </c>
      <c r="J26" s="287" t="s">
        <v>66</v>
      </c>
      <c r="K26" s="287">
        <v>206</v>
      </c>
      <c r="L26" s="287">
        <v>2060</v>
      </c>
    </row>
    <row r="27" spans="2:12" x14ac:dyDescent="0.4">
      <c r="B27" s="308">
        <v>9032</v>
      </c>
      <c r="C27" s="287">
        <v>3</v>
      </c>
      <c r="D27" s="287"/>
      <c r="E27" s="287"/>
      <c r="F27" s="287"/>
      <c r="G27" s="308" t="s">
        <v>676</v>
      </c>
      <c r="H27" s="287" t="s">
        <v>850</v>
      </c>
      <c r="I27" s="287" t="s">
        <v>33</v>
      </c>
      <c r="J27" s="287" t="s">
        <v>66</v>
      </c>
      <c r="K27" s="287">
        <v>309</v>
      </c>
      <c r="L27" s="287">
        <v>3090</v>
      </c>
    </row>
    <row r="28" spans="2:12" x14ac:dyDescent="0.4">
      <c r="B28" s="308">
        <v>9033</v>
      </c>
      <c r="C28" s="287">
        <v>3</v>
      </c>
      <c r="D28" s="287"/>
      <c r="E28" s="287"/>
      <c r="F28" s="287"/>
      <c r="G28" s="308" t="s">
        <v>677</v>
      </c>
      <c r="H28" s="287" t="s">
        <v>850</v>
      </c>
      <c r="I28" s="287" t="s">
        <v>33</v>
      </c>
      <c r="J28" s="287" t="s">
        <v>66</v>
      </c>
      <c r="K28" s="287" t="s">
        <v>684</v>
      </c>
      <c r="L28" s="287" t="s">
        <v>685</v>
      </c>
    </row>
    <row r="29" spans="2:12" x14ac:dyDescent="0.4">
      <c r="B29" s="308">
        <v>9034</v>
      </c>
      <c r="C29" s="287">
        <v>3</v>
      </c>
      <c r="D29" s="287"/>
      <c r="E29" s="287"/>
      <c r="F29" s="287"/>
      <c r="G29" s="308" t="s">
        <v>678</v>
      </c>
      <c r="H29" s="287" t="s">
        <v>850</v>
      </c>
      <c r="I29" s="287" t="s">
        <v>33</v>
      </c>
      <c r="J29" s="287" t="s">
        <v>66</v>
      </c>
      <c r="K29" s="287">
        <v>721</v>
      </c>
      <c r="L29" s="287">
        <v>7210</v>
      </c>
    </row>
    <row r="30" spans="2:12" x14ac:dyDescent="0.4">
      <c r="B30" s="308">
        <v>9035</v>
      </c>
      <c r="C30" s="287">
        <v>3</v>
      </c>
      <c r="D30" s="287"/>
      <c r="E30" s="287"/>
      <c r="F30" s="287"/>
      <c r="G30" s="308" t="s">
        <v>679</v>
      </c>
      <c r="H30" s="287" t="s">
        <v>854</v>
      </c>
      <c r="I30" s="287" t="s">
        <v>33</v>
      </c>
      <c r="J30" s="287" t="s">
        <v>66</v>
      </c>
      <c r="K30" s="287">
        <v>309</v>
      </c>
      <c r="L30" s="287">
        <v>3090</v>
      </c>
    </row>
    <row r="31" spans="2:12" x14ac:dyDescent="0.4">
      <c r="B31" s="308">
        <v>9040</v>
      </c>
      <c r="C31" s="308">
        <v>2</v>
      </c>
      <c r="D31" s="287"/>
      <c r="E31" s="287"/>
      <c r="F31" s="308" t="s">
        <v>658</v>
      </c>
      <c r="G31" s="308"/>
      <c r="H31" s="308"/>
      <c r="I31" s="308" t="s">
        <v>376</v>
      </c>
      <c r="J31" s="308" t="s">
        <v>376</v>
      </c>
      <c r="K31" s="308"/>
      <c r="L31" s="308"/>
    </row>
    <row r="32" spans="2:12" x14ac:dyDescent="0.4">
      <c r="B32" s="308">
        <v>9041</v>
      </c>
      <c r="C32" s="308">
        <v>3</v>
      </c>
      <c r="D32" s="287"/>
      <c r="E32" s="287"/>
      <c r="F32" s="308"/>
      <c r="G32" s="308" t="s">
        <v>680</v>
      </c>
      <c r="H32" s="287" t="s">
        <v>850</v>
      </c>
      <c r="I32" s="287" t="s">
        <v>33</v>
      </c>
      <c r="J32" s="287" t="s">
        <v>55</v>
      </c>
      <c r="K32" s="287">
        <v>72.099999999999994</v>
      </c>
      <c r="L32" s="287">
        <v>721</v>
      </c>
    </row>
    <row r="33" spans="2:12" x14ac:dyDescent="0.4">
      <c r="B33" s="308">
        <v>9042</v>
      </c>
      <c r="C33" s="287">
        <v>3</v>
      </c>
      <c r="D33" s="287"/>
      <c r="E33" s="287"/>
      <c r="F33" s="287"/>
      <c r="G33" s="308" t="s">
        <v>681</v>
      </c>
      <c r="H33" s="287" t="s">
        <v>850</v>
      </c>
      <c r="I33" s="287" t="s">
        <v>33</v>
      </c>
      <c r="J33" s="287" t="s">
        <v>55</v>
      </c>
      <c r="K33" s="287">
        <v>175.1</v>
      </c>
      <c r="L33" s="287">
        <v>1751</v>
      </c>
    </row>
    <row r="34" spans="2:12" x14ac:dyDescent="0.4">
      <c r="B34" s="308">
        <v>9043</v>
      </c>
      <c r="C34" s="287">
        <v>3</v>
      </c>
      <c r="D34" s="287"/>
      <c r="E34" s="287"/>
      <c r="F34" s="287"/>
      <c r="G34" s="308" t="s">
        <v>682</v>
      </c>
      <c r="H34" s="287" t="s">
        <v>855</v>
      </c>
      <c r="I34" s="287" t="s">
        <v>33</v>
      </c>
      <c r="J34" s="287" t="s">
        <v>55</v>
      </c>
      <c r="K34" s="287">
        <v>30.9</v>
      </c>
      <c r="L34" s="287">
        <v>309</v>
      </c>
    </row>
    <row r="35" spans="2:12" x14ac:dyDescent="0.4">
      <c r="B35" s="308">
        <v>9044</v>
      </c>
      <c r="C35" s="308">
        <v>2</v>
      </c>
      <c r="D35" s="287"/>
      <c r="E35" s="287"/>
      <c r="F35" s="308" t="s">
        <v>659</v>
      </c>
      <c r="G35" s="308"/>
      <c r="H35" s="308"/>
      <c r="I35" s="287" t="s">
        <v>33</v>
      </c>
      <c r="J35" s="308" t="s">
        <v>376</v>
      </c>
      <c r="K35" s="308"/>
      <c r="L35" s="308"/>
    </row>
    <row r="36" spans="2:12" x14ac:dyDescent="0.4">
      <c r="B36" s="308">
        <v>9045</v>
      </c>
      <c r="C36" s="308">
        <v>3</v>
      </c>
      <c r="D36" s="287"/>
      <c r="E36" s="287"/>
      <c r="F36" s="308"/>
      <c r="G36" s="308" t="s">
        <v>683</v>
      </c>
      <c r="H36" s="287" t="s">
        <v>850</v>
      </c>
      <c r="I36" s="287" t="s">
        <v>33</v>
      </c>
      <c r="J36" s="287" t="s">
        <v>376</v>
      </c>
      <c r="K36" s="287" t="s">
        <v>684</v>
      </c>
      <c r="L36" s="287" t="s">
        <v>685</v>
      </c>
    </row>
  </sheetData>
  <mergeCells count="2">
    <mergeCell ref="B1:K1"/>
    <mergeCell ref="B2:K2"/>
  </mergeCells>
  <conditionalFormatting sqref="I6:J1048576">
    <cfRule type="cellIs" dxfId="8" priority="9" operator="equal">
      <formula>"(blank)"</formula>
    </cfRule>
  </conditionalFormatting>
  <conditionalFormatting sqref="B6:C1048576">
    <cfRule type="expression" dxfId="7" priority="2">
      <formula>ISNUMBER($B6)</formula>
    </cfRule>
  </conditionalFormatting>
  <conditionalFormatting sqref="K6:K1048576">
    <cfRule type="cellIs" dxfId="6" priority="4" operator="notEqual">
      <formula>0</formula>
    </cfRule>
  </conditionalFormatting>
  <conditionalFormatting sqref="D6:L1048576">
    <cfRule type="expression" dxfId="5" priority="73">
      <formula>IF(AND($C6=0,NOT(ISBLANK($C6))),TRUE,FALSE)</formula>
    </cfRule>
  </conditionalFormatting>
  <conditionalFormatting sqref="F6:F1048576">
    <cfRule type="expression" dxfId="4" priority="74">
      <formula>IF($C6=2, TRUE,FALSE)</formula>
    </cfRule>
  </conditionalFormatting>
  <conditionalFormatting sqref="G6:L1048576">
    <cfRule type="expression" dxfId="3" priority="72">
      <formula>IF(ISNUMBER($C6),TRUE,FALSE)</formula>
    </cfRule>
  </conditionalFormatting>
  <conditionalFormatting sqref="E6:E1048576">
    <cfRule type="expression" dxfId="2" priority="75">
      <formula>IF($C6=1,TRUE,FALSE)</formula>
    </cfRule>
  </conditionalFormatting>
  <conditionalFormatting sqref="B5:C5">
    <cfRule type="notContainsBlanks" dxfId="1" priority="1">
      <formula>LEN(TRIM(B5))&gt;0</formula>
    </cfRule>
  </conditionalFormatting>
  <conditionalFormatting sqref="L6:L1048576">
    <cfRule type="cellIs" dxfId="0" priority="6" operator="notEqual">
      <formula>0</formula>
    </cfRule>
  </conditionalFormatting>
  <pageMargins left="0.70866141732283472" right="0.70866141732283472" top="0.74803149606299213" bottom="0.74803149606299213" header="0.31496062992125984" footer="0.31496062992125984"/>
  <pageSetup orientation="portrait" r:id="rId2"/>
  <headerFooter>
    <oddHeader>&amp;L&amp;G</oddHeader>
    <oddFooter>&amp;L&amp;"DM Sans,Regular"&amp;8&amp;K1D1765© 2023 WiseTech Global&amp;C&amp;"DM Sans,Regular"&amp;8&amp;K1D1765CargoWise One STL Price List&amp;R&amp;"DM Sans,Regular"&amp;8&amp;K1D1765Page &amp;P</oddFooter>
  </headerFooter>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C610-3F63-4919-B30B-DC73CF1E1475}">
  <sheetPr codeName="Sheet19"/>
  <dimension ref="B2:I20"/>
  <sheetViews>
    <sheetView workbookViewId="0">
      <selection activeCell="B7" sqref="B7:H7"/>
    </sheetView>
  </sheetViews>
  <sheetFormatPr defaultColWidth="9.15234375" defaultRowHeight="14.6" x14ac:dyDescent="0.4"/>
  <cols>
    <col min="1" max="1" width="0.61328125" style="133" customWidth="1"/>
    <col min="2" max="2" width="18.84375" style="133" customWidth="1"/>
    <col min="3" max="3" width="17.3828125" style="133" customWidth="1"/>
    <col min="4" max="4" width="17.69140625" style="133" customWidth="1"/>
    <col min="5" max="5" width="19" style="133" customWidth="1"/>
    <col min="6" max="6" width="18.69140625" style="133" customWidth="1"/>
    <col min="7" max="7" width="13.61328125" style="133" customWidth="1"/>
    <col min="8" max="8" width="11" style="133" customWidth="1"/>
    <col min="9" max="16384" width="9.15234375" style="133"/>
  </cols>
  <sheetData>
    <row r="2" spans="2:9" x14ac:dyDescent="0.4">
      <c r="B2" s="312" t="s">
        <v>877</v>
      </c>
      <c r="C2" s="131"/>
      <c r="D2" s="131"/>
      <c r="E2" s="132"/>
      <c r="F2" s="131"/>
      <c r="G2" s="131"/>
      <c r="H2" s="131"/>
      <c r="I2" s="132"/>
    </row>
    <row r="3" spans="2:9" x14ac:dyDescent="0.4">
      <c r="B3" s="300" t="s">
        <v>878</v>
      </c>
      <c r="C3" s="131"/>
      <c r="D3" s="131"/>
      <c r="E3" s="131"/>
      <c r="F3" s="131"/>
      <c r="G3" s="131"/>
      <c r="H3" s="131"/>
      <c r="I3" s="132"/>
    </row>
    <row r="4" spans="2:9" x14ac:dyDescent="0.4">
      <c r="B4" s="300" t="s">
        <v>879</v>
      </c>
      <c r="C4" s="295"/>
      <c r="D4" s="295"/>
      <c r="E4" s="295"/>
      <c r="F4" s="295"/>
      <c r="G4" s="295"/>
      <c r="H4" s="295"/>
      <c r="I4" s="132"/>
    </row>
    <row r="5" spans="2:9" x14ac:dyDescent="0.4">
      <c r="B5" s="131" t="s">
        <v>876</v>
      </c>
      <c r="C5" s="131"/>
      <c r="D5" s="131"/>
      <c r="E5" s="131"/>
      <c r="F5" s="131"/>
      <c r="G5" s="131"/>
      <c r="H5" s="131"/>
      <c r="I5" s="132"/>
    </row>
    <row r="6" spans="2:9" x14ac:dyDescent="0.4">
      <c r="B6" s="131"/>
      <c r="C6" s="131"/>
      <c r="D6" s="131"/>
      <c r="E6" s="131"/>
      <c r="F6" s="131"/>
      <c r="G6" s="131"/>
      <c r="H6" s="131"/>
      <c r="I6" s="132"/>
    </row>
    <row r="7" spans="2:9" ht="13.5" customHeight="1" x14ac:dyDescent="0.4">
      <c r="B7" s="323" t="s">
        <v>831</v>
      </c>
      <c r="C7" s="323"/>
      <c r="D7" s="323"/>
      <c r="E7" s="323"/>
      <c r="F7" s="323"/>
      <c r="G7" s="323"/>
      <c r="H7" s="323"/>
      <c r="I7" s="132"/>
    </row>
    <row r="8" spans="2:9" x14ac:dyDescent="0.4">
      <c r="B8" s="131" t="s">
        <v>834</v>
      </c>
      <c r="C8" s="132"/>
      <c r="D8" s="132"/>
      <c r="E8" s="132"/>
      <c r="F8" s="132"/>
      <c r="G8" s="132"/>
      <c r="H8" s="132"/>
      <c r="I8" s="132"/>
    </row>
    <row r="9" spans="2:9" x14ac:dyDescent="0.4">
      <c r="B9" s="131" t="s">
        <v>835</v>
      </c>
    </row>
    <row r="10" spans="2:9" x14ac:dyDescent="0.4">
      <c r="B10" s="300" t="s">
        <v>836</v>
      </c>
    </row>
    <row r="11" spans="2:9" x14ac:dyDescent="0.4">
      <c r="B11" s="301" t="s">
        <v>837</v>
      </c>
    </row>
    <row r="12" spans="2:9" x14ac:dyDescent="0.4">
      <c r="B12" s="131" t="s">
        <v>832</v>
      </c>
    </row>
    <row r="13" spans="2:9" x14ac:dyDescent="0.4">
      <c r="B13" s="300" t="s">
        <v>838</v>
      </c>
    </row>
    <row r="14" spans="2:9" x14ac:dyDescent="0.4">
      <c r="B14" s="300" t="s">
        <v>839</v>
      </c>
    </row>
    <row r="15" spans="2:9" x14ac:dyDescent="0.4">
      <c r="B15" s="301" t="s">
        <v>843</v>
      </c>
    </row>
    <row r="16" spans="2:9" x14ac:dyDescent="0.4">
      <c r="B16" s="302" t="s">
        <v>840</v>
      </c>
    </row>
    <row r="17" spans="2:2" x14ac:dyDescent="0.4">
      <c r="B17" s="302" t="s">
        <v>869</v>
      </c>
    </row>
    <row r="18" spans="2:2" x14ac:dyDescent="0.4">
      <c r="B18" s="131" t="s">
        <v>833</v>
      </c>
    </row>
    <row r="19" spans="2:2" x14ac:dyDescent="0.4">
      <c r="B19" s="300" t="s">
        <v>841</v>
      </c>
    </row>
    <row r="20" spans="2:2" x14ac:dyDescent="0.4">
      <c r="B20" s="301" t="s">
        <v>842</v>
      </c>
    </row>
  </sheetData>
  <mergeCells count="1">
    <mergeCell ref="B7:H7"/>
  </mergeCells>
  <pageMargins left="0.7" right="0.7" top="0.75" bottom="0.75" header="0.3" footer="0.3"/>
  <pageSetup orientation="portrait" horizontalDpi="300" verticalDpi="300" r:id="rId1"/>
  <rowBreaks count="1" manualBreakCount="1">
    <brk id="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D0DAB-BAEB-4612-9ACD-E6E4C4B97D00}">
  <sheetPr codeName="Sheet17">
    <tabColor rgb="FF92D050"/>
  </sheetPr>
  <dimension ref="A1:J10"/>
  <sheetViews>
    <sheetView workbookViewId="0">
      <selection activeCell="E28" sqref="E28"/>
    </sheetView>
  </sheetViews>
  <sheetFormatPr defaultRowHeight="14.6" x14ac:dyDescent="0.4"/>
  <cols>
    <col min="1" max="1" width="3.23046875" customWidth="1"/>
    <col min="2" max="2" width="29.69140625" customWidth="1"/>
    <col min="3" max="3" width="25.84375" customWidth="1"/>
  </cols>
  <sheetData>
    <row r="1" spans="1:10" ht="16.3" x14ac:dyDescent="0.4">
      <c r="A1" s="79" t="s">
        <v>84</v>
      </c>
    </row>
    <row r="2" spans="1:10" x14ac:dyDescent="0.4">
      <c r="A2" s="34" t="s">
        <v>84</v>
      </c>
      <c r="B2" s="35"/>
      <c r="C2" s="34"/>
      <c r="D2" s="34"/>
      <c r="E2" s="34"/>
      <c r="F2" s="34"/>
      <c r="G2" s="34"/>
      <c r="H2" s="34"/>
      <c r="I2" s="34"/>
      <c r="J2" s="34"/>
    </row>
    <row r="3" spans="1:10" ht="15" x14ac:dyDescent="0.45">
      <c r="A3" s="36"/>
      <c r="B3" s="37"/>
      <c r="C3" s="37"/>
      <c r="D3" s="37"/>
      <c r="E3" s="37"/>
      <c r="F3" s="37"/>
      <c r="G3" s="37"/>
      <c r="H3" s="37"/>
      <c r="I3" s="37"/>
      <c r="J3" s="37"/>
    </row>
    <row r="4" spans="1:10" ht="15" x14ac:dyDescent="0.45">
      <c r="A4" s="37"/>
      <c r="B4" s="46" t="s">
        <v>382</v>
      </c>
      <c r="C4" s="47"/>
      <c r="D4" s="48"/>
      <c r="E4" s="48"/>
      <c r="F4" s="48"/>
      <c r="G4" s="48"/>
      <c r="H4" s="48"/>
      <c r="I4" s="48"/>
      <c r="J4" s="49"/>
    </row>
    <row r="5" spans="1:10" ht="15" x14ac:dyDescent="0.45">
      <c r="A5" s="37"/>
      <c r="B5" s="205" t="s">
        <v>383</v>
      </c>
      <c r="C5" s="278"/>
      <c r="D5" s="278"/>
      <c r="E5" s="278"/>
      <c r="F5" s="278"/>
      <c r="G5" s="278"/>
      <c r="H5" s="278"/>
      <c r="I5" s="278"/>
      <c r="J5" s="279"/>
    </row>
    <row r="6" spans="1:10" ht="15" x14ac:dyDescent="0.45">
      <c r="A6" s="37"/>
      <c r="B6" s="38"/>
      <c r="C6" s="39"/>
      <c r="D6" s="40"/>
      <c r="E6" s="40"/>
      <c r="F6" s="40"/>
      <c r="G6" s="40"/>
      <c r="H6" s="40"/>
      <c r="I6" s="40"/>
      <c r="J6" s="40"/>
    </row>
    <row r="7" spans="1:10" ht="15" x14ac:dyDescent="0.45">
      <c r="A7" s="37"/>
      <c r="B7" s="102" t="s">
        <v>384</v>
      </c>
      <c r="C7" s="165" t="s">
        <v>385</v>
      </c>
      <c r="D7" s="37"/>
      <c r="E7" s="37"/>
      <c r="F7" s="37"/>
      <c r="G7" s="37"/>
      <c r="H7" s="37"/>
      <c r="I7" s="37"/>
      <c r="J7" s="37"/>
    </row>
    <row r="8" spans="1:10" ht="15" x14ac:dyDescent="0.45">
      <c r="A8" s="37"/>
      <c r="B8" s="137" t="s">
        <v>386</v>
      </c>
      <c r="C8" s="247">
        <v>1.1025</v>
      </c>
      <c r="D8" s="37"/>
      <c r="E8" s="37"/>
      <c r="F8" s="37"/>
      <c r="G8" s="37"/>
      <c r="H8" s="37"/>
      <c r="I8" s="37"/>
      <c r="J8" s="37"/>
    </row>
    <row r="9" spans="1:10" ht="15" x14ac:dyDescent="0.45">
      <c r="A9" s="37"/>
      <c r="B9" s="137" t="s">
        <v>387</v>
      </c>
      <c r="C9" s="247">
        <v>0.36382500000000007</v>
      </c>
      <c r="D9" s="37"/>
      <c r="E9" s="37"/>
      <c r="F9" s="37"/>
      <c r="G9" s="37"/>
      <c r="H9" s="37"/>
      <c r="I9" s="37"/>
      <c r="J9" s="37"/>
    </row>
    <row r="10" spans="1:10" ht="15" x14ac:dyDescent="0.45">
      <c r="A10" s="37"/>
      <c r="B10" s="137" t="s">
        <v>388</v>
      </c>
      <c r="C10" s="247">
        <v>1.1025</v>
      </c>
      <c r="D10" s="37"/>
      <c r="E10" s="37"/>
      <c r="F10" s="37"/>
      <c r="G10" s="37"/>
      <c r="H10" s="41"/>
      <c r="I10" s="41"/>
      <c r="J10" s="37"/>
    </row>
  </sheetData>
  <pageMargins left="0.70866141732283472" right="0.70866141732283472" top="0.74803149606299213" bottom="0.74803149606299213" header="0.31496062992125984" footer="0.31496062992125984"/>
  <pageSetup orientation="portrait" horizontalDpi="300" verticalDpi="300" r:id="rId1"/>
  <headerFooter>
    <oddHeader>&amp;L&amp;G</oddHeader>
    <oddFooter>&amp;L&amp;"DM Sans,Regular"&amp;8&amp;K1D1765© 2023 WiseTech Global&amp;C&amp;"DM Sans,Regular"&amp;8&amp;K1D1765CargoWise One STL Price List&amp;R&amp;"DM Sans,Regular"&amp;8&amp;K1D1765Page &amp;P</oddFooter>
  </headerFooter>
  <legacyDrawingHF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225C-1D08-4F96-A2B4-90F0E21001BF}">
  <sheetPr codeName="Sheet18">
    <tabColor rgb="FF92D050"/>
  </sheetPr>
  <dimension ref="A1:J198"/>
  <sheetViews>
    <sheetView workbookViewId="0">
      <selection activeCell="B200" sqref="B200"/>
    </sheetView>
  </sheetViews>
  <sheetFormatPr defaultRowHeight="14.6" x14ac:dyDescent="0.4"/>
  <cols>
    <col min="1" max="1" width="3" customWidth="1"/>
    <col min="2" max="2" width="38.921875" customWidth="1"/>
    <col min="3" max="3" width="27" customWidth="1"/>
    <col min="4" max="4" width="12.15234375" customWidth="1"/>
  </cols>
  <sheetData>
    <row r="1" spans="1:10" ht="4.75" customHeight="1" x14ac:dyDescent="0.4">
      <c r="A1" s="33"/>
    </row>
    <row r="2" spans="1:10" ht="27" x14ac:dyDescent="0.4">
      <c r="A2" s="303" t="s">
        <v>844</v>
      </c>
    </row>
    <row r="4" spans="1:10" x14ac:dyDescent="0.4">
      <c r="A4" s="34" t="s">
        <v>389</v>
      </c>
      <c r="B4" s="35"/>
      <c r="C4" s="34"/>
      <c r="D4" s="34"/>
      <c r="E4" s="34"/>
      <c r="F4" s="34"/>
      <c r="G4" s="34"/>
      <c r="H4" s="34"/>
      <c r="I4" s="34"/>
      <c r="J4" s="34"/>
    </row>
    <row r="5" spans="1:10" ht="15" x14ac:dyDescent="0.45">
      <c r="A5" s="37"/>
      <c r="B5" s="37"/>
      <c r="C5" s="37"/>
      <c r="D5" s="37"/>
      <c r="E5" s="37"/>
      <c r="F5" s="37"/>
      <c r="G5" s="37"/>
      <c r="H5" s="37"/>
      <c r="I5" s="37"/>
      <c r="J5" s="37"/>
    </row>
    <row r="6" spans="1:10" ht="15" x14ac:dyDescent="0.45">
      <c r="A6" s="37"/>
      <c r="B6" s="142" t="s">
        <v>390</v>
      </c>
      <c r="C6" s="143"/>
      <c r="D6" s="144"/>
      <c r="E6" s="144"/>
      <c r="F6" s="144"/>
      <c r="G6" s="144"/>
      <c r="H6" s="145"/>
      <c r="I6" s="145"/>
      <c r="J6" s="146"/>
    </row>
    <row r="7" spans="1:10" ht="15" x14ac:dyDescent="0.45">
      <c r="A7" s="37"/>
      <c r="B7" s="147" t="s">
        <v>391</v>
      </c>
      <c r="C7" s="135"/>
      <c r="D7" s="135"/>
      <c r="E7" s="148"/>
      <c r="F7" s="148"/>
      <c r="G7" s="148"/>
      <c r="H7" s="149"/>
      <c r="I7" s="149"/>
      <c r="J7" s="150"/>
    </row>
    <row r="8" spans="1:10" ht="15" x14ac:dyDescent="0.45">
      <c r="A8" s="37"/>
      <c r="B8" s="151" t="s">
        <v>392</v>
      </c>
      <c r="C8" s="152"/>
      <c r="D8" s="152"/>
      <c r="E8" s="152"/>
      <c r="F8" s="152"/>
      <c r="G8" s="152"/>
      <c r="H8" s="153"/>
      <c r="I8" s="153"/>
      <c r="J8" s="154"/>
    </row>
    <row r="9" spans="1:10" ht="15" x14ac:dyDescent="0.45">
      <c r="A9" s="37"/>
      <c r="B9" s="42"/>
      <c r="C9" s="44"/>
      <c r="D9" s="44"/>
      <c r="E9" s="44"/>
      <c r="F9" s="44"/>
      <c r="G9" s="44"/>
      <c r="H9" s="45"/>
      <c r="I9" s="45"/>
      <c r="J9" s="45"/>
    </row>
    <row r="10" spans="1:10" ht="15" x14ac:dyDescent="0.45">
      <c r="A10" s="37"/>
      <c r="B10" s="138" t="s">
        <v>382</v>
      </c>
      <c r="C10" s="139"/>
      <c r="D10" s="140"/>
      <c r="E10" s="140"/>
      <c r="F10" s="140"/>
      <c r="G10" s="140"/>
      <c r="H10" s="140"/>
      <c r="I10" s="140"/>
      <c r="J10" s="141"/>
    </row>
    <row r="11" spans="1:10" ht="41.05" customHeight="1" x14ac:dyDescent="0.45">
      <c r="A11" s="37"/>
      <c r="B11" s="324" t="s">
        <v>393</v>
      </c>
      <c r="C11" s="325"/>
      <c r="D11" s="325"/>
      <c r="E11" s="325"/>
      <c r="F11" s="325"/>
      <c r="G11" s="325"/>
      <c r="H11" s="325"/>
      <c r="I11" s="325"/>
      <c r="J11" s="326"/>
    </row>
    <row r="12" spans="1:10" ht="29.8" customHeight="1" x14ac:dyDescent="0.45">
      <c r="A12" s="37"/>
      <c r="B12" s="327" t="s">
        <v>394</v>
      </c>
      <c r="C12" s="328"/>
      <c r="D12" s="328"/>
      <c r="E12" s="328"/>
      <c r="F12" s="328"/>
      <c r="G12" s="328"/>
      <c r="H12" s="328"/>
      <c r="I12" s="328"/>
      <c r="J12" s="329"/>
    </row>
    <row r="14" spans="1:10" x14ac:dyDescent="0.4">
      <c r="A14" s="34" t="s">
        <v>395</v>
      </c>
      <c r="B14" s="35"/>
      <c r="C14" s="34"/>
      <c r="D14" s="34"/>
      <c r="E14" s="34"/>
      <c r="F14" s="34"/>
      <c r="G14" s="34"/>
      <c r="H14" s="34"/>
      <c r="I14" s="34"/>
      <c r="J14" s="34"/>
    </row>
    <row r="15" spans="1:10" ht="15" x14ac:dyDescent="0.45">
      <c r="A15" s="36"/>
      <c r="B15" s="37"/>
      <c r="C15" s="37"/>
      <c r="D15" s="37"/>
      <c r="E15" s="37"/>
      <c r="F15" s="37"/>
      <c r="G15" s="37"/>
      <c r="H15" s="37"/>
      <c r="I15" s="37"/>
      <c r="J15" s="37"/>
    </row>
    <row r="16" spans="1:10" ht="15" x14ac:dyDescent="0.45">
      <c r="A16" s="37"/>
      <c r="B16" s="138" t="s">
        <v>382</v>
      </c>
      <c r="C16" s="139"/>
      <c r="D16" s="140"/>
      <c r="E16" s="140"/>
      <c r="F16" s="140"/>
      <c r="G16" s="140"/>
      <c r="H16" s="140"/>
      <c r="I16" s="140"/>
      <c r="J16" s="141"/>
    </row>
    <row r="17" spans="1:10" ht="41.15" customHeight="1" x14ac:dyDescent="0.45">
      <c r="A17" s="37"/>
      <c r="B17" s="324" t="s">
        <v>393</v>
      </c>
      <c r="C17" s="330"/>
      <c r="D17" s="330"/>
      <c r="E17" s="330"/>
      <c r="F17" s="330"/>
      <c r="G17" s="330"/>
      <c r="H17" s="330"/>
      <c r="I17" s="330"/>
      <c r="J17" s="326"/>
    </row>
    <row r="18" spans="1:10" ht="16.3" customHeight="1" x14ac:dyDescent="0.45">
      <c r="A18" s="37"/>
      <c r="B18" s="324" t="s">
        <v>396</v>
      </c>
      <c r="C18" s="330"/>
      <c r="D18" s="330"/>
      <c r="E18" s="330"/>
      <c r="F18" s="330"/>
      <c r="G18" s="330"/>
      <c r="H18" s="330"/>
      <c r="I18" s="330"/>
      <c r="J18" s="326"/>
    </row>
    <row r="19" spans="1:10" ht="50.8" customHeight="1" x14ac:dyDescent="0.45">
      <c r="A19" s="37"/>
      <c r="B19" s="327" t="s">
        <v>845</v>
      </c>
      <c r="C19" s="328"/>
      <c r="D19" s="328"/>
      <c r="E19" s="328"/>
      <c r="F19" s="328"/>
      <c r="G19" s="328"/>
      <c r="H19" s="328"/>
      <c r="I19" s="328"/>
      <c r="J19" s="329"/>
    </row>
    <row r="20" spans="1:10" ht="15" x14ac:dyDescent="0.45">
      <c r="A20" s="37"/>
      <c r="B20" s="38"/>
      <c r="C20" s="39"/>
      <c r="D20" s="40"/>
      <c r="E20" s="40"/>
      <c r="F20" s="40"/>
      <c r="G20" s="40"/>
      <c r="H20" s="40"/>
      <c r="I20" s="40"/>
      <c r="J20" s="40"/>
    </row>
    <row r="21" spans="1:10" ht="26.6" x14ac:dyDescent="0.45">
      <c r="A21" s="37"/>
      <c r="B21" s="155" t="s">
        <v>397</v>
      </c>
      <c r="C21" s="101" t="s">
        <v>398</v>
      </c>
      <c r="D21" s="37"/>
      <c r="E21" s="37"/>
      <c r="F21" s="37"/>
      <c r="G21" s="37"/>
      <c r="H21" s="37"/>
      <c r="I21" s="37"/>
      <c r="J21" s="37"/>
    </row>
    <row r="22" spans="1:10" ht="15" x14ac:dyDescent="0.45">
      <c r="A22" s="37"/>
      <c r="B22" s="156" t="s">
        <v>399</v>
      </c>
      <c r="C22" s="157">
        <v>1.6233315000000001</v>
      </c>
      <c r="D22" s="50"/>
      <c r="E22" s="37"/>
      <c r="F22" s="37"/>
      <c r="G22" s="37"/>
      <c r="H22" s="37"/>
      <c r="I22" s="37"/>
      <c r="J22" s="37"/>
    </row>
    <row r="23" spans="1:10" ht="15" x14ac:dyDescent="0.45">
      <c r="A23" s="37"/>
      <c r="B23" s="156" t="s">
        <v>400</v>
      </c>
      <c r="C23" s="157">
        <v>1.5378930000000004</v>
      </c>
      <c r="D23" s="50"/>
      <c r="E23" s="37"/>
      <c r="F23" s="37"/>
      <c r="G23" s="37"/>
      <c r="H23" s="41"/>
      <c r="I23" s="41"/>
      <c r="J23" s="37"/>
    </row>
    <row r="24" spans="1:10" ht="15" x14ac:dyDescent="0.45">
      <c r="A24" s="37"/>
      <c r="B24" s="156" t="s">
        <v>401</v>
      </c>
      <c r="C24" s="157">
        <v>1.1961389999999998</v>
      </c>
      <c r="D24" s="50"/>
      <c r="E24" s="37"/>
      <c r="F24" s="37"/>
      <c r="G24" s="37"/>
      <c r="H24" s="41"/>
      <c r="I24" s="37"/>
      <c r="J24" s="37"/>
    </row>
    <row r="25" spans="1:10" ht="15" x14ac:dyDescent="0.45">
      <c r="A25" s="37"/>
      <c r="B25" s="156" t="s">
        <v>402</v>
      </c>
      <c r="C25" s="157">
        <v>1.1107005000000001</v>
      </c>
      <c r="D25" s="50"/>
      <c r="E25" s="37"/>
      <c r="F25" s="37"/>
      <c r="G25" s="37"/>
      <c r="H25" s="41"/>
      <c r="I25" s="37"/>
      <c r="J25" s="37"/>
    </row>
    <row r="26" spans="1:10" ht="15" x14ac:dyDescent="0.45">
      <c r="A26" s="37"/>
      <c r="B26" s="156" t="s">
        <v>403</v>
      </c>
      <c r="C26" s="157">
        <v>1.0252620000000001</v>
      </c>
      <c r="D26" s="50"/>
      <c r="E26" s="37"/>
      <c r="F26" s="37"/>
      <c r="G26" s="37"/>
      <c r="H26" s="37"/>
      <c r="I26" s="37"/>
      <c r="J26" s="37"/>
    </row>
    <row r="27" spans="1:10" ht="15" x14ac:dyDescent="0.45">
      <c r="A27" s="37"/>
      <c r="B27" s="156" t="s">
        <v>404</v>
      </c>
      <c r="C27" s="157">
        <v>0.93982350000000014</v>
      </c>
      <c r="D27" s="50"/>
      <c r="E27" s="37"/>
      <c r="F27" s="37"/>
      <c r="G27" s="37"/>
      <c r="H27" s="37"/>
      <c r="I27" s="37"/>
      <c r="J27" s="37"/>
    </row>
    <row r="28" spans="1:10" ht="15" x14ac:dyDescent="0.45">
      <c r="A28" s="37"/>
      <c r="B28" s="156" t="s">
        <v>405</v>
      </c>
      <c r="C28" s="157">
        <v>0.85438500000000017</v>
      </c>
      <c r="D28" s="50"/>
      <c r="E28" s="37"/>
      <c r="F28" s="37"/>
      <c r="G28" s="37"/>
      <c r="H28" s="37"/>
      <c r="I28" s="37"/>
      <c r="J28" s="37"/>
    </row>
    <row r="30" spans="1:10" x14ac:dyDescent="0.4">
      <c r="A30" s="34" t="s">
        <v>406</v>
      </c>
      <c r="B30" s="35"/>
      <c r="C30" s="34"/>
      <c r="D30" s="34"/>
      <c r="E30" s="34"/>
      <c r="F30" s="34"/>
      <c r="G30" s="34"/>
      <c r="H30" s="34"/>
      <c r="I30" s="34"/>
      <c r="J30" s="34"/>
    </row>
    <row r="31" spans="1:10" ht="15" x14ac:dyDescent="0.45">
      <c r="A31" s="36"/>
      <c r="B31" s="37"/>
      <c r="C31" s="37"/>
      <c r="D31" s="37"/>
      <c r="E31" s="37"/>
      <c r="F31" s="37"/>
      <c r="G31" s="37"/>
      <c r="H31" s="37"/>
      <c r="I31" s="37"/>
      <c r="J31" s="37"/>
    </row>
    <row r="32" spans="1:10" ht="15" x14ac:dyDescent="0.45">
      <c r="A32" s="37"/>
      <c r="B32" s="138" t="s">
        <v>382</v>
      </c>
      <c r="C32" s="139"/>
      <c r="D32" s="140"/>
      <c r="E32" s="140"/>
      <c r="F32" s="140"/>
      <c r="G32" s="140"/>
      <c r="H32" s="140"/>
      <c r="I32" s="140"/>
      <c r="J32" s="141"/>
    </row>
    <row r="33" spans="1:10" ht="39.450000000000003" customHeight="1" x14ac:dyDescent="0.45">
      <c r="A33" s="37"/>
      <c r="B33" s="324" t="s">
        <v>393</v>
      </c>
      <c r="C33" s="325"/>
      <c r="D33" s="325"/>
      <c r="E33" s="325"/>
      <c r="F33" s="325"/>
      <c r="G33" s="325"/>
      <c r="H33" s="325"/>
      <c r="I33" s="325"/>
      <c r="J33" s="326"/>
    </row>
    <row r="34" spans="1:10" ht="15" x14ac:dyDescent="0.45">
      <c r="A34" s="37"/>
      <c r="B34" s="327" t="s">
        <v>396</v>
      </c>
      <c r="C34" s="328"/>
      <c r="D34" s="328"/>
      <c r="E34" s="328"/>
      <c r="F34" s="328"/>
      <c r="G34" s="328"/>
      <c r="H34" s="328"/>
      <c r="I34" s="328"/>
      <c r="J34" s="329"/>
    </row>
    <row r="35" spans="1:10" ht="15" x14ac:dyDescent="0.45">
      <c r="A35" s="37"/>
      <c r="B35" s="38"/>
      <c r="C35" s="39"/>
      <c r="D35" s="40"/>
      <c r="E35" s="40"/>
      <c r="F35" s="40"/>
      <c r="G35" s="40"/>
      <c r="H35" s="40"/>
      <c r="I35" s="40"/>
      <c r="J35" s="40"/>
    </row>
    <row r="36" spans="1:10" ht="15" x14ac:dyDescent="0.45">
      <c r="A36" s="37"/>
      <c r="B36" s="101" t="s">
        <v>407</v>
      </c>
      <c r="C36" s="37"/>
      <c r="D36" s="37"/>
      <c r="E36" s="37"/>
      <c r="F36" s="37"/>
      <c r="G36" s="37"/>
      <c r="H36" s="37"/>
      <c r="I36" s="37"/>
      <c r="J36" s="37"/>
    </row>
    <row r="37" spans="1:10" ht="15" x14ac:dyDescent="0.45">
      <c r="A37" s="37"/>
      <c r="B37" s="157">
        <v>0.52500000000000002</v>
      </c>
      <c r="C37" s="51"/>
      <c r="D37" s="37"/>
      <c r="E37" s="41"/>
      <c r="F37" s="37"/>
      <c r="G37" s="37"/>
      <c r="H37" s="37"/>
      <c r="I37" s="37"/>
      <c r="J37" s="37"/>
    </row>
    <row r="38" spans="1:10" ht="8.8000000000000007" customHeight="1" x14ac:dyDescent="0.45">
      <c r="A38" s="37"/>
      <c r="B38" s="37"/>
      <c r="C38" s="37"/>
      <c r="D38" s="51"/>
      <c r="E38" s="37"/>
      <c r="F38" s="37"/>
      <c r="G38" s="37"/>
      <c r="H38" s="37"/>
      <c r="I38" s="37"/>
      <c r="J38" s="37"/>
    </row>
    <row r="39" spans="1:10" ht="14.9" customHeight="1" x14ac:dyDescent="0.45">
      <c r="A39" s="37"/>
      <c r="B39" s="109" t="s">
        <v>408</v>
      </c>
      <c r="C39" s="37"/>
      <c r="D39" s="51"/>
      <c r="E39" s="37"/>
      <c r="F39" s="37"/>
      <c r="G39" s="37"/>
      <c r="H39" s="37"/>
      <c r="I39" s="37"/>
      <c r="J39" s="37"/>
    </row>
    <row r="42" spans="1:10" x14ac:dyDescent="0.4">
      <c r="A42" s="34" t="s">
        <v>409</v>
      </c>
      <c r="B42" s="35"/>
      <c r="C42" s="34"/>
      <c r="D42" s="34"/>
      <c r="E42" s="34"/>
      <c r="F42" s="34"/>
      <c r="G42" s="34"/>
      <c r="H42" s="34"/>
      <c r="I42" s="34"/>
      <c r="J42" s="34"/>
    </row>
    <row r="43" spans="1:10" ht="15" x14ac:dyDescent="0.45">
      <c r="A43" s="36"/>
      <c r="B43" s="37"/>
      <c r="C43" s="37"/>
      <c r="D43" s="37"/>
      <c r="E43" s="37"/>
      <c r="F43" s="37"/>
      <c r="G43" s="37"/>
      <c r="H43" s="37"/>
      <c r="I43" s="37"/>
      <c r="J43" s="37"/>
    </row>
    <row r="44" spans="1:10" ht="15" x14ac:dyDescent="0.45">
      <c r="A44" s="37"/>
      <c r="B44" s="138" t="s">
        <v>382</v>
      </c>
      <c r="C44" s="139"/>
      <c r="D44" s="140"/>
      <c r="E44" s="140"/>
      <c r="F44" s="140"/>
      <c r="G44" s="140"/>
      <c r="H44" s="140"/>
      <c r="I44" s="140"/>
      <c r="J44" s="141"/>
    </row>
    <row r="45" spans="1:10" ht="41.15" customHeight="1" x14ac:dyDescent="0.45">
      <c r="A45" s="37"/>
      <c r="B45" s="324" t="s">
        <v>393</v>
      </c>
      <c r="C45" s="325"/>
      <c r="D45" s="325"/>
      <c r="E45" s="325"/>
      <c r="F45" s="325"/>
      <c r="G45" s="325"/>
      <c r="H45" s="325"/>
      <c r="I45" s="325"/>
      <c r="J45" s="326"/>
    </row>
    <row r="46" spans="1:10" ht="15" x14ac:dyDescent="0.45">
      <c r="A46" s="37"/>
      <c r="B46" s="327" t="s">
        <v>396</v>
      </c>
      <c r="C46" s="328"/>
      <c r="D46" s="328"/>
      <c r="E46" s="328"/>
      <c r="F46" s="328"/>
      <c r="G46" s="328"/>
      <c r="H46" s="328"/>
      <c r="I46" s="328"/>
      <c r="J46" s="329"/>
    </row>
    <row r="47" spans="1:10" ht="15" x14ac:dyDescent="0.45">
      <c r="A47" s="37"/>
      <c r="B47" s="38"/>
      <c r="C47" s="39"/>
      <c r="D47" s="40"/>
      <c r="E47" s="40"/>
      <c r="F47" s="40"/>
      <c r="G47" s="40"/>
      <c r="H47" s="40"/>
      <c r="I47" s="40"/>
      <c r="J47" s="40"/>
    </row>
    <row r="48" spans="1:10" ht="15" x14ac:dyDescent="0.45">
      <c r="A48" s="37"/>
      <c r="B48" s="101" t="s">
        <v>410</v>
      </c>
      <c r="C48" s="37"/>
      <c r="D48" s="37"/>
      <c r="E48" s="37"/>
      <c r="F48" s="37"/>
      <c r="G48" s="37"/>
      <c r="H48" s="37"/>
      <c r="I48" s="37"/>
      <c r="J48" s="37"/>
    </row>
    <row r="49" spans="1:10" ht="15" x14ac:dyDescent="0.45">
      <c r="A49" s="37"/>
      <c r="B49" s="157">
        <v>0.48667500000000002</v>
      </c>
      <c r="C49" s="51"/>
      <c r="D49" s="37"/>
      <c r="E49" s="41"/>
      <c r="F49" s="37"/>
      <c r="G49" s="37"/>
      <c r="H49" s="37"/>
      <c r="I49" s="37"/>
      <c r="J49" s="37"/>
    </row>
    <row r="50" spans="1:10" ht="8.8000000000000007" customHeight="1" x14ac:dyDescent="0.45">
      <c r="A50" s="37"/>
      <c r="B50" s="37"/>
      <c r="C50" s="37"/>
      <c r="D50" s="51"/>
      <c r="E50" s="37"/>
      <c r="F50" s="37"/>
      <c r="G50" s="37"/>
      <c r="H50" s="37"/>
      <c r="I50" s="37"/>
      <c r="J50" s="37"/>
    </row>
    <row r="51" spans="1:10" ht="15" x14ac:dyDescent="0.45">
      <c r="A51" s="37"/>
      <c r="B51" s="109" t="s">
        <v>408</v>
      </c>
      <c r="C51" s="37"/>
      <c r="D51" s="51"/>
      <c r="E51" s="37"/>
      <c r="F51" s="37"/>
      <c r="G51" s="37"/>
      <c r="H51" s="37"/>
      <c r="I51" s="37"/>
      <c r="J51" s="37"/>
    </row>
    <row r="52" spans="1:10" s="287" customFormat="1" ht="15" x14ac:dyDescent="0.45">
      <c r="A52" s="37"/>
      <c r="B52" s="109"/>
      <c r="C52" s="37"/>
      <c r="D52" s="51"/>
      <c r="E52" s="37"/>
      <c r="F52" s="37"/>
      <c r="G52" s="37"/>
      <c r="H52" s="37"/>
      <c r="I52" s="37"/>
      <c r="J52" s="37"/>
    </row>
    <row r="53" spans="1:10" x14ac:dyDescent="0.4">
      <c r="A53" s="34" t="s">
        <v>742</v>
      </c>
      <c r="B53" s="35"/>
      <c r="C53" s="34"/>
      <c r="D53" s="34"/>
      <c r="E53" s="34"/>
      <c r="F53" s="34"/>
      <c r="G53" s="34"/>
      <c r="H53" s="34"/>
      <c r="I53" s="34"/>
      <c r="J53" s="34"/>
    </row>
    <row r="54" spans="1:10" ht="15" x14ac:dyDescent="0.45">
      <c r="A54" s="36"/>
      <c r="B54" s="37"/>
      <c r="C54" s="37"/>
      <c r="D54" s="37"/>
      <c r="E54" s="37"/>
      <c r="F54" s="37"/>
      <c r="G54" s="37"/>
      <c r="H54" s="37"/>
      <c r="I54" s="37"/>
      <c r="J54" s="37"/>
    </row>
    <row r="55" spans="1:10" s="121" customFormat="1" ht="76.5" customHeight="1" x14ac:dyDescent="0.45">
      <c r="A55" s="36"/>
      <c r="B55" s="331" t="s">
        <v>756</v>
      </c>
      <c r="C55" s="332"/>
      <c r="D55" s="332"/>
      <c r="E55" s="332"/>
      <c r="F55" s="332"/>
      <c r="G55" s="332"/>
      <c r="H55" s="332"/>
      <c r="I55" s="332"/>
      <c r="J55" s="333"/>
    </row>
    <row r="56" spans="1:10" s="121" customFormat="1" ht="13.5" customHeight="1" x14ac:dyDescent="0.45">
      <c r="A56" s="36"/>
      <c r="B56" s="122"/>
      <c r="C56" s="122"/>
      <c r="D56" s="122"/>
      <c r="E56" s="122"/>
      <c r="F56" s="122"/>
      <c r="G56" s="122"/>
      <c r="H56" s="122"/>
      <c r="I56" s="122"/>
      <c r="J56" s="122"/>
    </row>
    <row r="57" spans="1:10" ht="15" x14ac:dyDescent="0.45">
      <c r="A57" s="37"/>
      <c r="B57" s="138" t="s">
        <v>382</v>
      </c>
      <c r="C57" s="139"/>
      <c r="D57" s="140"/>
      <c r="E57" s="140"/>
      <c r="F57" s="140"/>
      <c r="G57" s="140"/>
      <c r="H57" s="140"/>
      <c r="I57" s="140"/>
      <c r="J57" s="141"/>
    </row>
    <row r="58" spans="1:10" ht="37.4" customHeight="1" x14ac:dyDescent="0.45">
      <c r="A58" s="37"/>
      <c r="B58" s="324" t="s">
        <v>393</v>
      </c>
      <c r="C58" s="325"/>
      <c r="D58" s="325"/>
      <c r="E58" s="325"/>
      <c r="F58" s="325"/>
      <c r="G58" s="325"/>
      <c r="H58" s="325"/>
      <c r="I58" s="325"/>
      <c r="J58" s="326"/>
    </row>
    <row r="59" spans="1:10" ht="15" x14ac:dyDescent="0.45">
      <c r="A59" s="37"/>
      <c r="B59" s="327" t="s">
        <v>396</v>
      </c>
      <c r="C59" s="328"/>
      <c r="D59" s="328"/>
      <c r="E59" s="328"/>
      <c r="F59" s="328"/>
      <c r="G59" s="328"/>
      <c r="H59" s="328"/>
      <c r="I59" s="328"/>
      <c r="J59" s="329"/>
    </row>
    <row r="60" spans="1:10" ht="15" x14ac:dyDescent="0.45">
      <c r="A60" s="37"/>
      <c r="B60" s="38"/>
      <c r="C60" s="39"/>
      <c r="D60" s="40"/>
      <c r="E60" s="40"/>
      <c r="F60" s="40"/>
      <c r="G60" s="40"/>
      <c r="H60" s="40"/>
      <c r="I60" s="40"/>
      <c r="J60" s="40"/>
    </row>
    <row r="61" spans="1:10" ht="15" x14ac:dyDescent="0.45">
      <c r="A61" s="37"/>
      <c r="B61" s="155" t="s">
        <v>411</v>
      </c>
      <c r="C61" s="101" t="s">
        <v>412</v>
      </c>
      <c r="D61" s="37"/>
      <c r="E61" s="37"/>
      <c r="F61" s="37"/>
      <c r="G61" s="37"/>
      <c r="H61" s="37"/>
      <c r="I61" s="37"/>
      <c r="J61" s="37"/>
    </row>
    <row r="62" spans="1:10" ht="15" x14ac:dyDescent="0.45">
      <c r="A62" s="37"/>
      <c r="B62" s="160" t="s">
        <v>413</v>
      </c>
      <c r="C62" s="161">
        <v>0.52500000000000002</v>
      </c>
      <c r="D62" s="37"/>
      <c r="E62" s="37"/>
      <c r="F62" s="37"/>
      <c r="G62" s="37"/>
      <c r="H62" s="37"/>
      <c r="I62" s="37"/>
      <c r="J62" s="37"/>
    </row>
    <row r="63" spans="1:10" ht="15" x14ac:dyDescent="0.45">
      <c r="A63" s="37"/>
      <c r="B63" s="160" t="s">
        <v>414</v>
      </c>
      <c r="C63" s="161">
        <f>C62*95%</f>
        <v>0.49874999999999997</v>
      </c>
      <c r="D63" s="37"/>
      <c r="E63" s="37"/>
      <c r="F63" s="37"/>
      <c r="G63" s="37"/>
      <c r="H63" s="37"/>
      <c r="I63" s="37"/>
      <c r="J63" s="37"/>
    </row>
    <row r="64" spans="1:10" ht="15" x14ac:dyDescent="0.45">
      <c r="A64" s="37"/>
      <c r="B64" s="160" t="s">
        <v>415</v>
      </c>
      <c r="C64" s="161">
        <f>C63*95%</f>
        <v>0.47381249999999997</v>
      </c>
      <c r="D64" s="37"/>
      <c r="E64" s="37"/>
      <c r="F64" s="37"/>
      <c r="G64" s="37"/>
      <c r="H64" s="37"/>
      <c r="I64" s="37"/>
      <c r="J64" s="37"/>
    </row>
    <row r="65" spans="1:10" ht="15" x14ac:dyDescent="0.45">
      <c r="A65" s="37"/>
      <c r="B65" s="160" t="s">
        <v>416</v>
      </c>
      <c r="C65" s="161">
        <f>C64*95%</f>
        <v>0.45012187499999995</v>
      </c>
      <c r="D65" s="41"/>
      <c r="E65" s="37"/>
      <c r="F65" s="37"/>
      <c r="G65" s="37"/>
      <c r="H65" s="37"/>
      <c r="I65" s="37"/>
      <c r="J65" s="37"/>
    </row>
    <row r="66" spans="1:10" ht="15" x14ac:dyDescent="0.45">
      <c r="A66" s="37"/>
      <c r="B66" s="160" t="s">
        <v>417</v>
      </c>
      <c r="C66" s="161">
        <f>C65*95%</f>
        <v>0.42761578124999994</v>
      </c>
      <c r="D66" s="37"/>
      <c r="E66" s="37"/>
      <c r="F66" s="37"/>
      <c r="G66" s="37"/>
      <c r="H66" s="37"/>
      <c r="I66" s="37"/>
      <c r="J66" s="37"/>
    </row>
    <row r="67" spans="1:10" ht="15" x14ac:dyDescent="0.45">
      <c r="A67" s="37"/>
      <c r="B67" s="160" t="s">
        <v>418</v>
      </c>
      <c r="C67" s="161">
        <f>C66*95%</f>
        <v>0.40623499218749992</v>
      </c>
      <c r="D67" s="41"/>
      <c r="E67" s="37"/>
      <c r="F67" s="37"/>
      <c r="G67" s="37"/>
      <c r="H67" s="37"/>
      <c r="I67" s="37"/>
      <c r="J67" s="37"/>
    </row>
    <row r="68" spans="1:10" ht="8.8000000000000007" customHeight="1" x14ac:dyDescent="0.45">
      <c r="A68" s="37"/>
      <c r="B68" s="38"/>
      <c r="C68" s="39"/>
      <c r="D68" s="40"/>
      <c r="E68" s="40"/>
      <c r="F68" s="40"/>
      <c r="G68" s="40"/>
      <c r="H68" s="40"/>
      <c r="I68" s="40"/>
      <c r="J68" s="40"/>
    </row>
    <row r="69" spans="1:10" ht="15" x14ac:dyDescent="0.45">
      <c r="A69" s="37"/>
      <c r="B69" s="109" t="s">
        <v>419</v>
      </c>
      <c r="C69" s="37"/>
      <c r="D69" s="51"/>
      <c r="E69" s="37"/>
      <c r="F69" s="37"/>
      <c r="G69" s="37"/>
      <c r="H69" s="37"/>
      <c r="I69" s="37"/>
      <c r="J69" s="37"/>
    </row>
    <row r="70" spans="1:10" s="121" customFormat="1" x14ac:dyDescent="0.4"/>
    <row r="71" spans="1:10" s="121" customFormat="1" x14ac:dyDescent="0.4">
      <c r="A71" s="34" t="s">
        <v>743</v>
      </c>
      <c r="B71" s="35"/>
      <c r="C71" s="34"/>
      <c r="D71" s="34"/>
      <c r="E71" s="34"/>
      <c r="F71" s="34"/>
      <c r="G71" s="34"/>
      <c r="H71" s="34"/>
      <c r="I71" s="34"/>
      <c r="J71" s="34"/>
    </row>
    <row r="72" spans="1:10" s="121" customFormat="1" x14ac:dyDescent="0.4"/>
    <row r="73" spans="1:10" s="121" customFormat="1" ht="53.6" customHeight="1" x14ac:dyDescent="0.4">
      <c r="B73" s="331" t="s">
        <v>870</v>
      </c>
      <c r="C73" s="332"/>
      <c r="D73" s="332"/>
      <c r="E73" s="332"/>
      <c r="F73" s="332"/>
      <c r="G73" s="332"/>
      <c r="H73" s="332"/>
      <c r="I73" s="332"/>
      <c r="J73" s="333"/>
    </row>
    <row r="74" spans="1:10" s="121" customFormat="1" x14ac:dyDescent="0.4"/>
    <row r="75" spans="1:10" s="121" customFormat="1" x14ac:dyDescent="0.4">
      <c r="B75" s="155" t="s">
        <v>411</v>
      </c>
      <c r="C75" s="101" t="s">
        <v>412</v>
      </c>
    </row>
    <row r="76" spans="1:10" s="121" customFormat="1" x14ac:dyDescent="0.4">
      <c r="B76" s="158" t="s">
        <v>413</v>
      </c>
      <c r="C76" s="159">
        <v>0.52500000000000002</v>
      </c>
    </row>
    <row r="77" spans="1:10" s="121" customFormat="1" x14ac:dyDescent="0.4">
      <c r="B77" s="158" t="s">
        <v>414</v>
      </c>
      <c r="C77" s="159">
        <f>C76*95%</f>
        <v>0.49874999999999997</v>
      </c>
    </row>
    <row r="78" spans="1:10" s="121" customFormat="1" x14ac:dyDescent="0.4">
      <c r="B78" s="158" t="s">
        <v>415</v>
      </c>
      <c r="C78" s="159">
        <f>C77*95%</f>
        <v>0.47381249999999997</v>
      </c>
    </row>
    <row r="79" spans="1:10" s="121" customFormat="1" x14ac:dyDescent="0.4">
      <c r="B79" s="158" t="s">
        <v>416</v>
      </c>
      <c r="C79" s="159">
        <f>C78*95%</f>
        <v>0.45012187499999995</v>
      </c>
    </row>
    <row r="80" spans="1:10" s="121" customFormat="1" x14ac:dyDescent="0.4">
      <c r="B80" s="158" t="s">
        <v>417</v>
      </c>
      <c r="C80" s="159">
        <f>C79*95%</f>
        <v>0.42761578124999994</v>
      </c>
    </row>
    <row r="81" spans="1:10" s="121" customFormat="1" x14ac:dyDescent="0.4">
      <c r="B81" s="158" t="s">
        <v>418</v>
      </c>
      <c r="C81" s="159">
        <f>C80*95%</f>
        <v>0.40623499218749992</v>
      </c>
    </row>
    <row r="82" spans="1:10" s="121" customFormat="1" ht="8.8000000000000007" customHeight="1" x14ac:dyDescent="0.4"/>
    <row r="83" spans="1:10" s="121" customFormat="1" x14ac:dyDescent="0.4">
      <c r="B83" s="109" t="s">
        <v>419</v>
      </c>
    </row>
    <row r="85" spans="1:10" x14ac:dyDescent="0.4">
      <c r="A85" s="34" t="s">
        <v>420</v>
      </c>
      <c r="B85" s="35"/>
      <c r="C85" s="34"/>
      <c r="D85" s="34"/>
      <c r="E85" s="34"/>
      <c r="F85" s="34"/>
      <c r="G85" s="34"/>
      <c r="H85" s="34"/>
      <c r="I85" s="34"/>
      <c r="J85" s="34"/>
    </row>
    <row r="86" spans="1:10" ht="15" x14ac:dyDescent="0.45">
      <c r="A86" s="36"/>
      <c r="B86" s="37"/>
      <c r="C86" s="37"/>
      <c r="D86" s="37"/>
      <c r="E86" s="37"/>
      <c r="F86" s="37"/>
      <c r="G86" s="37"/>
      <c r="H86" s="37"/>
      <c r="I86" s="37"/>
      <c r="J86" s="37"/>
    </row>
    <row r="87" spans="1:10" ht="15" x14ac:dyDescent="0.45">
      <c r="A87" s="37"/>
      <c r="B87" s="138" t="s">
        <v>382</v>
      </c>
      <c r="C87" s="139"/>
      <c r="D87" s="140"/>
      <c r="E87" s="140"/>
      <c r="F87" s="140"/>
      <c r="G87" s="140"/>
      <c r="H87" s="140"/>
      <c r="I87" s="140"/>
      <c r="J87" s="141"/>
    </row>
    <row r="88" spans="1:10" ht="15" x14ac:dyDescent="0.45">
      <c r="A88" s="37"/>
      <c r="B88" s="197" t="s">
        <v>421</v>
      </c>
      <c r="C88" s="198"/>
      <c r="D88" s="199"/>
      <c r="E88" s="199"/>
      <c r="F88" s="199"/>
      <c r="G88" s="199"/>
      <c r="H88" s="199"/>
      <c r="I88" s="199"/>
      <c r="J88" s="200"/>
    </row>
    <row r="89" spans="1:10" ht="16.5" customHeight="1" x14ac:dyDescent="0.45">
      <c r="A89" s="37"/>
      <c r="B89" s="324" t="s">
        <v>396</v>
      </c>
      <c r="C89" s="330"/>
      <c r="D89" s="330"/>
      <c r="E89" s="330"/>
      <c r="F89" s="330"/>
      <c r="G89" s="330"/>
      <c r="H89" s="330"/>
      <c r="I89" s="330"/>
      <c r="J89" s="326"/>
    </row>
    <row r="90" spans="1:10" ht="15" x14ac:dyDescent="0.45">
      <c r="A90" s="37"/>
      <c r="B90" s="324" t="s">
        <v>422</v>
      </c>
      <c r="C90" s="330"/>
      <c r="D90" s="330"/>
      <c r="E90" s="330"/>
      <c r="F90" s="330"/>
      <c r="G90" s="330"/>
      <c r="H90" s="330"/>
      <c r="I90" s="330"/>
      <c r="J90" s="326"/>
    </row>
    <row r="91" spans="1:10" ht="1.75" customHeight="1" x14ac:dyDescent="0.45">
      <c r="A91" s="37"/>
      <c r="B91" s="327"/>
      <c r="C91" s="328"/>
      <c r="D91" s="328"/>
      <c r="E91" s="328"/>
      <c r="F91" s="328"/>
      <c r="G91" s="328"/>
      <c r="H91" s="328"/>
      <c r="I91" s="328"/>
      <c r="J91" s="329"/>
    </row>
    <row r="92" spans="1:10" ht="15" x14ac:dyDescent="0.45">
      <c r="A92" s="37"/>
      <c r="B92" s="38"/>
      <c r="C92" s="39"/>
      <c r="D92" s="40"/>
      <c r="E92" s="40"/>
      <c r="F92" s="40"/>
      <c r="G92" s="40"/>
      <c r="H92" s="40"/>
      <c r="I92" s="40"/>
      <c r="J92" s="40"/>
    </row>
    <row r="93" spans="1:10" ht="15" x14ac:dyDescent="0.45">
      <c r="A93" s="37"/>
      <c r="B93" s="248" t="s">
        <v>423</v>
      </c>
      <c r="C93" s="249" t="s">
        <v>424</v>
      </c>
      <c r="D93" s="37"/>
      <c r="E93" s="37"/>
      <c r="F93" s="37"/>
      <c r="G93" s="37"/>
      <c r="H93" s="37"/>
      <c r="I93" s="37"/>
      <c r="J93" s="37"/>
    </row>
    <row r="94" spans="1:10" ht="15" x14ac:dyDescent="0.45">
      <c r="A94" s="37"/>
      <c r="B94" s="250" t="s">
        <v>425</v>
      </c>
      <c r="C94" s="251">
        <v>7.3925932500000009</v>
      </c>
      <c r="D94" s="52"/>
      <c r="E94" s="37"/>
      <c r="F94" s="37"/>
      <c r="G94" s="37"/>
      <c r="H94" s="37"/>
      <c r="I94" s="37"/>
      <c r="J94" s="37"/>
    </row>
    <row r="95" spans="1:10" ht="15" x14ac:dyDescent="0.45">
      <c r="A95" s="37"/>
      <c r="B95" s="252" t="s">
        <v>426</v>
      </c>
      <c r="C95" s="253">
        <v>3.6962966250000004</v>
      </c>
      <c r="D95" s="52"/>
      <c r="E95" s="37"/>
      <c r="F95" s="37"/>
      <c r="G95" s="37"/>
      <c r="H95" s="41"/>
      <c r="I95" s="41"/>
      <c r="J95" s="37"/>
    </row>
    <row r="97" spans="1:10" x14ac:dyDescent="0.4">
      <c r="A97" s="34" t="s">
        <v>427</v>
      </c>
      <c r="B97" s="35"/>
      <c r="C97" s="34"/>
      <c r="D97" s="34"/>
      <c r="E97" s="34"/>
      <c r="F97" s="34"/>
      <c r="G97" s="34"/>
      <c r="H97" s="34"/>
      <c r="I97" s="34"/>
      <c r="J97" s="34"/>
    </row>
    <row r="98" spans="1:10" ht="15" x14ac:dyDescent="0.45">
      <c r="A98" s="37"/>
      <c r="B98" s="37"/>
      <c r="C98" s="37"/>
      <c r="D98" s="37"/>
      <c r="E98" s="37"/>
      <c r="F98" s="37"/>
      <c r="G98" s="37"/>
      <c r="H98" s="37"/>
      <c r="I98" s="37"/>
      <c r="J98" s="37"/>
    </row>
    <row r="99" spans="1:10" ht="15" x14ac:dyDescent="0.45">
      <c r="A99" s="37"/>
      <c r="B99" s="138" t="s">
        <v>382</v>
      </c>
      <c r="C99" s="139"/>
      <c r="D99" s="140"/>
      <c r="E99" s="140"/>
      <c r="F99" s="140"/>
      <c r="G99" s="140"/>
      <c r="H99" s="140"/>
      <c r="I99" s="140"/>
      <c r="J99" s="141"/>
    </row>
    <row r="100" spans="1:10" ht="15" x14ac:dyDescent="0.45">
      <c r="A100" s="37"/>
      <c r="B100" s="324" t="s">
        <v>393</v>
      </c>
      <c r="C100" s="325"/>
      <c r="D100" s="325"/>
      <c r="E100" s="325"/>
      <c r="F100" s="325"/>
      <c r="G100" s="325"/>
      <c r="H100" s="325"/>
      <c r="I100" s="325"/>
      <c r="J100" s="326"/>
    </row>
    <row r="101" spans="1:10" ht="23.15" customHeight="1" x14ac:dyDescent="0.45">
      <c r="A101" s="37"/>
      <c r="B101" s="324"/>
      <c r="C101" s="325"/>
      <c r="D101" s="325"/>
      <c r="E101" s="325"/>
      <c r="F101" s="325"/>
      <c r="G101" s="325"/>
      <c r="H101" s="325"/>
      <c r="I101" s="325"/>
      <c r="J101" s="326"/>
    </row>
    <row r="102" spans="1:10" ht="15" x14ac:dyDescent="0.45">
      <c r="A102" s="37"/>
      <c r="B102" s="324" t="s">
        <v>396</v>
      </c>
      <c r="C102" s="325"/>
      <c r="D102" s="325"/>
      <c r="E102" s="325"/>
      <c r="F102" s="325"/>
      <c r="G102" s="325"/>
      <c r="H102" s="325"/>
      <c r="I102" s="325"/>
      <c r="J102" s="326"/>
    </row>
    <row r="103" spans="1:10" ht="0.45" customHeight="1" x14ac:dyDescent="0.45">
      <c r="A103" s="37"/>
      <c r="B103" s="327"/>
      <c r="C103" s="328"/>
      <c r="D103" s="328"/>
      <c r="E103" s="328"/>
      <c r="F103" s="328"/>
      <c r="G103" s="328"/>
      <c r="H103" s="328"/>
      <c r="I103" s="328"/>
      <c r="J103" s="329"/>
    </row>
    <row r="104" spans="1:10" ht="15" x14ac:dyDescent="0.45">
      <c r="A104" s="37"/>
      <c r="B104" s="37"/>
      <c r="C104" s="37"/>
      <c r="D104" s="37"/>
      <c r="E104" s="37"/>
      <c r="F104" s="37"/>
      <c r="G104" s="37"/>
      <c r="H104" s="37"/>
      <c r="I104" s="37"/>
      <c r="J104" s="37"/>
    </row>
    <row r="105" spans="1:10" ht="15" x14ac:dyDescent="0.45">
      <c r="A105" s="37"/>
      <c r="B105" s="155" t="s">
        <v>428</v>
      </c>
      <c r="C105" s="101" t="s">
        <v>429</v>
      </c>
      <c r="D105" s="37"/>
      <c r="E105" s="37"/>
      <c r="F105" s="37"/>
      <c r="G105" s="37"/>
      <c r="H105" s="37"/>
      <c r="I105" s="37"/>
      <c r="J105" s="37"/>
    </row>
    <row r="106" spans="1:10" ht="15" x14ac:dyDescent="0.45">
      <c r="A106" s="37"/>
      <c r="B106" s="156" t="s">
        <v>430</v>
      </c>
      <c r="C106" s="162">
        <f>199.9/2</f>
        <v>99.95</v>
      </c>
      <c r="D106" s="52"/>
      <c r="E106" s="37"/>
      <c r="F106" s="37"/>
      <c r="G106" s="37"/>
      <c r="H106" s="37"/>
      <c r="I106" s="37"/>
      <c r="J106" s="37"/>
    </row>
    <row r="107" spans="1:10" ht="15" x14ac:dyDescent="0.45">
      <c r="A107" s="37"/>
      <c r="B107" s="156" t="s">
        <v>431</v>
      </c>
      <c r="C107" s="162">
        <f>119.9/2</f>
        <v>59.95</v>
      </c>
      <c r="D107" s="52"/>
      <c r="E107" s="37"/>
      <c r="F107" s="37"/>
      <c r="G107" s="37"/>
      <c r="H107" s="37"/>
      <c r="I107" s="37"/>
      <c r="J107" s="37"/>
    </row>
    <row r="108" spans="1:10" ht="15" x14ac:dyDescent="0.45">
      <c r="A108" s="37"/>
      <c r="B108" s="156" t="s">
        <v>432</v>
      </c>
      <c r="C108" s="162">
        <f>79.9/2</f>
        <v>39.950000000000003</v>
      </c>
      <c r="D108" s="52"/>
      <c r="E108" s="37"/>
      <c r="F108" s="37"/>
      <c r="G108" s="37"/>
      <c r="H108" s="37"/>
      <c r="I108" s="37"/>
      <c r="J108" s="37"/>
    </row>
    <row r="109" spans="1:10" ht="15" x14ac:dyDescent="0.45">
      <c r="A109" s="37"/>
      <c r="B109" s="156" t="s">
        <v>433</v>
      </c>
      <c r="C109" s="162">
        <f>49.9/2</f>
        <v>24.95</v>
      </c>
      <c r="D109" s="52"/>
      <c r="E109" s="37"/>
      <c r="F109" s="37"/>
      <c r="G109" s="37"/>
      <c r="H109" s="37"/>
      <c r="I109" s="37"/>
      <c r="J109" s="37"/>
    </row>
    <row r="110" spans="1:10" ht="9" customHeight="1" x14ac:dyDescent="0.45">
      <c r="A110" s="37"/>
      <c r="B110" s="53"/>
      <c r="C110" s="54"/>
      <c r="D110" s="52"/>
      <c r="E110" s="37"/>
      <c r="F110" s="37"/>
      <c r="G110" s="37"/>
      <c r="H110" s="37"/>
      <c r="I110" s="37"/>
      <c r="J110" s="37"/>
    </row>
    <row r="111" spans="1:10" ht="15" x14ac:dyDescent="0.45">
      <c r="A111" s="37"/>
      <c r="B111" s="109" t="s">
        <v>419</v>
      </c>
      <c r="C111" s="37"/>
      <c r="D111" s="37"/>
      <c r="E111" s="37"/>
      <c r="F111" s="37"/>
      <c r="G111" s="37"/>
      <c r="H111" s="37"/>
      <c r="I111" s="37"/>
      <c r="J111" s="37"/>
    </row>
    <row r="113" spans="1:10" x14ac:dyDescent="0.4">
      <c r="A113" s="34" t="s">
        <v>434</v>
      </c>
      <c r="B113" s="35"/>
      <c r="C113" s="34"/>
      <c r="D113" s="34"/>
      <c r="E113" s="34"/>
      <c r="F113" s="34"/>
      <c r="G113" s="34"/>
      <c r="H113" s="34"/>
      <c r="I113" s="34"/>
      <c r="J113" s="34"/>
    </row>
    <row r="114" spans="1:10" ht="15" x14ac:dyDescent="0.45">
      <c r="A114" s="37"/>
      <c r="B114" s="37"/>
      <c r="C114" s="37"/>
      <c r="D114" s="37"/>
      <c r="E114" s="37"/>
      <c r="F114" s="37"/>
      <c r="G114" s="37"/>
      <c r="H114" s="37"/>
      <c r="I114" s="37"/>
      <c r="J114" s="37"/>
    </row>
    <row r="115" spans="1:10" ht="15" x14ac:dyDescent="0.45">
      <c r="A115" s="37"/>
      <c r="B115" s="138" t="s">
        <v>382</v>
      </c>
      <c r="C115" s="139"/>
      <c r="D115" s="140"/>
      <c r="E115" s="140"/>
      <c r="F115" s="140"/>
      <c r="G115" s="140"/>
      <c r="H115" s="140"/>
      <c r="I115" s="140"/>
      <c r="J115" s="141"/>
    </row>
    <row r="116" spans="1:10" ht="15" x14ac:dyDescent="0.45">
      <c r="A116" s="37"/>
      <c r="B116" s="324" t="s">
        <v>393</v>
      </c>
      <c r="C116" s="325"/>
      <c r="D116" s="325"/>
      <c r="E116" s="325"/>
      <c r="F116" s="325"/>
      <c r="G116" s="325"/>
      <c r="H116" s="325"/>
      <c r="I116" s="325"/>
      <c r="J116" s="326"/>
    </row>
    <row r="117" spans="1:10" ht="24.65" customHeight="1" x14ac:dyDescent="0.45">
      <c r="A117" s="37"/>
      <c r="B117" s="324"/>
      <c r="C117" s="325"/>
      <c r="D117" s="325"/>
      <c r="E117" s="325"/>
      <c r="F117" s="325"/>
      <c r="G117" s="325"/>
      <c r="H117" s="325"/>
      <c r="I117" s="325"/>
      <c r="J117" s="326"/>
    </row>
    <row r="118" spans="1:10" ht="12.9" customHeight="1" x14ac:dyDescent="0.45">
      <c r="A118" s="37"/>
      <c r="B118" s="324" t="s">
        <v>396</v>
      </c>
      <c r="C118" s="325"/>
      <c r="D118" s="325"/>
      <c r="E118" s="325"/>
      <c r="F118" s="325"/>
      <c r="G118" s="325"/>
      <c r="H118" s="325"/>
      <c r="I118" s="325"/>
      <c r="J118" s="326"/>
    </row>
    <row r="119" spans="1:10" ht="15" x14ac:dyDescent="0.45">
      <c r="A119" s="37"/>
      <c r="B119" s="324" t="s">
        <v>435</v>
      </c>
      <c r="C119" s="325"/>
      <c r="D119" s="325"/>
      <c r="E119" s="325"/>
      <c r="F119" s="325"/>
      <c r="G119" s="325"/>
      <c r="H119" s="325"/>
      <c r="I119" s="325"/>
      <c r="J119" s="326"/>
    </row>
    <row r="120" spans="1:10" ht="15" x14ac:dyDescent="0.45">
      <c r="A120" s="37"/>
      <c r="B120" s="324" t="s">
        <v>436</v>
      </c>
      <c r="C120" s="325"/>
      <c r="D120" s="325"/>
      <c r="E120" s="325"/>
      <c r="F120" s="325"/>
      <c r="G120" s="325"/>
      <c r="H120" s="325"/>
      <c r="I120" s="325"/>
      <c r="J120" s="326"/>
    </row>
    <row r="121" spans="1:10" ht="12" customHeight="1" x14ac:dyDescent="0.45">
      <c r="A121" s="37"/>
      <c r="B121" s="327"/>
      <c r="C121" s="328"/>
      <c r="D121" s="328"/>
      <c r="E121" s="328"/>
      <c r="F121" s="328"/>
      <c r="G121" s="328"/>
      <c r="H121" s="328"/>
      <c r="I121" s="328"/>
      <c r="J121" s="329"/>
    </row>
    <row r="122" spans="1:10" ht="15" x14ac:dyDescent="0.45">
      <c r="A122" s="37"/>
      <c r="B122" s="37"/>
      <c r="C122" s="37"/>
      <c r="D122" s="37"/>
      <c r="E122" s="37"/>
      <c r="F122" s="37"/>
      <c r="G122" s="37"/>
      <c r="H122" s="37"/>
      <c r="I122" s="37"/>
      <c r="J122" s="37"/>
    </row>
    <row r="123" spans="1:10" ht="15" x14ac:dyDescent="0.45">
      <c r="A123" s="37"/>
      <c r="B123" s="155" t="s">
        <v>437</v>
      </c>
      <c r="C123" s="101" t="s">
        <v>438</v>
      </c>
      <c r="D123" s="37"/>
      <c r="E123" s="37"/>
      <c r="F123" s="37"/>
      <c r="G123" s="37"/>
      <c r="H123" s="37"/>
      <c r="I123" s="37"/>
      <c r="J123" s="37"/>
    </row>
    <row r="124" spans="1:10" ht="15" x14ac:dyDescent="0.45">
      <c r="A124" s="37"/>
      <c r="B124" s="156" t="s">
        <v>439</v>
      </c>
      <c r="C124" s="162">
        <v>3.1500000000000004</v>
      </c>
      <c r="D124" s="55"/>
      <c r="E124" s="37"/>
      <c r="F124" s="37"/>
      <c r="G124" s="37"/>
      <c r="H124" s="37"/>
      <c r="I124" s="37"/>
      <c r="J124" s="37"/>
    </row>
    <row r="125" spans="1:10" ht="15" x14ac:dyDescent="0.45">
      <c r="A125" s="37"/>
      <c r="B125" s="156" t="s">
        <v>440</v>
      </c>
      <c r="C125" s="162">
        <v>2.9924999999999997</v>
      </c>
      <c r="D125" s="37"/>
      <c r="E125" s="37"/>
      <c r="F125" s="37"/>
      <c r="G125" s="37"/>
      <c r="H125" s="37"/>
      <c r="I125" s="37"/>
      <c r="J125" s="37"/>
    </row>
    <row r="126" spans="1:10" ht="15" x14ac:dyDescent="0.45">
      <c r="A126" s="37"/>
      <c r="B126" s="156" t="s">
        <v>441</v>
      </c>
      <c r="C126" s="162">
        <v>2.8350000000000004</v>
      </c>
      <c r="D126" s="55"/>
      <c r="E126" s="37"/>
      <c r="F126" s="37"/>
      <c r="G126" s="37"/>
      <c r="H126" s="37"/>
      <c r="I126" s="37"/>
      <c r="J126" s="37"/>
    </row>
    <row r="127" spans="1:10" ht="15" x14ac:dyDescent="0.45">
      <c r="A127" s="37"/>
      <c r="B127" s="156" t="s">
        <v>442</v>
      </c>
      <c r="C127" s="162">
        <v>2.6774999999999998</v>
      </c>
      <c r="D127" s="37"/>
      <c r="E127" s="37"/>
      <c r="F127" s="37"/>
      <c r="G127" s="37"/>
      <c r="H127" s="37"/>
      <c r="I127" s="37"/>
      <c r="J127" s="37"/>
    </row>
    <row r="128" spans="1:10" ht="15" x14ac:dyDescent="0.45">
      <c r="A128" s="37"/>
      <c r="B128" s="156" t="s">
        <v>443</v>
      </c>
      <c r="C128" s="162">
        <v>2.52</v>
      </c>
      <c r="D128" s="37"/>
      <c r="E128" s="37"/>
      <c r="F128" s="37"/>
      <c r="G128" s="37"/>
      <c r="H128" s="37"/>
      <c r="I128" s="37"/>
      <c r="J128" s="37"/>
    </row>
    <row r="130" spans="1:10" x14ac:dyDescent="0.4">
      <c r="A130" s="34" t="s">
        <v>444</v>
      </c>
      <c r="B130" s="35"/>
      <c r="C130" s="34"/>
      <c r="D130" s="34"/>
      <c r="E130" s="34"/>
      <c r="F130" s="34"/>
      <c r="G130" s="34"/>
      <c r="H130" s="34"/>
      <c r="I130" s="34"/>
      <c r="J130" s="34"/>
    </row>
    <row r="131" spans="1:10" ht="15" x14ac:dyDescent="0.45">
      <c r="A131" s="37"/>
      <c r="B131" s="37"/>
      <c r="C131" s="37"/>
      <c r="D131" s="37"/>
      <c r="E131" s="37"/>
      <c r="F131" s="37"/>
      <c r="G131" s="37"/>
      <c r="H131" s="37"/>
      <c r="I131" s="37"/>
      <c r="J131" s="37"/>
    </row>
    <row r="132" spans="1:10" ht="15" x14ac:dyDescent="0.45">
      <c r="A132" s="37"/>
      <c r="B132" s="138" t="s">
        <v>382</v>
      </c>
      <c r="C132" s="139"/>
      <c r="D132" s="140"/>
      <c r="E132" s="140"/>
      <c r="F132" s="140"/>
      <c r="G132" s="140"/>
      <c r="H132" s="140"/>
      <c r="I132" s="140"/>
      <c r="J132" s="141"/>
    </row>
    <row r="133" spans="1:10" ht="15" x14ac:dyDescent="0.45">
      <c r="A133" s="37"/>
      <c r="B133" s="324" t="s">
        <v>393</v>
      </c>
      <c r="C133" s="325"/>
      <c r="D133" s="325"/>
      <c r="E133" s="325"/>
      <c r="F133" s="325"/>
      <c r="G133" s="325"/>
      <c r="H133" s="325"/>
      <c r="I133" s="325"/>
      <c r="J133" s="326"/>
    </row>
    <row r="134" spans="1:10" ht="25.4" customHeight="1" x14ac:dyDescent="0.45">
      <c r="A134" s="37"/>
      <c r="B134" s="324"/>
      <c r="C134" s="325"/>
      <c r="D134" s="325"/>
      <c r="E134" s="325"/>
      <c r="F134" s="325"/>
      <c r="G134" s="325"/>
      <c r="H134" s="325"/>
      <c r="I134" s="325"/>
      <c r="J134" s="326"/>
    </row>
    <row r="135" spans="1:10" ht="15" x14ac:dyDescent="0.45">
      <c r="A135" s="37"/>
      <c r="B135" s="324" t="s">
        <v>396</v>
      </c>
      <c r="C135" s="325"/>
      <c r="D135" s="325"/>
      <c r="E135" s="325"/>
      <c r="F135" s="325"/>
      <c r="G135" s="325"/>
      <c r="H135" s="325"/>
      <c r="I135" s="325"/>
      <c r="J135" s="326"/>
    </row>
    <row r="136" spans="1:10" ht="4.3" customHeight="1" x14ac:dyDescent="0.45">
      <c r="A136" s="37"/>
      <c r="B136" s="327"/>
      <c r="C136" s="328"/>
      <c r="D136" s="328"/>
      <c r="E136" s="328"/>
      <c r="F136" s="328"/>
      <c r="G136" s="328"/>
      <c r="H136" s="328"/>
      <c r="I136" s="328"/>
      <c r="J136" s="329"/>
    </row>
    <row r="137" spans="1:10" ht="15" x14ac:dyDescent="0.45">
      <c r="A137" s="37"/>
      <c r="B137" s="37"/>
      <c r="C137" s="37"/>
      <c r="D137" s="37"/>
      <c r="E137" s="37"/>
      <c r="F137" s="37"/>
      <c r="G137" s="37"/>
      <c r="H137" s="37"/>
      <c r="I137" s="37"/>
      <c r="J137" s="37"/>
    </row>
    <row r="138" spans="1:10" ht="15" x14ac:dyDescent="0.45">
      <c r="A138" s="37"/>
      <c r="B138" s="101" t="s">
        <v>445</v>
      </c>
      <c r="D138" s="37"/>
      <c r="E138" s="37"/>
      <c r="F138" s="37"/>
      <c r="G138" s="37"/>
      <c r="H138" s="37"/>
      <c r="I138" s="37"/>
      <c r="J138" s="37"/>
    </row>
    <row r="139" spans="1:10" ht="15" x14ac:dyDescent="0.45">
      <c r="A139" s="37"/>
      <c r="B139" s="162">
        <v>4725</v>
      </c>
      <c r="D139" s="37"/>
      <c r="E139" s="37"/>
      <c r="F139" s="37"/>
      <c r="G139" s="37"/>
      <c r="H139" s="37"/>
      <c r="I139" s="37"/>
      <c r="J139" s="37"/>
    </row>
    <row r="140" spans="1:10" ht="9" customHeight="1" x14ac:dyDescent="0.45">
      <c r="A140" s="37"/>
      <c r="B140" s="37"/>
      <c r="C140" s="37"/>
      <c r="D140" s="37"/>
      <c r="E140" s="37"/>
      <c r="F140" s="37"/>
      <c r="G140" s="37"/>
      <c r="H140" s="37"/>
      <c r="I140" s="37"/>
      <c r="J140" s="37"/>
    </row>
    <row r="141" spans="1:10" ht="15" x14ac:dyDescent="0.45">
      <c r="A141" s="37"/>
      <c r="B141" s="130" t="s">
        <v>408</v>
      </c>
      <c r="C141" s="37"/>
      <c r="D141" s="37"/>
      <c r="E141" s="37"/>
      <c r="F141" s="37"/>
      <c r="G141" s="37"/>
      <c r="H141" s="37"/>
      <c r="I141" s="37"/>
      <c r="J141" s="37"/>
    </row>
    <row r="143" spans="1:10" x14ac:dyDescent="0.4">
      <c r="A143" s="34" t="s">
        <v>446</v>
      </c>
      <c r="B143" s="35"/>
      <c r="C143" s="34"/>
      <c r="D143" s="34"/>
      <c r="E143" s="34"/>
      <c r="F143" s="34"/>
      <c r="G143" s="34"/>
      <c r="H143" s="34"/>
      <c r="I143" s="34"/>
      <c r="J143" s="34"/>
    </row>
    <row r="144" spans="1:10" ht="15" x14ac:dyDescent="0.45">
      <c r="A144" s="37"/>
      <c r="B144" s="37"/>
      <c r="C144" s="37"/>
      <c r="D144" s="37"/>
      <c r="E144" s="37"/>
      <c r="F144" s="37"/>
      <c r="G144" s="37"/>
      <c r="H144" s="37"/>
      <c r="I144" s="37"/>
      <c r="J144" s="37"/>
    </row>
    <row r="145" spans="1:10" ht="15" x14ac:dyDescent="0.45">
      <c r="A145" s="37"/>
      <c r="B145" s="138" t="s">
        <v>382</v>
      </c>
      <c r="C145" s="139"/>
      <c r="D145" s="140"/>
      <c r="E145" s="140"/>
      <c r="F145" s="140"/>
      <c r="G145" s="140"/>
      <c r="H145" s="140"/>
      <c r="I145" s="140"/>
      <c r="J145" s="141"/>
    </row>
    <row r="146" spans="1:10" ht="15" x14ac:dyDescent="0.45">
      <c r="A146" s="37"/>
      <c r="B146" s="324" t="s">
        <v>393</v>
      </c>
      <c r="C146" s="325"/>
      <c r="D146" s="325"/>
      <c r="E146" s="325"/>
      <c r="F146" s="325"/>
      <c r="G146" s="325"/>
      <c r="H146" s="325"/>
      <c r="I146" s="325"/>
      <c r="J146" s="326"/>
    </row>
    <row r="147" spans="1:10" ht="22.4" customHeight="1" x14ac:dyDescent="0.45">
      <c r="A147" s="37"/>
      <c r="B147" s="324"/>
      <c r="C147" s="325"/>
      <c r="D147" s="325"/>
      <c r="E147" s="325"/>
      <c r="F147" s="325"/>
      <c r="G147" s="325"/>
      <c r="H147" s="325"/>
      <c r="I147" s="325"/>
      <c r="J147" s="326"/>
    </row>
    <row r="148" spans="1:10" ht="15" x14ac:dyDescent="0.45">
      <c r="A148" s="37"/>
      <c r="B148" s="324" t="s">
        <v>396</v>
      </c>
      <c r="C148" s="325"/>
      <c r="D148" s="325"/>
      <c r="E148" s="325"/>
      <c r="F148" s="325"/>
      <c r="G148" s="325"/>
      <c r="H148" s="325"/>
      <c r="I148" s="325"/>
      <c r="J148" s="326"/>
    </row>
    <row r="149" spans="1:10" ht="4.75" customHeight="1" x14ac:dyDescent="0.45">
      <c r="A149" s="37"/>
      <c r="B149" s="327"/>
      <c r="C149" s="328"/>
      <c r="D149" s="328"/>
      <c r="E149" s="328"/>
      <c r="F149" s="328"/>
      <c r="G149" s="328"/>
      <c r="H149" s="328"/>
      <c r="I149" s="328"/>
      <c r="J149" s="329"/>
    </row>
    <row r="150" spans="1:10" ht="15" x14ac:dyDescent="0.45">
      <c r="A150" s="37"/>
      <c r="B150" s="37"/>
      <c r="C150" s="37"/>
      <c r="D150" s="37"/>
      <c r="E150" s="37"/>
      <c r="F150" s="37"/>
      <c r="G150" s="37"/>
      <c r="H150" s="37"/>
      <c r="I150" s="37"/>
      <c r="J150" s="37"/>
    </row>
    <row r="151" spans="1:10" ht="15" x14ac:dyDescent="0.45">
      <c r="A151" s="37"/>
      <c r="B151" s="101" t="s">
        <v>447</v>
      </c>
      <c r="C151" s="37"/>
      <c r="D151" s="37"/>
      <c r="E151" s="37"/>
      <c r="F151" s="37"/>
      <c r="G151" s="37"/>
      <c r="H151" s="37"/>
      <c r="I151" s="37"/>
      <c r="J151" s="37"/>
    </row>
    <row r="152" spans="1:10" ht="15" x14ac:dyDescent="0.45">
      <c r="A152" s="37"/>
      <c r="B152" s="163">
        <v>0.52500000000000002</v>
      </c>
      <c r="C152" s="37"/>
      <c r="D152" s="52"/>
      <c r="E152" s="37"/>
      <c r="F152" s="37"/>
      <c r="G152" s="37"/>
      <c r="H152" s="37"/>
      <c r="I152" s="37"/>
      <c r="J152" s="37"/>
    </row>
    <row r="153" spans="1:10" ht="9" customHeight="1" x14ac:dyDescent="0.45">
      <c r="A153" s="37"/>
      <c r="B153" s="37"/>
      <c r="C153" s="37"/>
      <c r="D153" s="37"/>
      <c r="E153" s="37"/>
      <c r="F153" s="37"/>
      <c r="G153" s="37"/>
      <c r="H153" s="37"/>
      <c r="I153" s="37"/>
      <c r="J153" s="37"/>
    </row>
    <row r="154" spans="1:10" ht="15" x14ac:dyDescent="0.45">
      <c r="A154" s="37"/>
      <c r="B154" s="130" t="s">
        <v>408</v>
      </c>
      <c r="C154" s="37"/>
      <c r="D154" s="37"/>
      <c r="E154" s="37"/>
      <c r="F154" s="37"/>
      <c r="G154" s="37"/>
      <c r="H154" s="37"/>
      <c r="I154" s="37"/>
      <c r="J154" s="37"/>
    </row>
    <row r="156" spans="1:10" x14ac:dyDescent="0.4">
      <c r="A156" s="34" t="s">
        <v>744</v>
      </c>
      <c r="B156" s="35"/>
      <c r="C156" s="34"/>
      <c r="D156" s="34"/>
      <c r="E156" s="34"/>
      <c r="F156" s="34"/>
      <c r="G156" s="34"/>
      <c r="H156" s="34"/>
      <c r="I156" s="34"/>
      <c r="J156" s="34"/>
    </row>
    <row r="158" spans="1:10" x14ac:dyDescent="0.4">
      <c r="B158" s="138" t="s">
        <v>382</v>
      </c>
      <c r="C158" s="139"/>
      <c r="D158" s="140"/>
      <c r="E158" s="140"/>
      <c r="F158" s="140"/>
      <c r="G158" s="140"/>
      <c r="H158" s="140"/>
      <c r="I158" s="140"/>
      <c r="J158" s="141"/>
    </row>
    <row r="159" spans="1:10" x14ac:dyDescent="0.4">
      <c r="B159" s="324" t="s">
        <v>393</v>
      </c>
      <c r="C159" s="325"/>
      <c r="D159" s="325"/>
      <c r="E159" s="325"/>
      <c r="F159" s="325"/>
      <c r="G159" s="325"/>
      <c r="H159" s="325"/>
      <c r="I159" s="325"/>
      <c r="J159" s="326"/>
    </row>
    <row r="160" spans="1:10" ht="21.75" customHeight="1" x14ac:dyDescent="0.4">
      <c r="B160" s="324"/>
      <c r="C160" s="325"/>
      <c r="D160" s="325"/>
      <c r="E160" s="325"/>
      <c r="F160" s="325"/>
      <c r="G160" s="325"/>
      <c r="H160" s="325"/>
      <c r="I160" s="325"/>
      <c r="J160" s="326"/>
    </row>
    <row r="161" spans="1:10" x14ac:dyDescent="0.4">
      <c r="B161" s="324" t="s">
        <v>396</v>
      </c>
      <c r="C161" s="325"/>
      <c r="D161" s="325"/>
      <c r="E161" s="325"/>
      <c r="F161" s="325"/>
      <c r="G161" s="325"/>
      <c r="H161" s="325"/>
      <c r="I161" s="325"/>
      <c r="J161" s="326"/>
    </row>
    <row r="162" spans="1:10" ht="2.15" customHeight="1" x14ac:dyDescent="0.4">
      <c r="B162" s="327"/>
      <c r="C162" s="328"/>
      <c r="D162" s="328"/>
      <c r="E162" s="328"/>
      <c r="F162" s="328"/>
      <c r="G162" s="328"/>
      <c r="H162" s="328"/>
      <c r="I162" s="328"/>
      <c r="J162" s="329"/>
    </row>
    <row r="164" spans="1:10" x14ac:dyDescent="0.4">
      <c r="B164" s="155" t="s">
        <v>745</v>
      </c>
      <c r="C164" s="101" t="s">
        <v>447</v>
      </c>
    </row>
    <row r="165" spans="1:10" x14ac:dyDescent="0.4">
      <c r="B165" s="164" t="s">
        <v>486</v>
      </c>
      <c r="C165" s="164">
        <v>96.31</v>
      </c>
    </row>
    <row r="166" spans="1:10" x14ac:dyDescent="0.4">
      <c r="B166" s="164" t="s">
        <v>487</v>
      </c>
      <c r="C166" s="164">
        <v>0.19</v>
      </c>
    </row>
    <row r="167" spans="1:10" ht="8.8000000000000007" customHeight="1" x14ac:dyDescent="0.4"/>
    <row r="168" spans="1:10" x14ac:dyDescent="0.4">
      <c r="B168" s="334" t="s">
        <v>746</v>
      </c>
      <c r="C168" s="334"/>
      <c r="D168" s="334"/>
      <c r="E168" s="334"/>
      <c r="F168" s="334"/>
      <c r="G168" s="334"/>
      <c r="H168" s="334"/>
      <c r="I168" s="334"/>
      <c r="J168" s="334"/>
    </row>
    <row r="170" spans="1:10" x14ac:dyDescent="0.4">
      <c r="A170" s="34" t="s">
        <v>747</v>
      </c>
      <c r="B170" s="35"/>
      <c r="C170" s="34"/>
      <c r="D170" s="34"/>
      <c r="E170" s="34"/>
      <c r="F170" s="34"/>
      <c r="G170" s="34"/>
      <c r="H170" s="34"/>
      <c r="I170" s="34"/>
      <c r="J170" s="34"/>
    </row>
    <row r="172" spans="1:10" x14ac:dyDescent="0.4">
      <c r="B172" s="138" t="s">
        <v>382</v>
      </c>
      <c r="C172" s="139"/>
      <c r="D172" s="140"/>
      <c r="E172" s="140"/>
      <c r="F172" s="140"/>
      <c r="G172" s="140"/>
      <c r="H172" s="140"/>
      <c r="I172" s="140"/>
      <c r="J172" s="141"/>
    </row>
    <row r="173" spans="1:10" x14ac:dyDescent="0.4">
      <c r="B173" s="324" t="s">
        <v>393</v>
      </c>
      <c r="C173" s="325"/>
      <c r="D173" s="325"/>
      <c r="E173" s="325"/>
      <c r="F173" s="325"/>
      <c r="G173" s="325"/>
      <c r="H173" s="325"/>
      <c r="I173" s="325"/>
      <c r="J173" s="326"/>
    </row>
    <row r="174" spans="1:10" ht="22.5" customHeight="1" x14ac:dyDescent="0.4">
      <c r="B174" s="324"/>
      <c r="C174" s="325"/>
      <c r="D174" s="325"/>
      <c r="E174" s="325"/>
      <c r="F174" s="325"/>
      <c r="G174" s="325"/>
      <c r="H174" s="325"/>
      <c r="I174" s="325"/>
      <c r="J174" s="326"/>
    </row>
    <row r="175" spans="1:10" x14ac:dyDescent="0.4">
      <c r="B175" s="324" t="s">
        <v>396</v>
      </c>
      <c r="C175" s="325"/>
      <c r="D175" s="325"/>
      <c r="E175" s="325"/>
      <c r="F175" s="325"/>
      <c r="G175" s="325"/>
      <c r="H175" s="325"/>
      <c r="I175" s="325"/>
      <c r="J175" s="326"/>
    </row>
    <row r="176" spans="1:10" ht="6.45" customHeight="1" x14ac:dyDescent="0.4">
      <c r="B176" s="327"/>
      <c r="C176" s="328"/>
      <c r="D176" s="328"/>
      <c r="E176" s="328"/>
      <c r="F176" s="328"/>
      <c r="G176" s="328"/>
      <c r="H176" s="328"/>
      <c r="I176" s="328"/>
      <c r="J176" s="329"/>
    </row>
    <row r="178" spans="1:10" x14ac:dyDescent="0.4">
      <c r="B178" s="102" t="s">
        <v>748</v>
      </c>
      <c r="C178" s="102" t="s">
        <v>749</v>
      </c>
      <c r="D178" s="165" t="s">
        <v>750</v>
      </c>
    </row>
    <row r="179" spans="1:10" ht="24.9" x14ac:dyDescent="0.4">
      <c r="B179" s="166" t="s">
        <v>751</v>
      </c>
      <c r="C179" s="166" t="s">
        <v>752</v>
      </c>
      <c r="D179" s="166">
        <v>0.95</v>
      </c>
    </row>
    <row r="180" spans="1:10" ht="24.9" x14ac:dyDescent="0.4">
      <c r="B180" s="166" t="s">
        <v>753</v>
      </c>
      <c r="C180" s="166" t="s">
        <v>754</v>
      </c>
      <c r="D180" s="166">
        <v>0.06</v>
      </c>
    </row>
    <row r="181" spans="1:10" x14ac:dyDescent="0.4">
      <c r="B181" s="166" t="s">
        <v>755</v>
      </c>
      <c r="C181" s="166" t="s">
        <v>115</v>
      </c>
      <c r="D181" s="166">
        <v>0.95</v>
      </c>
    </row>
    <row r="182" spans="1:10" ht="9" customHeight="1" x14ac:dyDescent="0.4"/>
    <row r="183" spans="1:10" x14ac:dyDescent="0.4">
      <c r="B183" s="335" t="s">
        <v>757</v>
      </c>
      <c r="C183" s="335"/>
      <c r="D183" s="335"/>
      <c r="E183" s="335"/>
      <c r="F183" s="335"/>
      <c r="G183" s="335"/>
      <c r="H183" s="335"/>
      <c r="I183" s="335"/>
      <c r="J183" s="335"/>
    </row>
    <row r="184" spans="1:10" x14ac:dyDescent="0.4">
      <c r="B184" s="335" t="s">
        <v>408</v>
      </c>
      <c r="C184" s="335"/>
      <c r="D184" s="335"/>
      <c r="E184" s="335"/>
      <c r="F184" s="335"/>
      <c r="G184" s="335"/>
      <c r="H184" s="335"/>
      <c r="I184" s="335"/>
      <c r="J184" s="335"/>
    </row>
    <row r="185" spans="1:10" s="287" customFormat="1" x14ac:dyDescent="0.4">
      <c r="B185" s="307"/>
      <c r="C185" s="307"/>
      <c r="D185" s="307"/>
      <c r="E185" s="307"/>
      <c r="F185" s="307"/>
      <c r="G185" s="307"/>
      <c r="H185" s="307"/>
      <c r="I185" s="307"/>
      <c r="J185" s="307"/>
    </row>
    <row r="186" spans="1:10" s="287" customFormat="1" x14ac:dyDescent="0.4">
      <c r="A186" s="34" t="s">
        <v>827</v>
      </c>
      <c r="B186" s="35"/>
      <c r="C186" s="34"/>
      <c r="D186" s="34"/>
      <c r="E186" s="34"/>
      <c r="F186" s="34"/>
      <c r="G186" s="34"/>
      <c r="H186" s="34"/>
      <c r="I186" s="34"/>
      <c r="J186" s="34"/>
    </row>
    <row r="187" spans="1:10" s="287" customFormat="1" x14ac:dyDescent="0.4"/>
    <row r="188" spans="1:10" s="287" customFormat="1" x14ac:dyDescent="0.4">
      <c r="B188" s="138" t="s">
        <v>382</v>
      </c>
      <c r="C188" s="139"/>
      <c r="D188" s="140"/>
      <c r="E188" s="140"/>
      <c r="F188" s="140"/>
      <c r="G188" s="140"/>
      <c r="H188" s="140"/>
      <c r="I188" s="140"/>
      <c r="J188" s="141"/>
    </row>
    <row r="189" spans="1:10" s="287" customFormat="1" x14ac:dyDescent="0.4">
      <c r="B189" s="324" t="s">
        <v>393</v>
      </c>
      <c r="C189" s="325"/>
      <c r="D189" s="325"/>
      <c r="E189" s="325"/>
      <c r="F189" s="325"/>
      <c r="G189" s="325"/>
      <c r="H189" s="325"/>
      <c r="I189" s="325"/>
      <c r="J189" s="326"/>
    </row>
    <row r="190" spans="1:10" s="287" customFormat="1" ht="21.75" customHeight="1" x14ac:dyDescent="0.4">
      <c r="B190" s="324"/>
      <c r="C190" s="325"/>
      <c r="D190" s="325"/>
      <c r="E190" s="325"/>
      <c r="F190" s="325"/>
      <c r="G190" s="325"/>
      <c r="H190" s="325"/>
      <c r="I190" s="325"/>
      <c r="J190" s="326"/>
    </row>
    <row r="191" spans="1:10" s="287" customFormat="1" x14ac:dyDescent="0.4">
      <c r="B191" s="306" t="s">
        <v>396</v>
      </c>
      <c r="C191" s="304"/>
      <c r="D191" s="304"/>
      <c r="E191" s="304"/>
      <c r="F191" s="304"/>
      <c r="G191" s="304"/>
      <c r="H191" s="304"/>
      <c r="I191" s="304"/>
      <c r="J191" s="305"/>
    </row>
    <row r="192" spans="1:10" s="287" customFormat="1" x14ac:dyDescent="0.4"/>
    <row r="193" spans="2:10" s="287" customFormat="1" x14ac:dyDescent="0.4">
      <c r="B193" s="299" t="s">
        <v>828</v>
      </c>
      <c r="C193" s="222" t="s">
        <v>829</v>
      </c>
    </row>
    <row r="194" spans="2:10" s="287" customFormat="1" x14ac:dyDescent="0.4">
      <c r="B194" s="164" t="s">
        <v>486</v>
      </c>
      <c r="C194" s="164">
        <v>96.31</v>
      </c>
    </row>
    <row r="195" spans="2:10" s="287" customFormat="1" x14ac:dyDescent="0.4">
      <c r="B195" s="164" t="s">
        <v>487</v>
      </c>
      <c r="C195" s="164">
        <v>0.19</v>
      </c>
    </row>
    <row r="196" spans="2:10" s="287" customFormat="1" x14ac:dyDescent="0.4"/>
    <row r="197" spans="2:10" s="287" customFormat="1" x14ac:dyDescent="0.4">
      <c r="B197" s="335" t="s">
        <v>408</v>
      </c>
      <c r="C197" s="335"/>
      <c r="D197" s="335"/>
      <c r="E197" s="335"/>
      <c r="F197" s="335"/>
      <c r="G197" s="335"/>
      <c r="H197" s="335"/>
      <c r="I197" s="335"/>
      <c r="J197" s="335"/>
    </row>
    <row r="198" spans="2:10" s="287" customFormat="1" ht="27.75" customHeight="1" x14ac:dyDescent="0.4">
      <c r="B198" s="334" t="s">
        <v>830</v>
      </c>
      <c r="C198" s="334"/>
      <c r="D198" s="334"/>
      <c r="E198" s="334"/>
      <c r="F198" s="334"/>
      <c r="G198" s="334"/>
      <c r="H198" s="334"/>
      <c r="I198" s="334"/>
      <c r="J198" s="334"/>
    </row>
  </sheetData>
  <mergeCells count="35">
    <mergeCell ref="B189:J190"/>
    <mergeCell ref="B198:J198"/>
    <mergeCell ref="B197:J197"/>
    <mergeCell ref="B183:J183"/>
    <mergeCell ref="B184:J184"/>
    <mergeCell ref="B159:J160"/>
    <mergeCell ref="B161:J162"/>
    <mergeCell ref="B168:J168"/>
    <mergeCell ref="B173:J174"/>
    <mergeCell ref="B175:J176"/>
    <mergeCell ref="B148:J149"/>
    <mergeCell ref="B118:J118"/>
    <mergeCell ref="B119:J119"/>
    <mergeCell ref="B120:J121"/>
    <mergeCell ref="B133:J134"/>
    <mergeCell ref="B135:J136"/>
    <mergeCell ref="B146:J147"/>
    <mergeCell ref="B116:J117"/>
    <mergeCell ref="B34:J34"/>
    <mergeCell ref="B45:J45"/>
    <mergeCell ref="B46:J46"/>
    <mergeCell ref="B58:J58"/>
    <mergeCell ref="B59:J59"/>
    <mergeCell ref="B89:J89"/>
    <mergeCell ref="B90:J91"/>
    <mergeCell ref="B100:J101"/>
    <mergeCell ref="B102:J103"/>
    <mergeCell ref="B55:J55"/>
    <mergeCell ref="B73:J73"/>
    <mergeCell ref="B33:J33"/>
    <mergeCell ref="B11:J11"/>
    <mergeCell ref="B12:J12"/>
    <mergeCell ref="B17:J17"/>
    <mergeCell ref="B18:J18"/>
    <mergeCell ref="B19:J19"/>
  </mergeCells>
  <pageMargins left="0.70866141732283472" right="0.70866141732283472" top="0.74803149606299213" bottom="0.74803149606299213" header="0.31496062992125984" footer="0.31496062992125984"/>
  <pageSetup orientation="portrait" horizontalDpi="300" verticalDpi="300" r:id="rId1"/>
  <headerFooter>
    <oddHeader>&amp;L&amp;G</oddHeader>
    <oddFooter>&amp;L&amp;"DM Sans,Regular"&amp;8&amp;K1D1765© 2023 WiseTech Global&amp;C&amp;"DM Sans,Regular"&amp;8&amp;K1D1765CargoWise One STL Price List&amp;R&amp;"DM Sans,Regular"&amp;8&amp;K1D1765Page &amp;P</oddFooter>
  </headerFooter>
  <legacyDrawingHF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281E-0349-4BDF-B7F3-6DBB29D32DE3}">
  <sheetPr codeName="Sheet23">
    <tabColor rgb="FF92D050"/>
  </sheetPr>
  <dimension ref="A2:L169"/>
  <sheetViews>
    <sheetView topLeftCell="A28" workbookViewId="0">
      <selection activeCell="L70" sqref="L70"/>
    </sheetView>
  </sheetViews>
  <sheetFormatPr defaultRowHeight="14.6" outlineLevelRow="1" x14ac:dyDescent="0.4"/>
  <cols>
    <col min="1" max="1" width="3" customWidth="1"/>
    <col min="2" max="2" width="33.84375" customWidth="1"/>
    <col min="3" max="3" width="16.23046875" customWidth="1"/>
    <col min="4" max="4" width="18" customWidth="1"/>
    <col min="10" max="10" width="15.69140625" customWidth="1"/>
  </cols>
  <sheetData>
    <row r="2" spans="1:10" ht="37.299999999999997" thickBot="1" x14ac:dyDescent="1.1000000000000001">
      <c r="A2" s="298" t="s">
        <v>826</v>
      </c>
      <c r="B2" s="298"/>
      <c r="C2" s="298"/>
      <c r="D2" s="298"/>
      <c r="E2" s="298"/>
      <c r="F2" s="298"/>
      <c r="G2" s="298"/>
      <c r="H2" s="298"/>
      <c r="I2" s="298"/>
      <c r="J2" s="298"/>
    </row>
    <row r="3" spans="1:10" ht="15" thickTop="1" x14ac:dyDescent="0.4">
      <c r="A3" s="297"/>
      <c r="B3" s="297"/>
      <c r="C3" s="297"/>
      <c r="D3" s="297"/>
      <c r="E3" s="297"/>
      <c r="F3" s="297"/>
      <c r="G3" s="297"/>
      <c r="H3" s="297"/>
      <c r="I3" s="297"/>
      <c r="J3" s="297"/>
    </row>
    <row r="5" spans="1:10" x14ac:dyDescent="0.4">
      <c r="A5" s="34" t="s">
        <v>448</v>
      </c>
      <c r="B5" s="35"/>
      <c r="C5" s="34"/>
      <c r="D5" s="34"/>
      <c r="E5" s="34"/>
      <c r="F5" s="34"/>
      <c r="G5" s="34"/>
      <c r="H5" s="34"/>
      <c r="I5" s="34"/>
      <c r="J5" s="34"/>
    </row>
    <row r="6" spans="1:10" ht="15" x14ac:dyDescent="0.45">
      <c r="A6" s="37"/>
      <c r="B6" s="37"/>
      <c r="C6" s="37"/>
      <c r="D6" s="37"/>
      <c r="E6" s="37"/>
      <c r="F6" s="37"/>
      <c r="G6" s="37"/>
      <c r="H6" s="37"/>
      <c r="I6" s="37"/>
      <c r="J6" s="37"/>
    </row>
    <row r="7" spans="1:10" ht="15" x14ac:dyDescent="0.45">
      <c r="A7" s="37"/>
      <c r="B7" s="201" t="s">
        <v>382</v>
      </c>
      <c r="C7" s="47"/>
      <c r="D7" s="48"/>
      <c r="E7" s="48"/>
      <c r="F7" s="48"/>
      <c r="G7" s="48"/>
      <c r="H7" s="48"/>
      <c r="I7" s="48"/>
      <c r="J7" s="49"/>
    </row>
    <row r="8" spans="1:10" ht="15" x14ac:dyDescent="0.45">
      <c r="A8" s="37"/>
      <c r="B8" s="202" t="s">
        <v>449</v>
      </c>
      <c r="C8" s="56"/>
      <c r="D8" s="203"/>
      <c r="E8" s="203"/>
      <c r="F8" s="203"/>
      <c r="G8" s="203"/>
      <c r="H8" s="203"/>
      <c r="I8" s="203"/>
      <c r="J8" s="204"/>
    </row>
    <row r="9" spans="1:10" ht="15" x14ac:dyDescent="0.45">
      <c r="A9" s="37"/>
      <c r="B9" s="205" t="s">
        <v>450</v>
      </c>
      <c r="C9" s="206"/>
      <c r="D9" s="207"/>
      <c r="E9" s="207"/>
      <c r="F9" s="207"/>
      <c r="G9" s="207"/>
      <c r="H9" s="207"/>
      <c r="I9" s="207"/>
      <c r="J9" s="208"/>
    </row>
    <row r="10" spans="1:10" ht="15" x14ac:dyDescent="0.45">
      <c r="A10" s="37"/>
      <c r="B10" s="38"/>
      <c r="C10" s="56"/>
      <c r="D10" s="40"/>
      <c r="E10" s="40"/>
      <c r="F10" s="40"/>
      <c r="G10" s="40"/>
      <c r="H10" s="40"/>
      <c r="I10" s="40"/>
      <c r="J10" s="40"/>
    </row>
    <row r="11" spans="1:10" ht="39.9" x14ac:dyDescent="0.45">
      <c r="A11" s="37"/>
      <c r="B11" s="170" t="s">
        <v>453</v>
      </c>
      <c r="C11" s="171" t="s">
        <v>452</v>
      </c>
      <c r="E11" s="37"/>
      <c r="I11" s="37"/>
      <c r="J11" s="23"/>
    </row>
    <row r="12" spans="1:10" ht="15" x14ac:dyDescent="0.45">
      <c r="A12" s="37"/>
      <c r="B12" s="172">
        <v>25000</v>
      </c>
      <c r="C12" s="173">
        <v>0.05</v>
      </c>
      <c r="E12" s="37"/>
      <c r="I12" s="37"/>
      <c r="J12" s="23"/>
    </row>
    <row r="13" spans="1:10" ht="15" x14ac:dyDescent="0.45">
      <c r="A13" s="37"/>
      <c r="B13" s="172">
        <v>32000</v>
      </c>
      <c r="C13" s="173">
        <v>0.1</v>
      </c>
      <c r="E13" s="37"/>
      <c r="I13" s="59"/>
      <c r="J13" s="23"/>
    </row>
    <row r="14" spans="1:10" ht="15" x14ac:dyDescent="0.45">
      <c r="A14" s="37"/>
      <c r="B14" s="172">
        <v>64000</v>
      </c>
      <c r="C14" s="173">
        <v>0.15</v>
      </c>
      <c r="E14" s="37"/>
      <c r="I14" s="59"/>
      <c r="J14" s="23"/>
    </row>
    <row r="15" spans="1:10" ht="15" x14ac:dyDescent="0.45">
      <c r="A15" s="37"/>
      <c r="B15" s="172">
        <v>129000</v>
      </c>
      <c r="C15" s="173">
        <v>0.2</v>
      </c>
      <c r="E15" s="37"/>
      <c r="I15" s="59"/>
      <c r="J15" s="23"/>
    </row>
    <row r="16" spans="1:10" ht="15" x14ac:dyDescent="0.45">
      <c r="A16" s="37"/>
      <c r="B16" s="172">
        <v>262000</v>
      </c>
      <c r="C16" s="173">
        <v>0.24</v>
      </c>
      <c r="E16" s="37"/>
      <c r="I16" s="59"/>
      <c r="J16" s="23"/>
    </row>
    <row r="17" spans="1:10" ht="15" x14ac:dyDescent="0.45">
      <c r="A17" s="37"/>
      <c r="B17" s="172">
        <v>534000</v>
      </c>
      <c r="C17" s="173">
        <v>0.28000000000000003</v>
      </c>
      <c r="E17" s="37"/>
      <c r="I17" s="59"/>
      <c r="J17" s="23"/>
    </row>
    <row r="18" spans="1:10" ht="15" x14ac:dyDescent="0.45">
      <c r="A18" s="37"/>
      <c r="B18" s="172">
        <v>1095000</v>
      </c>
      <c r="C18" s="173">
        <v>0.32</v>
      </c>
      <c r="E18" s="37"/>
      <c r="I18" s="59"/>
      <c r="J18" s="23"/>
    </row>
    <row r="19" spans="1:10" ht="15" x14ac:dyDescent="0.45">
      <c r="A19" s="37"/>
      <c r="B19" s="172">
        <v>2256000</v>
      </c>
      <c r="C19" s="173">
        <v>0.36</v>
      </c>
      <c r="E19" s="37"/>
      <c r="I19" s="59"/>
      <c r="J19" s="23"/>
    </row>
    <row r="20" spans="1:10" ht="15" x14ac:dyDescent="0.45">
      <c r="A20" s="37"/>
      <c r="B20" s="172">
        <v>4670000</v>
      </c>
      <c r="C20" s="173">
        <v>0.4</v>
      </c>
      <c r="E20" s="37"/>
      <c r="I20" s="59"/>
      <c r="J20" s="23"/>
    </row>
    <row r="21" spans="1:10" ht="15" x14ac:dyDescent="0.45">
      <c r="A21" s="37"/>
      <c r="B21" s="172">
        <v>9714000</v>
      </c>
      <c r="C21" s="173">
        <v>0.44</v>
      </c>
      <c r="E21" s="37"/>
      <c r="I21" s="59"/>
      <c r="J21" s="23"/>
    </row>
    <row r="22" spans="1:10" ht="15" x14ac:dyDescent="0.45">
      <c r="A22" s="37"/>
      <c r="B22" s="172">
        <v>20302000</v>
      </c>
      <c r="C22" s="173">
        <v>0.47</v>
      </c>
      <c r="E22" s="37"/>
      <c r="I22" s="59"/>
      <c r="J22" s="23"/>
    </row>
    <row r="23" spans="1:10" ht="15" x14ac:dyDescent="0.45">
      <c r="A23" s="37"/>
      <c r="B23" s="172">
        <v>42634000</v>
      </c>
      <c r="C23" s="173">
        <v>0.5</v>
      </c>
      <c r="E23" s="37"/>
      <c r="I23" s="59"/>
      <c r="J23" s="23"/>
    </row>
    <row r="24" spans="1:10" ht="15" x14ac:dyDescent="0.45">
      <c r="A24" s="37"/>
      <c r="B24" s="172">
        <v>89958000</v>
      </c>
      <c r="C24" s="173">
        <v>0.53</v>
      </c>
      <c r="E24" s="37"/>
      <c r="I24" s="59"/>
      <c r="J24" s="23"/>
    </row>
    <row r="25" spans="1:10" ht="15" x14ac:dyDescent="0.45">
      <c r="A25" s="37"/>
      <c r="B25" s="172">
        <v>190711000</v>
      </c>
      <c r="C25" s="173">
        <v>0.56000000000000005</v>
      </c>
      <c r="E25" s="37"/>
      <c r="I25" s="59"/>
      <c r="J25" s="23"/>
    </row>
    <row r="26" spans="1:10" ht="15" x14ac:dyDescent="0.45">
      <c r="A26" s="37"/>
      <c r="B26" s="172">
        <v>406214000</v>
      </c>
      <c r="C26" s="173">
        <v>0.57999999999999996</v>
      </c>
      <c r="E26" s="37"/>
      <c r="I26" s="59"/>
      <c r="J26" s="23"/>
    </row>
    <row r="27" spans="1:10" ht="15" x14ac:dyDescent="0.45">
      <c r="A27" s="37"/>
      <c r="B27" s="172">
        <v>869298000</v>
      </c>
      <c r="C27" s="173">
        <v>0.6</v>
      </c>
      <c r="E27" s="37"/>
      <c r="I27" s="59"/>
      <c r="J27" s="23"/>
    </row>
    <row r="28" spans="1:10" ht="8.8000000000000007" customHeight="1" x14ac:dyDescent="0.4"/>
    <row r="29" spans="1:10" ht="15" x14ac:dyDescent="0.45">
      <c r="A29" s="37"/>
      <c r="B29" s="123" t="s">
        <v>451</v>
      </c>
      <c r="C29" s="56"/>
      <c r="D29" s="40"/>
      <c r="E29" s="40"/>
      <c r="F29" s="40"/>
      <c r="G29" s="40"/>
      <c r="H29" s="40"/>
      <c r="I29" s="40"/>
      <c r="J29" s="40"/>
    </row>
    <row r="31" spans="1:10" x14ac:dyDescent="0.4">
      <c r="A31" s="34" t="s">
        <v>454</v>
      </c>
      <c r="B31" s="35"/>
      <c r="C31" s="34"/>
      <c r="D31" s="34"/>
      <c r="E31" s="34"/>
      <c r="F31" s="34"/>
      <c r="G31" s="34"/>
      <c r="H31" s="34"/>
      <c r="I31" s="34"/>
      <c r="J31" s="34"/>
    </row>
    <row r="32" spans="1:10" ht="15" x14ac:dyDescent="0.45">
      <c r="A32" s="37"/>
      <c r="B32" s="37"/>
      <c r="C32" s="37"/>
      <c r="D32" s="37"/>
      <c r="E32" s="37"/>
      <c r="F32" s="37"/>
      <c r="G32" s="37"/>
      <c r="H32" s="37"/>
      <c r="I32" s="37"/>
      <c r="J32" s="37"/>
    </row>
    <row r="33" spans="1:10" ht="15" x14ac:dyDescent="0.45">
      <c r="A33" s="37"/>
      <c r="B33" s="138" t="s">
        <v>382</v>
      </c>
      <c r="C33" s="139"/>
      <c r="D33" s="140"/>
      <c r="E33" s="140"/>
      <c r="F33" s="140"/>
      <c r="G33" s="140"/>
      <c r="H33" s="140"/>
      <c r="I33" s="140"/>
      <c r="J33" s="141"/>
    </row>
    <row r="34" spans="1:10" ht="15" x14ac:dyDescent="0.45">
      <c r="A34" s="37"/>
      <c r="B34" s="174" t="s">
        <v>455</v>
      </c>
      <c r="C34" s="175"/>
      <c r="D34" s="131"/>
      <c r="E34" s="131"/>
      <c r="F34" s="131"/>
      <c r="G34" s="131"/>
      <c r="H34" s="131"/>
      <c r="I34" s="131"/>
      <c r="J34" s="176"/>
    </row>
    <row r="35" spans="1:10" ht="15" x14ac:dyDescent="0.45">
      <c r="A35" s="37"/>
      <c r="B35" s="174" t="s">
        <v>456</v>
      </c>
      <c r="C35" s="175"/>
      <c r="D35" s="131"/>
      <c r="E35" s="131"/>
      <c r="F35" s="131"/>
      <c r="G35" s="131"/>
      <c r="H35" s="131"/>
      <c r="I35" s="131"/>
      <c r="J35" s="176"/>
    </row>
    <row r="36" spans="1:10" ht="7.5" customHeight="1" x14ac:dyDescent="0.45">
      <c r="A36" s="37"/>
      <c r="B36" s="177"/>
      <c r="C36" s="178"/>
      <c r="D36" s="179"/>
      <c r="E36" s="179"/>
      <c r="F36" s="179"/>
      <c r="G36" s="179"/>
      <c r="H36" s="179"/>
      <c r="I36" s="179"/>
      <c r="J36" s="180"/>
    </row>
    <row r="37" spans="1:10" ht="15" x14ac:dyDescent="0.45">
      <c r="A37" s="37"/>
      <c r="B37" s="37"/>
      <c r="C37" s="37"/>
      <c r="D37" s="37"/>
      <c r="E37" s="37"/>
      <c r="F37" s="37"/>
      <c r="G37" s="65"/>
      <c r="H37" s="37"/>
      <c r="I37" s="37"/>
      <c r="J37" s="37"/>
    </row>
    <row r="38" spans="1:10" ht="26.6" x14ac:dyDescent="0.45">
      <c r="A38" s="37"/>
      <c r="B38" s="170" t="s">
        <v>454</v>
      </c>
      <c r="C38" s="171" t="s">
        <v>457</v>
      </c>
      <c r="E38" s="37"/>
      <c r="F38" s="37"/>
      <c r="G38" s="37"/>
      <c r="H38" s="65"/>
      <c r="I38" s="37"/>
      <c r="J38" s="37"/>
    </row>
    <row r="39" spans="1:10" ht="15" x14ac:dyDescent="0.45">
      <c r="A39" s="37"/>
      <c r="B39" s="182" t="s">
        <v>454</v>
      </c>
      <c r="C39" s="183">
        <v>0.05</v>
      </c>
      <c r="E39" s="37"/>
      <c r="F39" s="37"/>
      <c r="G39" s="37"/>
      <c r="H39" s="37"/>
      <c r="I39" s="37"/>
      <c r="J39" s="37"/>
    </row>
    <row r="42" spans="1:10" x14ac:dyDescent="0.4">
      <c r="A42" s="34" t="s">
        <v>458</v>
      </c>
      <c r="B42" s="35"/>
      <c r="C42" s="34"/>
      <c r="D42" s="34"/>
      <c r="E42" s="34"/>
      <c r="F42" s="34"/>
      <c r="G42" s="34"/>
      <c r="H42" s="34"/>
      <c r="I42" s="34"/>
      <c r="J42" s="34"/>
    </row>
    <row r="43" spans="1:10" ht="15" x14ac:dyDescent="0.45">
      <c r="A43" s="37"/>
      <c r="B43" s="37"/>
      <c r="C43" s="37"/>
      <c r="D43" s="37"/>
      <c r="E43" s="37"/>
      <c r="F43" s="37"/>
      <c r="G43" s="37"/>
      <c r="H43" s="37"/>
      <c r="I43" s="37"/>
      <c r="J43" s="37"/>
    </row>
    <row r="44" spans="1:10" ht="15" x14ac:dyDescent="0.45">
      <c r="A44" s="37"/>
      <c r="B44" s="274" t="s">
        <v>459</v>
      </c>
      <c r="C44" s="275"/>
      <c r="D44" s="276"/>
      <c r="E44" s="276"/>
      <c r="F44" s="276"/>
      <c r="G44" s="276"/>
      <c r="H44" s="276"/>
      <c r="I44" s="276"/>
      <c r="J44" s="277"/>
    </row>
    <row r="45" spans="1:10" ht="15" x14ac:dyDescent="0.45">
      <c r="A45" s="37"/>
      <c r="B45" s="211" t="s">
        <v>460</v>
      </c>
      <c r="C45" s="56"/>
      <c r="D45" s="203"/>
      <c r="E45" s="203"/>
      <c r="F45" s="203"/>
      <c r="G45" s="203"/>
      <c r="H45" s="203"/>
      <c r="I45" s="203"/>
      <c r="J45" s="204"/>
    </row>
    <row r="46" spans="1:10" ht="15" x14ac:dyDescent="0.45">
      <c r="A46" s="37"/>
      <c r="B46" s="211" t="s">
        <v>461</v>
      </c>
      <c r="C46" s="56"/>
      <c r="D46" s="203"/>
      <c r="E46" s="203"/>
      <c r="F46" s="203"/>
      <c r="G46" s="203"/>
      <c r="H46" s="203"/>
      <c r="I46" s="203"/>
      <c r="J46" s="204"/>
    </row>
    <row r="47" spans="1:10" ht="15" x14ac:dyDescent="0.45">
      <c r="A47" s="37"/>
      <c r="B47" s="212" t="s">
        <v>462</v>
      </c>
      <c r="C47" s="206"/>
      <c r="D47" s="207"/>
      <c r="E47" s="207"/>
      <c r="F47" s="207"/>
      <c r="G47" s="207"/>
      <c r="H47" s="207"/>
      <c r="I47" s="207"/>
      <c r="J47" s="208"/>
    </row>
    <row r="48" spans="1:10" ht="15" x14ac:dyDescent="0.45">
      <c r="A48" s="37"/>
      <c r="B48" s="66"/>
      <c r="C48" s="60"/>
      <c r="D48" s="23"/>
      <c r="E48" s="23"/>
      <c r="F48" s="23"/>
      <c r="G48" s="23"/>
      <c r="H48" s="23"/>
      <c r="I48" s="23"/>
      <c r="J48" s="23"/>
    </row>
    <row r="49" spans="1:12" ht="15" x14ac:dyDescent="0.45">
      <c r="A49" s="37"/>
      <c r="B49" s="184" t="s">
        <v>463</v>
      </c>
      <c r="C49" s="185" t="s">
        <v>464</v>
      </c>
      <c r="D49" s="185" t="s">
        <v>457</v>
      </c>
      <c r="E49" s="43"/>
      <c r="F49" s="67"/>
      <c r="G49" s="43"/>
      <c r="H49" s="43"/>
      <c r="I49" s="43"/>
      <c r="J49" s="43"/>
    </row>
    <row r="50" spans="1:12" ht="15" x14ac:dyDescent="0.45">
      <c r="A50" s="37"/>
      <c r="B50" s="186" t="s">
        <v>465</v>
      </c>
      <c r="C50" s="187">
        <v>0</v>
      </c>
      <c r="D50" s="188">
        <v>0</v>
      </c>
      <c r="E50" s="43"/>
      <c r="F50" s="67"/>
      <c r="G50" s="43"/>
      <c r="H50" s="43"/>
      <c r="I50" s="43"/>
      <c r="J50" s="43"/>
    </row>
    <row r="51" spans="1:12" ht="15" x14ac:dyDescent="0.45">
      <c r="A51" s="37"/>
      <c r="B51" s="186" t="s">
        <v>465</v>
      </c>
      <c r="C51" s="187">
        <v>3</v>
      </c>
      <c r="D51" s="188">
        <v>0.03</v>
      </c>
      <c r="E51" s="23"/>
      <c r="F51" s="23"/>
      <c r="G51" s="23"/>
      <c r="H51" s="23"/>
      <c r="I51" s="23"/>
      <c r="J51" s="23"/>
    </row>
    <row r="52" spans="1:12" ht="15" x14ac:dyDescent="0.45">
      <c r="A52" s="37"/>
      <c r="B52" s="186" t="s">
        <v>465</v>
      </c>
      <c r="C52" s="187">
        <v>5</v>
      </c>
      <c r="D52" s="188">
        <v>0.05</v>
      </c>
      <c r="E52" s="23"/>
      <c r="F52" s="23"/>
      <c r="G52" s="23"/>
      <c r="H52" s="23"/>
      <c r="I52" s="23"/>
      <c r="J52" s="23"/>
    </row>
    <row r="53" spans="1:12" ht="15" x14ac:dyDescent="0.45">
      <c r="A53" s="37"/>
      <c r="B53" s="186" t="s">
        <v>465</v>
      </c>
      <c r="C53" s="187">
        <v>7</v>
      </c>
      <c r="D53" s="188">
        <v>7.0000000000000007E-2</v>
      </c>
      <c r="E53" s="23"/>
      <c r="F53" s="23"/>
      <c r="G53" s="23"/>
      <c r="H53" s="23"/>
      <c r="I53" s="23"/>
      <c r="J53" s="23"/>
    </row>
    <row r="54" spans="1:12" ht="15" x14ac:dyDescent="0.45">
      <c r="A54" s="37"/>
      <c r="B54" s="186" t="s">
        <v>465</v>
      </c>
      <c r="C54" s="187">
        <v>10</v>
      </c>
      <c r="D54" s="188">
        <v>0.1</v>
      </c>
      <c r="E54" s="23"/>
      <c r="F54" s="23"/>
      <c r="G54" s="23"/>
      <c r="H54" s="23"/>
      <c r="I54" s="23"/>
      <c r="J54" s="23"/>
    </row>
    <row r="57" spans="1:12" x14ac:dyDescent="0.4">
      <c r="A57" s="34" t="s">
        <v>466</v>
      </c>
      <c r="B57" s="35"/>
      <c r="C57" s="34"/>
      <c r="D57" s="34"/>
      <c r="E57" s="34"/>
      <c r="F57" s="34"/>
      <c r="G57" s="34"/>
      <c r="H57" s="34"/>
      <c r="I57" s="34"/>
      <c r="J57" s="34"/>
    </row>
    <row r="58" spans="1:12" ht="15" x14ac:dyDescent="0.45">
      <c r="A58" s="37"/>
      <c r="B58" s="37"/>
      <c r="C58" s="37"/>
      <c r="D58" s="37"/>
      <c r="E58" s="37"/>
      <c r="F58" s="37"/>
      <c r="G58" s="37"/>
      <c r="H58" s="37"/>
      <c r="I58" s="37"/>
      <c r="J58" s="37"/>
    </row>
    <row r="59" spans="1:12" ht="15" x14ac:dyDescent="0.45">
      <c r="A59" s="37"/>
      <c r="B59" s="138" t="s">
        <v>382</v>
      </c>
      <c r="C59" s="68"/>
      <c r="D59" s="69"/>
      <c r="E59" s="69"/>
      <c r="F59" s="69"/>
      <c r="G59" s="69"/>
      <c r="H59" s="69"/>
      <c r="I59" s="69"/>
      <c r="J59" s="70"/>
    </row>
    <row r="60" spans="1:12" ht="15" x14ac:dyDescent="0.45">
      <c r="A60" s="37"/>
      <c r="B60" s="147" t="s">
        <v>467</v>
      </c>
      <c r="C60" s="209"/>
      <c r="D60" s="210"/>
      <c r="E60" s="210"/>
      <c r="F60" s="210"/>
      <c r="G60" s="210"/>
      <c r="H60" s="210"/>
      <c r="I60" s="210"/>
      <c r="J60" s="61"/>
      <c r="L60" s="129"/>
    </row>
    <row r="61" spans="1:12" ht="15" x14ac:dyDescent="0.45">
      <c r="A61" s="37"/>
      <c r="B61" s="151" t="s">
        <v>468</v>
      </c>
      <c r="C61" s="62"/>
      <c r="D61" s="63"/>
      <c r="E61" s="63"/>
      <c r="F61" s="63"/>
      <c r="G61" s="63"/>
      <c r="H61" s="63"/>
      <c r="I61" s="63"/>
      <c r="J61" s="64"/>
    </row>
    <row r="62" spans="1:12" ht="15" x14ac:dyDescent="0.45">
      <c r="A62" s="37"/>
      <c r="B62" s="57"/>
      <c r="C62" s="23"/>
      <c r="D62" s="23"/>
      <c r="E62" s="58"/>
      <c r="F62" s="57"/>
      <c r="G62" s="71"/>
      <c r="H62" s="72"/>
      <c r="I62" s="23"/>
      <c r="J62" s="23"/>
    </row>
    <row r="63" spans="1:12" ht="15" x14ac:dyDescent="0.45">
      <c r="A63" s="37"/>
      <c r="B63" s="170" t="s">
        <v>466</v>
      </c>
      <c r="C63" s="171" t="s">
        <v>457</v>
      </c>
      <c r="E63" s="37"/>
      <c r="F63" s="37"/>
      <c r="G63" s="37"/>
      <c r="H63" s="37"/>
      <c r="I63" s="37"/>
      <c r="J63" s="23"/>
    </row>
    <row r="64" spans="1:12" ht="15" x14ac:dyDescent="0.45">
      <c r="A64" s="37"/>
      <c r="B64" s="189" t="s">
        <v>469</v>
      </c>
      <c r="C64" s="190">
        <v>2.5000000000000001E-2</v>
      </c>
      <c r="E64" s="37"/>
      <c r="F64" s="37"/>
      <c r="G64" s="37"/>
      <c r="H64" s="37"/>
      <c r="I64" s="37"/>
      <c r="J64" s="23"/>
    </row>
    <row r="65" spans="1:10" ht="15" x14ac:dyDescent="0.45">
      <c r="A65" s="37"/>
      <c r="B65" s="77"/>
      <c r="C65" s="78"/>
      <c r="E65" s="37"/>
      <c r="F65" s="37"/>
      <c r="G65" s="37"/>
      <c r="H65" s="37"/>
      <c r="I65" s="37"/>
      <c r="J65" s="23"/>
    </row>
    <row r="66" spans="1:10" ht="15" x14ac:dyDescent="0.45">
      <c r="A66" s="37"/>
      <c r="B66" s="73" t="s">
        <v>470</v>
      </c>
      <c r="C66" s="74"/>
      <c r="D66" s="75"/>
      <c r="E66" s="75"/>
      <c r="F66" s="75"/>
      <c r="G66" s="75"/>
      <c r="H66" s="75"/>
      <c r="I66" s="75"/>
      <c r="J66" s="76"/>
    </row>
    <row r="67" spans="1:10" ht="15" x14ac:dyDescent="0.45">
      <c r="A67" s="37"/>
      <c r="B67" s="138" t="s">
        <v>382</v>
      </c>
      <c r="C67" s="47"/>
      <c r="D67" s="48"/>
      <c r="E67" s="48"/>
      <c r="F67" s="48"/>
      <c r="G67" s="48"/>
      <c r="H67" s="48"/>
      <c r="I67" s="48"/>
      <c r="J67" s="49"/>
    </row>
    <row r="68" spans="1:10" ht="15" x14ac:dyDescent="0.45">
      <c r="A68" s="37"/>
      <c r="B68" s="211" t="s">
        <v>471</v>
      </c>
      <c r="C68" s="56"/>
      <c r="D68" s="203"/>
      <c r="E68" s="203"/>
      <c r="F68" s="203"/>
      <c r="G68" s="203"/>
      <c r="H68" s="203"/>
      <c r="I68" s="203"/>
      <c r="J68" s="204"/>
    </row>
    <row r="69" spans="1:10" ht="15" x14ac:dyDescent="0.45">
      <c r="A69" s="37"/>
      <c r="B69" s="212" t="s">
        <v>472</v>
      </c>
      <c r="C69" s="206"/>
      <c r="D69" s="207"/>
      <c r="E69" s="207"/>
      <c r="F69" s="207"/>
      <c r="G69" s="207"/>
      <c r="H69" s="207"/>
      <c r="I69" s="207"/>
      <c r="J69" s="208"/>
    </row>
    <row r="70" spans="1:10" ht="15" x14ac:dyDescent="0.45">
      <c r="A70" s="37"/>
      <c r="B70" s="57"/>
      <c r="C70" s="23"/>
      <c r="D70" s="23"/>
      <c r="E70" s="58"/>
      <c r="F70" s="57"/>
      <c r="G70" s="71"/>
      <c r="H70" s="72"/>
      <c r="I70" s="23"/>
      <c r="J70" s="23"/>
    </row>
    <row r="71" spans="1:10" ht="15" x14ac:dyDescent="0.45">
      <c r="A71" s="37"/>
      <c r="B71" s="254" t="s">
        <v>473</v>
      </c>
      <c r="C71" s="255" t="s">
        <v>474</v>
      </c>
      <c r="D71" s="37"/>
      <c r="E71" s="37"/>
      <c r="F71" s="37"/>
      <c r="G71" s="37"/>
      <c r="H71" s="37"/>
      <c r="I71" s="23"/>
      <c r="J71" s="23"/>
    </row>
    <row r="72" spans="1:10" ht="15" x14ac:dyDescent="0.45">
      <c r="A72" s="37"/>
      <c r="B72" s="256" t="s">
        <v>475</v>
      </c>
      <c r="C72" s="257" t="s">
        <v>476</v>
      </c>
      <c r="D72" s="37"/>
      <c r="E72" s="37"/>
      <c r="F72" s="37"/>
      <c r="G72" s="37"/>
      <c r="H72" s="37"/>
      <c r="I72" s="23"/>
      <c r="J72" s="23"/>
    </row>
    <row r="73" spans="1:10" ht="15" x14ac:dyDescent="0.45">
      <c r="A73" s="37"/>
      <c r="B73" s="256" t="s">
        <v>477</v>
      </c>
      <c r="C73" s="258">
        <v>0.02</v>
      </c>
      <c r="D73" s="37"/>
      <c r="E73" s="37"/>
      <c r="F73" s="37"/>
      <c r="G73" s="37"/>
      <c r="H73" s="37"/>
      <c r="I73" s="23"/>
      <c r="J73" s="23"/>
    </row>
    <row r="74" spans="1:10" ht="15" x14ac:dyDescent="0.45">
      <c r="A74" s="37"/>
      <c r="B74" s="256" t="s">
        <v>478</v>
      </c>
      <c r="C74" s="258">
        <v>0.04</v>
      </c>
      <c r="D74" s="37"/>
      <c r="E74" s="37"/>
      <c r="F74" s="37"/>
      <c r="G74" s="37"/>
      <c r="H74" s="37"/>
      <c r="I74" s="23"/>
      <c r="J74" s="23"/>
    </row>
    <row r="75" spans="1:10" ht="15" x14ac:dyDescent="0.45">
      <c r="A75" s="37"/>
      <c r="B75" s="259" t="s">
        <v>479</v>
      </c>
      <c r="C75" s="260">
        <v>0.06</v>
      </c>
      <c r="D75" s="37"/>
      <c r="E75" s="37"/>
      <c r="F75" s="37"/>
      <c r="G75" s="37"/>
      <c r="H75" s="37"/>
      <c r="I75" s="23"/>
      <c r="J75" s="37"/>
    </row>
    <row r="78" spans="1:10" x14ac:dyDescent="0.4">
      <c r="A78" s="34" t="s">
        <v>480</v>
      </c>
      <c r="B78" s="35"/>
      <c r="C78" s="34"/>
      <c r="D78" s="34"/>
      <c r="E78" s="34"/>
      <c r="F78" s="34"/>
      <c r="G78" s="34"/>
      <c r="H78" s="34"/>
      <c r="I78" s="34"/>
      <c r="J78" s="34"/>
    </row>
    <row r="79" spans="1:10" ht="15" x14ac:dyDescent="0.45">
      <c r="A79" s="37"/>
      <c r="B79" s="37"/>
      <c r="C79" s="37"/>
      <c r="D79" s="37"/>
      <c r="E79" s="37"/>
      <c r="F79" s="37"/>
      <c r="G79" s="37"/>
      <c r="H79" s="37"/>
      <c r="I79" s="37"/>
      <c r="J79" s="37"/>
    </row>
    <row r="80" spans="1:10" ht="15" x14ac:dyDescent="0.45">
      <c r="A80" s="37"/>
      <c r="B80" s="138" t="s">
        <v>382</v>
      </c>
      <c r="C80" s="139"/>
      <c r="D80" s="140"/>
      <c r="E80" s="140"/>
      <c r="F80" s="140"/>
      <c r="G80" s="140"/>
      <c r="H80" s="140"/>
      <c r="I80" s="140"/>
      <c r="J80" s="141"/>
    </row>
    <row r="81" spans="1:12" ht="15" x14ac:dyDescent="0.45">
      <c r="A81" s="37"/>
      <c r="B81" s="211" t="s">
        <v>481</v>
      </c>
      <c r="C81" s="198"/>
      <c r="D81" s="199"/>
      <c r="E81" s="199"/>
      <c r="F81" s="199"/>
      <c r="G81" s="199"/>
      <c r="H81" s="199"/>
      <c r="I81" s="199"/>
      <c r="J81" s="200"/>
      <c r="L81" s="129"/>
    </row>
    <row r="82" spans="1:12" ht="15" x14ac:dyDescent="0.45">
      <c r="A82" s="37"/>
      <c r="B82" s="205"/>
      <c r="C82" s="206"/>
      <c r="D82" s="207"/>
      <c r="E82" s="207"/>
      <c r="F82" s="207"/>
      <c r="G82" s="207"/>
      <c r="H82" s="207"/>
      <c r="I82" s="207"/>
      <c r="J82" s="208"/>
    </row>
    <row r="83" spans="1:12" ht="15" x14ac:dyDescent="0.45">
      <c r="A83" s="37"/>
      <c r="B83" s="57"/>
      <c r="C83" s="23"/>
      <c r="D83" s="23"/>
      <c r="E83" s="58"/>
      <c r="F83" s="58"/>
      <c r="G83" s="58"/>
      <c r="H83" s="58"/>
      <c r="I83" s="58"/>
      <c r="J83" s="23"/>
    </row>
    <row r="84" spans="1:12" ht="15" x14ac:dyDescent="0.45">
      <c r="A84" s="37"/>
      <c r="B84" s="155" t="s">
        <v>480</v>
      </c>
      <c r="C84" s="171" t="s">
        <v>457</v>
      </c>
      <c r="E84" s="37"/>
      <c r="F84" s="23"/>
      <c r="G84" s="23"/>
      <c r="H84" s="23"/>
      <c r="I84" s="23"/>
      <c r="J84" s="23"/>
    </row>
    <row r="85" spans="1:12" ht="15" x14ac:dyDescent="0.45">
      <c r="A85" s="37"/>
      <c r="B85" s="181" t="s">
        <v>480</v>
      </c>
      <c r="C85" s="191">
        <v>0.1</v>
      </c>
      <c r="E85" s="37"/>
      <c r="F85" s="37"/>
      <c r="G85" s="37"/>
      <c r="H85" s="37"/>
      <c r="I85" s="37"/>
      <c r="J85" s="23"/>
    </row>
    <row r="88" spans="1:12" x14ac:dyDescent="0.4">
      <c r="A88" s="34" t="s">
        <v>482</v>
      </c>
      <c r="B88" s="35"/>
      <c r="C88" s="34"/>
      <c r="D88" s="34"/>
      <c r="E88" s="34"/>
      <c r="F88" s="34"/>
      <c r="G88" s="34"/>
      <c r="H88" s="34"/>
      <c r="I88" s="34"/>
      <c r="J88" s="34"/>
    </row>
    <row r="89" spans="1:12" ht="15" x14ac:dyDescent="0.45">
      <c r="A89" s="37"/>
      <c r="B89" s="37"/>
      <c r="C89" s="37"/>
      <c r="D89" s="37"/>
      <c r="E89" s="37"/>
      <c r="F89" s="37"/>
      <c r="G89" s="37"/>
      <c r="H89" s="37"/>
      <c r="I89" s="37"/>
      <c r="J89" s="37"/>
    </row>
    <row r="90" spans="1:12" ht="15" x14ac:dyDescent="0.45">
      <c r="A90" s="37"/>
      <c r="B90" s="261" t="s">
        <v>482</v>
      </c>
      <c r="C90" s="255" t="s">
        <v>457</v>
      </c>
      <c r="D90" s="37"/>
      <c r="E90" s="37"/>
      <c r="F90" s="37"/>
      <c r="G90" s="37"/>
      <c r="H90" s="37"/>
      <c r="I90" s="23"/>
      <c r="J90" s="23"/>
    </row>
    <row r="91" spans="1:12" ht="15" x14ac:dyDescent="0.45">
      <c r="A91" s="37"/>
      <c r="B91" s="259" t="s">
        <v>482</v>
      </c>
      <c r="C91" s="262" t="s">
        <v>483</v>
      </c>
      <c r="D91" s="37"/>
      <c r="E91" s="37"/>
      <c r="F91" s="37"/>
      <c r="G91" s="37"/>
      <c r="H91" s="37"/>
      <c r="I91" s="23"/>
      <c r="J91" s="37"/>
    </row>
    <row r="94" spans="1:12" x14ac:dyDescent="0.4">
      <c r="A94" s="34" t="s">
        <v>484</v>
      </c>
      <c r="B94" s="35"/>
      <c r="C94" s="34"/>
      <c r="D94" s="34"/>
      <c r="E94" s="34"/>
      <c r="F94" s="34"/>
      <c r="G94" s="34"/>
      <c r="H94" s="34"/>
      <c r="I94" s="34"/>
      <c r="J94" s="34"/>
    </row>
    <row r="95" spans="1:12" ht="15" x14ac:dyDescent="0.45">
      <c r="A95" s="37"/>
      <c r="B95" s="37"/>
      <c r="C95" s="37"/>
      <c r="D95" s="37"/>
      <c r="E95" s="37"/>
      <c r="F95" s="37"/>
      <c r="G95" s="37"/>
      <c r="H95" s="37"/>
      <c r="I95" s="37"/>
      <c r="J95" s="37"/>
    </row>
    <row r="96" spans="1:12" ht="15" x14ac:dyDescent="0.45">
      <c r="A96" s="37"/>
      <c r="B96" s="46" t="s">
        <v>382</v>
      </c>
      <c r="C96" s="47"/>
      <c r="D96" s="48"/>
      <c r="E96" s="48"/>
      <c r="F96" s="48"/>
      <c r="G96" s="48"/>
      <c r="H96" s="48"/>
      <c r="I96" s="48"/>
      <c r="J96" s="49"/>
    </row>
    <row r="97" spans="1:10" ht="15" x14ac:dyDescent="0.45">
      <c r="A97" s="37"/>
      <c r="B97" s="202" t="s">
        <v>846</v>
      </c>
      <c r="C97" s="56"/>
      <c r="D97" s="203"/>
      <c r="E97" s="203"/>
      <c r="F97" s="203"/>
      <c r="G97" s="203"/>
      <c r="H97" s="203"/>
      <c r="I97" s="203"/>
      <c r="J97" s="204"/>
    </row>
    <row r="98" spans="1:10" s="287" customFormat="1" ht="15" x14ac:dyDescent="0.45">
      <c r="A98" s="37"/>
      <c r="B98" s="202" t="s">
        <v>848</v>
      </c>
      <c r="C98" s="56"/>
      <c r="D98" s="203"/>
      <c r="E98" s="203"/>
      <c r="F98" s="203"/>
      <c r="G98" s="203"/>
      <c r="H98" s="203"/>
      <c r="I98" s="203"/>
      <c r="J98" s="204"/>
    </row>
    <row r="99" spans="1:10" ht="15" x14ac:dyDescent="0.45">
      <c r="A99" s="37"/>
      <c r="B99" s="205" t="s">
        <v>847</v>
      </c>
      <c r="C99" s="206"/>
      <c r="D99" s="207"/>
      <c r="E99" s="207"/>
      <c r="F99" s="207"/>
      <c r="G99" s="207"/>
      <c r="H99" s="207"/>
      <c r="I99" s="207"/>
      <c r="J99" s="208"/>
    </row>
    <row r="100" spans="1:10" ht="15" x14ac:dyDescent="0.45">
      <c r="A100" s="37"/>
      <c r="B100" s="37"/>
      <c r="C100" s="37"/>
      <c r="D100" s="37"/>
      <c r="E100" s="37"/>
      <c r="F100" s="37"/>
      <c r="G100" s="37"/>
      <c r="H100" s="37"/>
      <c r="I100" s="37"/>
      <c r="J100" s="37"/>
    </row>
    <row r="101" spans="1:10" ht="15" x14ac:dyDescent="0.45">
      <c r="A101" s="37"/>
      <c r="B101" s="155" t="s">
        <v>484</v>
      </c>
      <c r="C101" s="171" t="s">
        <v>457</v>
      </c>
      <c r="E101" s="37"/>
      <c r="F101" s="37"/>
      <c r="G101" s="37"/>
      <c r="H101" s="37"/>
      <c r="I101" s="37"/>
      <c r="J101" s="37"/>
    </row>
    <row r="102" spans="1:10" ht="15" x14ac:dyDescent="0.45">
      <c r="A102" s="37"/>
      <c r="B102" s="181" t="s">
        <v>484</v>
      </c>
      <c r="C102" s="192">
        <v>0.05</v>
      </c>
      <c r="E102" s="37"/>
      <c r="F102" s="37"/>
      <c r="G102" s="37"/>
      <c r="H102" s="37"/>
      <c r="I102" s="37"/>
      <c r="J102" s="37"/>
    </row>
    <row r="104" spans="1:10" s="37" customFormat="1" ht="15" hidden="1" outlineLevel="1" x14ac:dyDescent="0.45">
      <c r="A104" s="34" t="s">
        <v>758</v>
      </c>
      <c r="B104" s="35"/>
      <c r="C104" s="34"/>
      <c r="D104" s="34"/>
      <c r="E104" s="34"/>
      <c r="F104" s="34"/>
      <c r="G104" s="34"/>
      <c r="H104" s="34"/>
      <c r="I104" s="34"/>
      <c r="J104" s="34"/>
    </row>
    <row r="105" spans="1:10" s="37" customFormat="1" ht="15" hidden="1" outlineLevel="1" x14ac:dyDescent="0.45"/>
    <row r="106" spans="1:10" s="37" customFormat="1" ht="15" hidden="1" outlineLevel="1" x14ac:dyDescent="0.45">
      <c r="B106" s="46" t="s">
        <v>759</v>
      </c>
      <c r="C106" s="47"/>
      <c r="D106" s="48"/>
      <c r="E106" s="48"/>
      <c r="F106" s="48"/>
      <c r="G106" s="48"/>
      <c r="H106" s="48"/>
      <c r="I106" s="48"/>
      <c r="J106" s="49"/>
    </row>
    <row r="107" spans="1:10" s="37" customFormat="1" ht="15" hidden="1" outlineLevel="1" x14ac:dyDescent="0.45">
      <c r="B107" s="202" t="s">
        <v>760</v>
      </c>
      <c r="C107" s="56"/>
      <c r="D107" s="203"/>
      <c r="E107" s="203"/>
      <c r="F107" s="203"/>
      <c r="G107" s="203"/>
      <c r="H107" s="203"/>
      <c r="I107" s="203"/>
      <c r="J107" s="204"/>
    </row>
    <row r="108" spans="1:10" s="37" customFormat="1" ht="15" hidden="1" outlineLevel="1" x14ac:dyDescent="0.45">
      <c r="B108" s="202" t="s">
        <v>761</v>
      </c>
      <c r="C108" s="56"/>
      <c r="D108" s="203"/>
      <c r="E108" s="203"/>
      <c r="F108" s="203"/>
      <c r="G108" s="203"/>
      <c r="H108" s="203"/>
      <c r="I108" s="203"/>
      <c r="J108" s="204"/>
    </row>
    <row r="109" spans="1:10" s="37" customFormat="1" ht="15" hidden="1" outlineLevel="1" x14ac:dyDescent="0.45">
      <c r="B109" s="202" t="s">
        <v>762</v>
      </c>
      <c r="C109" s="56"/>
      <c r="D109" s="203"/>
      <c r="E109" s="203"/>
      <c r="F109" s="203"/>
      <c r="G109" s="203"/>
      <c r="H109" s="203"/>
      <c r="I109" s="203"/>
      <c r="J109" s="204"/>
    </row>
    <row r="110" spans="1:10" s="37" customFormat="1" ht="15" hidden="1" outlineLevel="1" x14ac:dyDescent="0.45">
      <c r="B110" s="202" t="s">
        <v>763</v>
      </c>
      <c r="C110" s="56"/>
      <c r="D110" s="203"/>
      <c r="E110" s="203"/>
      <c r="F110" s="203"/>
      <c r="G110" s="203"/>
      <c r="H110" s="203"/>
      <c r="I110" s="203"/>
      <c r="J110" s="204"/>
    </row>
    <row r="111" spans="1:10" s="37" customFormat="1" ht="15" hidden="1" outlineLevel="1" x14ac:dyDescent="0.45">
      <c r="B111" s="202" t="s">
        <v>764</v>
      </c>
      <c r="C111" s="56"/>
      <c r="D111" s="203"/>
      <c r="E111" s="203"/>
      <c r="F111" s="203"/>
      <c r="G111" s="203"/>
      <c r="H111" s="203"/>
      <c r="I111" s="203"/>
      <c r="J111" s="204"/>
    </row>
    <row r="112" spans="1:10" s="37" customFormat="1" ht="15" hidden="1" outlineLevel="1" x14ac:dyDescent="0.45">
      <c r="B112" s="205" t="s">
        <v>765</v>
      </c>
      <c r="C112" s="206"/>
      <c r="D112" s="207"/>
      <c r="E112" s="207"/>
      <c r="F112" s="207"/>
      <c r="G112" s="207"/>
      <c r="H112" s="207"/>
      <c r="I112" s="207"/>
      <c r="J112" s="208"/>
    </row>
    <row r="113" spans="1:10" s="37" customFormat="1" ht="15" hidden="1" outlineLevel="1" x14ac:dyDescent="0.45"/>
    <row r="114" spans="1:10" s="37" customFormat="1" ht="18" hidden="1" customHeight="1" outlineLevel="1" x14ac:dyDescent="0.45">
      <c r="B114" s="248" t="s">
        <v>758</v>
      </c>
      <c r="C114" s="263" t="s">
        <v>457</v>
      </c>
    </row>
    <row r="115" spans="1:10" s="37" customFormat="1" ht="15" hidden="1" outlineLevel="1" x14ac:dyDescent="0.45">
      <c r="B115" s="264" t="s">
        <v>766</v>
      </c>
      <c r="C115" s="265">
        <v>0.4</v>
      </c>
    </row>
    <row r="116" spans="1:10" s="37" customFormat="1" ht="15" hidden="1" outlineLevel="1" x14ac:dyDescent="0.45">
      <c r="B116" s="264" t="s">
        <v>767</v>
      </c>
      <c r="C116" s="265">
        <v>0.35</v>
      </c>
    </row>
    <row r="117" spans="1:10" s="37" customFormat="1" ht="15" hidden="1" outlineLevel="1" x14ac:dyDescent="0.45">
      <c r="B117" s="264" t="s">
        <v>768</v>
      </c>
      <c r="C117" s="265">
        <v>0.2</v>
      </c>
    </row>
    <row r="118" spans="1:10" s="37" customFormat="1" ht="15" hidden="1" outlineLevel="1" x14ac:dyDescent="0.45">
      <c r="B118" s="264" t="s">
        <v>769</v>
      </c>
      <c r="C118" s="265">
        <v>0.2</v>
      </c>
    </row>
    <row r="119" spans="1:10" s="37" customFormat="1" ht="15" hidden="1" outlineLevel="1" x14ac:dyDescent="0.45">
      <c r="B119" s="264" t="s">
        <v>770</v>
      </c>
      <c r="C119" s="265">
        <v>0.2</v>
      </c>
    </row>
    <row r="120" spans="1:10" s="37" customFormat="1" ht="15" hidden="1" outlineLevel="1" x14ac:dyDescent="0.45">
      <c r="B120" s="266" t="s">
        <v>771</v>
      </c>
      <c r="C120" s="267">
        <v>0.2</v>
      </c>
    </row>
    <row r="121" spans="1:10" s="37" customFormat="1" ht="15" hidden="1" outlineLevel="1" x14ac:dyDescent="0.45"/>
    <row r="122" spans="1:10" s="37" customFormat="1" ht="15" hidden="1" outlineLevel="1" x14ac:dyDescent="0.45">
      <c r="B122" s="215" t="s">
        <v>772</v>
      </c>
    </row>
    <row r="123" spans="1:10" s="37" customFormat="1" ht="15" hidden="1" outlineLevel="1" x14ac:dyDescent="0.45">
      <c r="B123" s="215" t="s">
        <v>773</v>
      </c>
    </row>
    <row r="124" spans="1:10" s="37" customFormat="1" ht="15" hidden="1" outlineLevel="1" x14ac:dyDescent="0.45">
      <c r="B124" s="215" t="s">
        <v>774</v>
      </c>
    </row>
    <row r="125" spans="1:10" s="37" customFormat="1" ht="15" hidden="1" outlineLevel="1" x14ac:dyDescent="0.45"/>
    <row r="126" spans="1:10" s="37" customFormat="1" ht="15" collapsed="1" x14ac:dyDescent="0.45">
      <c r="A126" s="216" t="s">
        <v>512</v>
      </c>
      <c r="B126" s="35"/>
      <c r="C126" s="34"/>
      <c r="D126" s="34"/>
      <c r="E126" s="34"/>
      <c r="F126" s="34"/>
      <c r="G126" s="34"/>
      <c r="H126" s="34"/>
      <c r="I126" s="34"/>
      <c r="J126" s="34"/>
    </row>
    <row r="127" spans="1:10" s="37" customFormat="1" ht="15" x14ac:dyDescent="0.45">
      <c r="A127" s="217"/>
    </row>
    <row r="128" spans="1:10" s="37" customFormat="1" ht="15" x14ac:dyDescent="0.45">
      <c r="A128" s="217"/>
      <c r="B128" s="46" t="s">
        <v>382</v>
      </c>
      <c r="C128" s="47"/>
      <c r="D128" s="48"/>
      <c r="E128" s="48"/>
      <c r="F128" s="48"/>
      <c r="G128" s="48"/>
      <c r="H128" s="48"/>
      <c r="I128" s="48"/>
      <c r="J128" s="49"/>
    </row>
    <row r="129" spans="1:10" s="37" customFormat="1" ht="15" x14ac:dyDescent="0.45">
      <c r="A129" s="217"/>
      <c r="B129" s="218" t="s">
        <v>775</v>
      </c>
      <c r="C129" s="56"/>
      <c r="D129" s="40"/>
      <c r="E129" s="40"/>
      <c r="F129" s="40"/>
      <c r="G129" s="40"/>
      <c r="H129" s="40"/>
      <c r="I129" s="40"/>
      <c r="J129" s="204"/>
    </row>
    <row r="130" spans="1:10" s="37" customFormat="1" ht="15" x14ac:dyDescent="0.45">
      <c r="A130" s="217"/>
      <c r="B130" s="218" t="s">
        <v>797</v>
      </c>
      <c r="C130" s="56"/>
      <c r="D130" s="40"/>
      <c r="E130" s="40"/>
      <c r="F130" s="40"/>
      <c r="G130" s="40"/>
      <c r="H130" s="40"/>
      <c r="I130" s="40"/>
      <c r="J130" s="204"/>
    </row>
    <row r="131" spans="1:10" s="37" customFormat="1" ht="15" x14ac:dyDescent="0.45">
      <c r="A131" s="217"/>
      <c r="B131" s="218" t="s">
        <v>798</v>
      </c>
      <c r="C131" s="56"/>
      <c r="D131" s="40"/>
      <c r="E131" s="40"/>
      <c r="F131" s="40"/>
      <c r="G131" s="40"/>
      <c r="H131" s="40"/>
      <c r="I131" s="40"/>
      <c r="J131" s="204"/>
    </row>
    <row r="132" spans="1:10" s="37" customFormat="1" ht="15" x14ac:dyDescent="0.45">
      <c r="A132" s="217"/>
      <c r="B132" s="218" t="s">
        <v>776</v>
      </c>
      <c r="C132" s="56"/>
      <c r="D132" s="40"/>
      <c r="E132" s="40"/>
      <c r="F132" s="40"/>
      <c r="G132" s="40"/>
      <c r="H132" s="40"/>
      <c r="I132" s="40"/>
      <c r="J132" s="204"/>
    </row>
    <row r="133" spans="1:10" s="37" customFormat="1" ht="15" x14ac:dyDescent="0.45">
      <c r="A133" s="217"/>
      <c r="B133" s="219" t="s">
        <v>777</v>
      </c>
      <c r="C133" s="206"/>
      <c r="D133" s="207"/>
      <c r="E133" s="207"/>
      <c r="F133" s="207"/>
      <c r="G133" s="207"/>
      <c r="H133" s="207"/>
      <c r="I133" s="207"/>
      <c r="J133" s="208"/>
    </row>
    <row r="134" spans="1:10" s="37" customFormat="1" ht="15" x14ac:dyDescent="0.45">
      <c r="A134" s="217"/>
    </row>
    <row r="135" spans="1:10" s="37" customFormat="1" ht="15" x14ac:dyDescent="0.45">
      <c r="A135" s="217"/>
      <c r="B135" s="220"/>
    </row>
    <row r="136" spans="1:10" s="37" customFormat="1" ht="53.15" x14ac:dyDescent="0.45">
      <c r="A136" s="217"/>
      <c r="B136" s="268" t="s">
        <v>778</v>
      </c>
      <c r="C136" s="263" t="s">
        <v>457</v>
      </c>
      <c r="D136" s="249" t="s">
        <v>779</v>
      </c>
    </row>
    <row r="137" spans="1:10" s="37" customFormat="1" ht="15" x14ac:dyDescent="0.45">
      <c r="A137" s="217"/>
      <c r="B137" s="269" t="s">
        <v>780</v>
      </c>
      <c r="C137" s="233">
        <f>1-(D137/A146)</f>
        <v>0</v>
      </c>
      <c r="D137" s="270">
        <v>1</v>
      </c>
    </row>
    <row r="138" spans="1:10" s="37" customFormat="1" ht="15" x14ac:dyDescent="0.45">
      <c r="A138" s="217"/>
      <c r="B138" s="269" t="s">
        <v>781</v>
      </c>
      <c r="C138" s="233">
        <f>1-(D138/A147)</f>
        <v>0.25</v>
      </c>
      <c r="D138" s="270">
        <v>1.5</v>
      </c>
    </row>
    <row r="139" spans="1:10" s="37" customFormat="1" ht="15" x14ac:dyDescent="0.45">
      <c r="A139" s="217"/>
      <c r="B139" s="269" t="s">
        <v>782</v>
      </c>
      <c r="C139" s="233">
        <f>1-(D139/A148)</f>
        <v>0.39</v>
      </c>
      <c r="D139" s="270">
        <v>1.83</v>
      </c>
    </row>
    <row r="140" spans="1:10" s="37" customFormat="1" ht="15" x14ac:dyDescent="0.45">
      <c r="A140" s="217"/>
      <c r="B140" s="269" t="s">
        <v>783</v>
      </c>
      <c r="C140" s="233">
        <f>1-(D140/A149)</f>
        <v>0.48</v>
      </c>
      <c r="D140" s="270">
        <v>2.08</v>
      </c>
    </row>
    <row r="141" spans="1:10" s="37" customFormat="1" ht="15" x14ac:dyDescent="0.45">
      <c r="A141" s="217"/>
      <c r="B141" s="269" t="s">
        <v>784</v>
      </c>
      <c r="C141" s="233">
        <f>1-(D141/A150)</f>
        <v>0.54400000000000004</v>
      </c>
      <c r="D141" s="270">
        <v>2.2799999999999998</v>
      </c>
    </row>
    <row r="142" spans="1:10" s="37" customFormat="1" ht="37.299999999999997" x14ac:dyDescent="0.45">
      <c r="A142" s="217"/>
      <c r="B142" s="271" t="s">
        <v>785</v>
      </c>
      <c r="C142" s="272" t="s">
        <v>786</v>
      </c>
      <c r="D142" s="273" t="s">
        <v>787</v>
      </c>
    </row>
    <row r="143" spans="1:10" s="37" customFormat="1" ht="15" x14ac:dyDescent="0.45">
      <c r="A143" s="217"/>
    </row>
    <row r="144" spans="1:10" s="37" customFormat="1" ht="15" hidden="1" x14ac:dyDescent="0.45">
      <c r="A144" s="217"/>
      <c r="B144" s="220" t="s">
        <v>788</v>
      </c>
    </row>
    <row r="145" spans="1:10" s="37" customFormat="1" ht="53.15" hidden="1" x14ac:dyDescent="0.45">
      <c r="A145" s="217"/>
      <c r="B145" s="221" t="s">
        <v>789</v>
      </c>
      <c r="C145" s="222" t="s">
        <v>457</v>
      </c>
    </row>
    <row r="146" spans="1:10" s="37" customFormat="1" ht="15" hidden="1" x14ac:dyDescent="0.45">
      <c r="A146" s="217">
        <v>1</v>
      </c>
      <c r="B146" s="223" t="s">
        <v>780</v>
      </c>
      <c r="C146" s="214">
        <f>1-(D137/A146)</f>
        <v>0</v>
      </c>
    </row>
    <row r="147" spans="1:10" s="37" customFormat="1" ht="15" hidden="1" x14ac:dyDescent="0.45">
      <c r="A147" s="217">
        <v>2</v>
      </c>
      <c r="B147" s="223" t="s">
        <v>781</v>
      </c>
      <c r="C147" s="214">
        <f>1-(D138/A147)</f>
        <v>0.25</v>
      </c>
    </row>
    <row r="148" spans="1:10" s="37" customFormat="1" ht="15" hidden="1" x14ac:dyDescent="0.45">
      <c r="A148" s="217">
        <v>3</v>
      </c>
      <c r="B148" s="223" t="s">
        <v>782</v>
      </c>
      <c r="C148" s="214">
        <f>1-(D139/A148)</f>
        <v>0.39</v>
      </c>
    </row>
    <row r="149" spans="1:10" s="37" customFormat="1" ht="15" hidden="1" x14ac:dyDescent="0.45">
      <c r="A149" s="217">
        <v>4</v>
      </c>
      <c r="B149" s="223" t="s">
        <v>783</v>
      </c>
      <c r="C149" s="214">
        <f>1-(D140/A149)</f>
        <v>0.48</v>
      </c>
    </row>
    <row r="150" spans="1:10" s="37" customFormat="1" ht="15" hidden="1" x14ac:dyDescent="0.45">
      <c r="A150" s="217">
        <v>5</v>
      </c>
      <c r="B150" s="225" t="s">
        <v>790</v>
      </c>
      <c r="C150" s="226">
        <f>1-(D141/A150)</f>
        <v>0.54400000000000004</v>
      </c>
    </row>
    <row r="151" spans="1:10" s="37" customFormat="1" ht="15" hidden="1" x14ac:dyDescent="0.45">
      <c r="A151" s="217"/>
      <c r="B151" s="227"/>
      <c r="C151" s="228"/>
    </row>
    <row r="152" spans="1:10" s="37" customFormat="1" ht="15" hidden="1" x14ac:dyDescent="0.45">
      <c r="A152" s="217"/>
      <c r="B152" s="217"/>
      <c r="C152" s="217"/>
      <c r="D152" s="217"/>
      <c r="E152" s="217"/>
    </row>
    <row r="153" spans="1:10" s="37" customFormat="1" ht="15" hidden="1" x14ac:dyDescent="0.45">
      <c r="A153" s="217"/>
      <c r="B153" s="220" t="s">
        <v>791</v>
      </c>
      <c r="D153" s="217"/>
    </row>
    <row r="154" spans="1:10" s="37" customFormat="1" ht="53.15" hidden="1" x14ac:dyDescent="0.45">
      <c r="A154" s="217"/>
      <c r="B154" s="221" t="s">
        <v>792</v>
      </c>
      <c r="C154" s="222" t="s">
        <v>793</v>
      </c>
      <c r="D154" s="217"/>
      <c r="G154" s="229"/>
      <c r="H154" s="229"/>
      <c r="I154" s="229"/>
      <c r="J154" s="229"/>
    </row>
    <row r="155" spans="1:10" s="37" customFormat="1" ht="15" hidden="1" x14ac:dyDescent="0.45">
      <c r="A155" s="217"/>
      <c r="B155" s="223" t="s">
        <v>780</v>
      </c>
      <c r="C155" s="224">
        <v>1</v>
      </c>
      <c r="D155" s="217"/>
    </row>
    <row r="156" spans="1:10" s="37" customFormat="1" ht="15" hidden="1" x14ac:dyDescent="0.45">
      <c r="A156" s="217"/>
      <c r="B156" s="223" t="s">
        <v>781</v>
      </c>
      <c r="C156" s="224">
        <f>D138-D137</f>
        <v>0.5</v>
      </c>
      <c r="D156" s="217"/>
    </row>
    <row r="157" spans="1:10" s="37" customFormat="1" ht="15" hidden="1" x14ac:dyDescent="0.45">
      <c r="A157" s="217"/>
      <c r="B157" s="223" t="s">
        <v>782</v>
      </c>
      <c r="C157" s="224">
        <f>D139-D138</f>
        <v>0.33000000000000007</v>
      </c>
      <c r="D157" s="217"/>
    </row>
    <row r="158" spans="1:10" s="37" customFormat="1" ht="15" hidden="1" x14ac:dyDescent="0.45">
      <c r="A158" s="217"/>
      <c r="B158" s="223" t="s">
        <v>783</v>
      </c>
      <c r="C158" s="224">
        <f>D140-D139</f>
        <v>0.25</v>
      </c>
      <c r="D158" s="217"/>
      <c r="I158" s="230"/>
    </row>
    <row r="159" spans="1:10" s="37" customFormat="1" ht="15" hidden="1" x14ac:dyDescent="0.45">
      <c r="A159" s="217"/>
      <c r="B159" s="231" t="s">
        <v>784</v>
      </c>
      <c r="C159" s="224">
        <f>D141-D140</f>
        <v>0.19999999999999973</v>
      </c>
      <c r="D159" s="217"/>
      <c r="I159" s="230"/>
    </row>
    <row r="160" spans="1:10" s="37" customFormat="1" ht="15" hidden="1" x14ac:dyDescent="0.45">
      <c r="A160" s="217"/>
      <c r="B160" s="225" t="s">
        <v>785</v>
      </c>
      <c r="C160" s="232">
        <v>0.17</v>
      </c>
      <c r="D160" s="217"/>
      <c r="I160" s="230"/>
    </row>
    <row r="161" spans="1:10" s="37" customFormat="1" ht="15" x14ac:dyDescent="0.45">
      <c r="A161" s="34" t="s">
        <v>794</v>
      </c>
      <c r="B161" s="35"/>
      <c r="C161" s="34"/>
      <c r="D161" s="34"/>
      <c r="E161" s="34"/>
      <c r="F161" s="34"/>
      <c r="G161" s="34"/>
      <c r="H161" s="34"/>
      <c r="I161" s="34"/>
      <c r="J161" s="34"/>
    </row>
    <row r="162" spans="1:10" s="37" customFormat="1" ht="15" x14ac:dyDescent="0.45"/>
    <row r="163" spans="1:10" s="37" customFormat="1" ht="15" x14ac:dyDescent="0.45">
      <c r="B163" s="46" t="s">
        <v>382</v>
      </c>
      <c r="C163" s="47"/>
      <c r="D163" s="48"/>
      <c r="E163" s="48"/>
      <c r="F163" s="48"/>
      <c r="G163" s="48"/>
      <c r="H163" s="48"/>
      <c r="I163" s="48"/>
      <c r="J163" s="49"/>
    </row>
    <row r="164" spans="1:10" s="37" customFormat="1" ht="15" x14ac:dyDescent="0.45">
      <c r="B164" s="202" t="s">
        <v>795</v>
      </c>
      <c r="C164" s="56"/>
      <c r="D164" s="203"/>
      <c r="E164" s="203"/>
      <c r="F164" s="203"/>
      <c r="G164" s="203"/>
      <c r="H164" s="203"/>
      <c r="I164" s="203"/>
      <c r="J164" s="204"/>
    </row>
    <row r="165" spans="1:10" s="37" customFormat="1" ht="15" x14ac:dyDescent="0.45">
      <c r="B165" s="205" t="s">
        <v>796</v>
      </c>
      <c r="C165" s="206"/>
      <c r="D165" s="207"/>
      <c r="E165" s="207"/>
      <c r="F165" s="207"/>
      <c r="G165" s="207"/>
      <c r="H165" s="207"/>
      <c r="I165" s="207"/>
      <c r="J165" s="208"/>
    </row>
    <row r="166" spans="1:10" s="37" customFormat="1" ht="15" x14ac:dyDescent="0.45">
      <c r="B166" s="57"/>
      <c r="C166" s="193"/>
      <c r="D166" s="193"/>
      <c r="E166" s="58"/>
      <c r="F166" s="58"/>
      <c r="G166" s="58"/>
      <c r="H166" s="58"/>
      <c r="I166" s="58"/>
      <c r="J166" s="193"/>
    </row>
    <row r="167" spans="1:10" s="37" customFormat="1" ht="15" x14ac:dyDescent="0.45">
      <c r="B167" s="268"/>
      <c r="C167" s="263" t="s">
        <v>474</v>
      </c>
      <c r="E167" s="193"/>
      <c r="F167" s="193"/>
      <c r="G167" s="193"/>
      <c r="H167" s="193"/>
      <c r="I167" s="193"/>
      <c r="J167" s="193"/>
    </row>
    <row r="168" spans="1:10" s="37" customFormat="1" ht="15" x14ac:dyDescent="0.45">
      <c r="B168" s="259" t="s">
        <v>794</v>
      </c>
      <c r="C168" s="267">
        <v>0.05</v>
      </c>
      <c r="I168" s="193"/>
    </row>
    <row r="169" spans="1:10" s="37" customFormat="1" ht="15" x14ac:dyDescent="0.45"/>
  </sheetData>
  <pageMargins left="0.70866141732283472" right="0.70866141732283472" top="0.74803149606299213" bottom="0.74803149606299213" header="0.31496062992125984" footer="0.31496062992125984"/>
  <pageSetup orientation="portrait" horizontalDpi="300" verticalDpi="300" r:id="rId1"/>
  <headerFooter>
    <oddHeader>&amp;L&amp;G</oddHeader>
    <oddFooter>&amp;L&amp;"DM Sans,Regular"&amp;8&amp;K1D1765© 2023 WiseTech Global&amp;C&amp;"DM Sans,Regular"&amp;8&amp;K1D1765CargoWise One STL Price List&amp;R&amp;"DM Sans,Regular"&amp;8&amp;K1D1765Page &amp;P</oddFooter>
  </headerFooter>
  <legacyDrawingHF r:id="rId2"/>
  <tableParts count="6">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e3840f-b498-47dd-b4e1-88b0c7d5846b">
      <Terms xmlns="http://schemas.microsoft.com/office/infopath/2007/PartnerControls"/>
    </lcf76f155ced4ddcb4097134ff3c332f>
    <TaxCatchAll xmlns="5b887053-13c9-4ef0-8e1a-18d371f97b0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Document</p:Name>
  <p:Description/>
  <p:Statement/>
  <p:PolicyItems>
    <p:PolicyItem featureId="Microsoft.Office.RecordsManagement.PolicyFeatures.PolicyAudit" staticId="0x010100F95CC4E8340F134588409C55486C577A|1757814118" UniqueId="ab6515e9-fca7-4a5b-920b-048f28cb9235">
      <p:Name>Auditing</p:Name>
      <p:Description>Audits user actions on documents and list items to the Audit Log.</p:Description>
      <p:CustomData>
        <Audit>
          <Update/>
          <CheckInOut/>
          <MoveCopy/>
          <DeleteRestore/>
        </Audit>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Document" ma:contentTypeID="0x010100F95CC4E8340F134588409C55486C577A" ma:contentTypeVersion="21" ma:contentTypeDescription="Create a new document." ma:contentTypeScope="" ma:versionID="0ba51642110f708ff6bcfea1a34fd6f9">
  <xsd:schema xmlns:xsd="http://www.w3.org/2001/XMLSchema" xmlns:xs="http://www.w3.org/2001/XMLSchema" xmlns:p="http://schemas.microsoft.com/office/2006/metadata/properties" xmlns:ns1="http://schemas.microsoft.com/sharepoint/v3" xmlns:ns2="5b887053-13c9-4ef0-8e1a-18d371f97b0f" xmlns:ns3="0be3840f-b498-47dd-b4e1-88b0c7d5846b" targetNamespace="http://schemas.microsoft.com/office/2006/metadata/properties" ma:root="true" ma:fieldsID="79d4d1c99918fccb5c7b5c3f67bb11b6" ns1:_="" ns2:_="" ns3:_="">
    <xsd:import namespace="http://schemas.microsoft.com/sharepoint/v3"/>
    <xsd:import namespace="5b887053-13c9-4ef0-8e1a-18d371f97b0f"/>
    <xsd:import namespace="0be3840f-b498-47dd-b4e1-88b0c7d5846b"/>
    <xsd:element name="properties">
      <xsd:complexType>
        <xsd:sequence>
          <xsd:element name="documentManagement">
            <xsd:complexType>
              <xsd:all>
                <xsd:element ref="ns2:SharedWithUsers" minOccurs="0"/>
                <xsd:element ref="ns2:SharedWithDetails" minOccurs="0"/>
                <xsd:element ref="ns1:_dlc_Exempt"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0" nillable="true" ma:displayName="Exempt from Policy" ma:description=""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b887053-13c9-4ef0-8e1a-18d371f97b0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4" nillable="true" ma:displayName="Taxonomy Catch All Column" ma:hidden="true" ma:list="{5dcf6839-b021-4559-985e-cba7c9e32dc4}" ma:internalName="TaxCatchAll" ma:showField="CatchAllData" ma:web="5b887053-13c9-4ef0-8e1a-18d371f97b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e3840f-b498-47dd-b4e1-88b0c7d5846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C6BD95-BEBE-47DD-8072-354150346F39}">
  <ds:schemaRefs>
    <ds:schemaRef ds:uri="http://schemas.microsoft.com/office/2006/documentManagement/types"/>
    <ds:schemaRef ds:uri="http://purl.org/dc/dcmitype/"/>
    <ds:schemaRef ds:uri="http://purl.org/dc/terms/"/>
    <ds:schemaRef ds:uri="http://schemas.microsoft.com/office/2006/metadata/properties"/>
    <ds:schemaRef ds:uri="0be3840f-b498-47dd-b4e1-88b0c7d5846b"/>
    <ds:schemaRef ds:uri="http://www.w3.org/XML/1998/namespace"/>
    <ds:schemaRef ds:uri="http://schemas.microsoft.com/office/infopath/2007/PartnerControls"/>
    <ds:schemaRef ds:uri="http://schemas.microsoft.com/sharepoint/v3"/>
    <ds:schemaRef ds:uri="http://schemas.openxmlformats.org/package/2006/metadata/core-properties"/>
    <ds:schemaRef ds:uri="5b887053-13c9-4ef0-8e1a-18d371f97b0f"/>
    <ds:schemaRef ds:uri="http://purl.org/dc/elements/1.1/"/>
  </ds:schemaRefs>
</ds:datastoreItem>
</file>

<file path=customXml/itemProps2.xml><?xml version="1.0" encoding="utf-8"?>
<ds:datastoreItem xmlns:ds="http://schemas.openxmlformats.org/officeDocument/2006/customXml" ds:itemID="{1594BB48-EE1A-40A7-8AFC-A16B9AC56366}">
  <ds:schemaRefs>
    <ds:schemaRef ds:uri="http://schemas.microsoft.com/sharepoint/v3/contenttype/forms"/>
  </ds:schemaRefs>
</ds:datastoreItem>
</file>

<file path=customXml/itemProps3.xml><?xml version="1.0" encoding="utf-8"?>
<ds:datastoreItem xmlns:ds="http://schemas.openxmlformats.org/officeDocument/2006/customXml" ds:itemID="{B15DD08C-41EE-464E-8236-5671B2962F48}">
  <ds:schemaRefs>
    <ds:schemaRef ds:uri="office.server.policy"/>
  </ds:schemaRefs>
</ds:datastoreItem>
</file>

<file path=customXml/itemProps4.xml><?xml version="1.0" encoding="utf-8"?>
<ds:datastoreItem xmlns:ds="http://schemas.openxmlformats.org/officeDocument/2006/customXml" ds:itemID="{64072F23-8EC7-460B-A600-DC8F35746F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887053-13c9-4ef0-8e1a-18d371f97b0f"/>
    <ds:schemaRef ds:uri="0be3840f-b498-47dd-b4e1-88b0c7d584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Version history</vt:lpstr>
      <vt:lpstr>ExchangeRates</vt:lpstr>
      <vt:lpstr>STL CWcloud Pricelist Pivot</vt:lpstr>
      <vt:lpstr>STL Pricelist Client Template</vt:lpstr>
      <vt:lpstr>STL Pricelist Pivot</vt:lpstr>
      <vt:lpstr>eServices Pricelist Pivot</vt:lpstr>
      <vt:lpstr>e-Services Footer</vt:lpstr>
      <vt:lpstr>LDaaS Pricelist Pivot</vt:lpstr>
      <vt:lpstr>LDaaS Footer</vt:lpstr>
      <vt:lpstr>BorderWise Client Template</vt:lpstr>
      <vt:lpstr>BorderWise Pricelist Pivot</vt:lpstr>
      <vt:lpstr>BorderWise Footer</vt:lpstr>
      <vt:lpstr>ABM Customs Template</vt:lpstr>
      <vt:lpstr>3rd Party Transactions Template</vt:lpstr>
      <vt:lpstr>STL Discounts Template</vt:lpstr>
      <vt:lpstr>BorderWiseFooter</vt:lpstr>
      <vt:lpstr>'STL CWcloud Pricelist Pivot'!ColAvailable</vt:lpstr>
      <vt:lpstr>ColAvailable</vt:lpstr>
      <vt:lpstr>EServicesFooter</vt:lpstr>
      <vt:lpstr>LDaaSFooter</vt:lpstr>
      <vt:lpstr>STLDiscountVolumeFooter</vt:lpstr>
    </vt:vector>
  </TitlesOfParts>
  <Company>WiseTech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 Chaudhury</dc:creator>
  <cp:lastModifiedBy>Maxwell Lane</cp:lastModifiedBy>
  <cp:lastPrinted>2022-09-13T02:45:06Z</cp:lastPrinted>
  <dcterms:created xsi:type="dcterms:W3CDTF">2021-06-11T01:16:01Z</dcterms:created>
  <dcterms:modified xsi:type="dcterms:W3CDTF">2023-02-08T04:15:02Z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0x010100F95CC4E8340F134588409C55486C577A</vt:lpwstr>
  </property>
  <property fmtid="{D5CDD505-2E9C-101B-9397-08002B2CF9AE}" pid="3" name="MediaServiceImageTags">
    <vt:lpwstr/>
  </property>
</Properties>
</file>
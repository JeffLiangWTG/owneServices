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Reports\EDI\Pricelist\"/>
    </mc:Choice>
  </mc:AlternateContent>
  <xr:revisionPtr revIDLastSave="0" documentId="13_ncr:1_{C85BE851-1516-4F4E-A61E-5EB86518DA39}" xr6:coauthVersionLast="47" xr6:coauthVersionMax="47" xr10:uidLastSave="{00000000-0000-0000-0000-000000000000}"/>
  <bookViews>
    <workbookView xWindow="-120" yWindow="-120" windowWidth="29040" windowHeight="15840" tabRatio="813" xr2:uid="{00000000-000D-0000-FFFF-FFFF00000000}"/>
  </bookViews>
  <sheets>
    <sheet name="Version history" sheetId="44" r:id="rId1"/>
    <sheet name="Global Settings" sheetId="1" r:id="rId2"/>
    <sheet name="Filter" sheetId="41" r:id="rId3"/>
    <sheet name="Client Specific Settings" sheetId="2" r:id="rId4"/>
    <sheet name="STL Pricelist Master" sheetId="3" r:id="rId5"/>
    <sheet name="BorderWise Pricelist Master" sheetId="43" r:id="rId6"/>
    <sheet name="TPT-Master" sheetId="14" r:id="rId7"/>
    <sheet name="STL-DiscountVolume" sheetId="23" r:id="rId8"/>
    <sheet name="STL-DiscountIntroductory" sheetId="24" r:id="rId9"/>
    <sheet name="STL-DiscountPrepayment" sheetId="27" r:id="rId10"/>
    <sheet name="STL-DiscountIndustryPartner" sheetId="28" r:id="rId11"/>
    <sheet name="STL-DiscountCertified" sheetId="30" r:id="rId12"/>
  </sheets>
  <externalReferences>
    <externalReference r:id="rId13"/>
  </externalReferences>
  <definedNames>
    <definedName name="BRDPriceListVersion">'Global Settings'!#REF!</definedName>
    <definedName name="Discount_Structure">'[1]I-Assumptions'!$A$60:$A$66</definedName>
    <definedName name="Discount_Structure_Lookup">'[1]I-Assumptions'!$A$60:$O$66</definedName>
    <definedName name="ExRates">'[1]I-Assumptions'!$A$9:$E$19</definedName>
    <definedName name="ExRates20.07">'[1]I-Assumptions'!#REF!</definedName>
    <definedName name="ExRatesLDAAS">'[1]I-Assumptions'!$M$8:$Q$19</definedName>
    <definedName name="GSSPriceListVersion">'Global Settings'!#REF!</definedName>
    <definedName name="GTM_ExRates">'[1]I-Assumptions'!$G$7:$K$19</definedName>
    <definedName name="STLPricelistVersion">'Global Settings'!$B$6</definedName>
    <definedName name="TPTLCLAutomation" localSheetId="11">#REF!</definedName>
    <definedName name="TPTLCLAutomation" localSheetId="10">#REF!</definedName>
    <definedName name="TPTLCLAutomation" localSheetId="9">#REF!</definedName>
    <definedName name="TPTLCLAutoma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</calcChain>
</file>

<file path=xl/sharedStrings.xml><?xml version="1.0" encoding="utf-8"?>
<sst xmlns="http://schemas.openxmlformats.org/spreadsheetml/2006/main" count="304" uniqueCount="161">
  <si>
    <t>Currency</t>
  </si>
  <si>
    <t>USD Based Rates</t>
  </si>
  <si>
    <t>Volume Price Adjustment</t>
  </si>
  <si>
    <t>Volume %</t>
  </si>
  <si>
    <t>Core Uplift %</t>
  </si>
  <si>
    <t>Description</t>
  </si>
  <si>
    <t>Available</t>
  </si>
  <si>
    <t>Charge Basis / Entity counted</t>
  </si>
  <si>
    <t>Row</t>
  </si>
  <si>
    <t>Category</t>
  </si>
  <si>
    <t>Code</t>
  </si>
  <si>
    <t>Base Price (USD)</t>
  </si>
  <si>
    <t>Exchange Rate Group</t>
  </si>
  <si>
    <t>License Units</t>
  </si>
  <si>
    <t>Base Price</t>
  </si>
  <si>
    <t>CargoWise Cloud Introductory Discount</t>
  </si>
  <si>
    <t>Discount</t>
  </si>
  <si>
    <t>Prepayment Discount</t>
  </si>
  <si>
    <t>CargoWise Industry Partner Discount</t>
  </si>
  <si>
    <t>Certified Discount</t>
  </si>
  <si>
    <t>STL Pricelist Version</t>
  </si>
  <si>
    <t>#Config</t>
  </si>
  <si>
    <t>Name=Global Settings</t>
  </si>
  <si>
    <t>#DocumentHeader</t>
  </si>
  <si>
    <t>#EndOfReport</t>
  </si>
  <si>
    <t>Type</t>
  </si>
  <si>
    <t>Date</t>
  </si>
  <si>
    <t>DefaultValue</t>
  </si>
  <si>
    <t>#End</t>
  </si>
  <si>
    <t>#SectionHeader:ShowEvenWithNoData</t>
  </si>
  <si>
    <t>#SectionFooter:ShowEvenWithNoData</t>
  </si>
  <si>
    <t>Required</t>
  </si>
  <si>
    <t>Today</t>
  </si>
  <si>
    <t>Reporting Date</t>
  </si>
  <si>
    <t>&lt;DateTimeAsString('&lt;Reporting Date&gt;','ShortDateFormat')&gt;</t>
  </si>
  <si>
    <t>Name=Client Specific Settings</t>
  </si>
  <si>
    <t>#SectionBody:Data=ReportData</t>
  </si>
  <si>
    <t>&lt;ReportData.StlPriceListVersion&gt;</t>
  </si>
  <si>
    <t>&lt;ReportData.OrgCode&gt;</t>
  </si>
  <si>
    <t>&lt;ReportData.OrgName&gt;</t>
  </si>
  <si>
    <t>&lt;ReportData.Currency&gt;</t>
  </si>
  <si>
    <t>&lt;ReportData.CoreUplift&gt;</t>
  </si>
  <si>
    <t>&lt;ReportData.CorePack&gt;</t>
  </si>
  <si>
    <t>&lt;ReportData.Volume&gt;</t>
  </si>
  <si>
    <t>Volume Based Price Items</t>
  </si>
  <si>
    <t>Server Code</t>
  </si>
  <si>
    <t>&lt;ReportData.ServerCode&gt;</t>
  </si>
  <si>
    <t>&lt;ReportData.GroupCode&gt;</t>
  </si>
  <si>
    <t>&lt;ReportData.USDBaseRate&gt;</t>
  </si>
  <si>
    <t>Uplift</t>
  </si>
  <si>
    <t>Exchange Rate</t>
  </si>
  <si>
    <t>&lt;ReportData.Uplift&gt;</t>
  </si>
  <si>
    <t>Paying Org Code</t>
  </si>
  <si>
    <t>Paying Org Name</t>
  </si>
  <si>
    <t>&lt;ReportData.EnterpriseCode&gt;</t>
  </si>
  <si>
    <t>Enterprise Code</t>
  </si>
  <si>
    <t>&lt;ReportData.ItemRow&gt;</t>
  </si>
  <si>
    <t>&lt;ReportData.ItemCategory&gt;</t>
  </si>
  <si>
    <t>&lt;ReportData.ItemCode&gt;</t>
  </si>
  <si>
    <t>&lt;ReportData.ItemAvailable&gt;</t>
  </si>
  <si>
    <t>&lt;ReportData.ItemPrice&gt;</t>
  </si>
  <si>
    <t>&lt;ReportData.ExchangeRateGroup&gt;</t>
  </si>
  <si>
    <t>&lt;ReportData.EligibleForVolumeAdjustments&gt;</t>
  </si>
  <si>
    <t>&lt;ReportData.LicenceUnits&gt;</t>
  </si>
  <si>
    <t>&lt;ReportData.PriceListVersion&gt;</t>
  </si>
  <si>
    <t>STL Pricelist PK</t>
  </si>
  <si>
    <t>&lt;ReportData.PriceListPK&gt;</t>
  </si>
  <si>
    <t>&lt;ReportData.StlPriceListPK&gt;</t>
  </si>
  <si>
    <t>Name=STL Pricelist Master</t>
  </si>
  <si>
    <t>&lt;ReportData.VolumePercent&gt;</t>
  </si>
  <si>
    <t>&lt;ExpandToFit&gt;&lt;ReportData.VolumeBasedPriceItems&gt;</t>
  </si>
  <si>
    <t>&lt;ExpandToFit&gt;&lt;ReportData.ItemDescription&gt;</t>
  </si>
  <si>
    <t>&lt;ExpandToFit&gt;&lt;ReportData.ChargeBasis&gt;</t>
  </si>
  <si>
    <t>Volume Usage Discount</t>
  </si>
  <si>
    <t>&lt;ReportData.UnitCount&gt;</t>
  </si>
  <si>
    <t>&lt;ReportData.Discount&gt;</t>
  </si>
  <si>
    <t>Name=STL-DiscountIntroductory</t>
  </si>
  <si>
    <t>Name=STL-DiscountVolume</t>
  </si>
  <si>
    <t>Name=STL-DiscountPrepayment</t>
  </si>
  <si>
    <t>Name=STL-DiscountIndustryPartner</t>
  </si>
  <si>
    <t>Name=STL-DiscountCertified</t>
  </si>
  <si>
    <t>&lt;ReportData.DiscountPercent&gt;</t>
  </si>
  <si>
    <t>&lt;ReportData.DiscountDescription&gt;</t>
  </si>
  <si>
    <t>Discount Code</t>
  </si>
  <si>
    <t>&lt;ReportData.DiscountCode&gt;</t>
  </si>
  <si>
    <t>Data:ReportData=SELECT StlPriceListVersion, StlPriceListPK, DiscountPercent, DiscountCode, DiscountDescription FROM Report_StlPriceListDiscounts('CCLPRETAIN', &lt;Reporting Date&gt;, &lt;RegistryItemTVP(AdditionalRegistryItemSet.Instance.StlDiscountTypes)&gt;)</t>
  </si>
  <si>
    <t>Data:ReportData=SELECT StlPriceListVersion, StlPriceListPK, DiscountPercent, DiscountCode, DiscountDescription FROM Report_StlPriceListDiscounts('WISEPARTNER', &lt;Reporting Date&gt;, &lt;RegistryItemTVP(AdditionalRegistryItemSet.Instance.StlDiscountTypes)&gt;)</t>
  </si>
  <si>
    <t>Data:ReportData=SELECT StlPriceListVersion, StlPriceListPK, DiscountPercent, DiscountCode, DiscountDescription FROM Report_StlPriceListDiscounts('PREPAY', &lt;Reporting Date&gt;, &lt;RegistryItemTVP(AdditionalRegistryItemSet.Instance.StlDiscountTypes)&gt;)</t>
  </si>
  <si>
    <t>Data:ReportData=SELECT StlPriceListVersion, StlPriceListPK, DiscountPercent, DiscountCode, DiscountDescription FROM Report_StlPriceListDiscounts('WISECLOUD', &lt;Reporting Date&gt;, &lt;RegistryItemTVP(AdditionalRegistryItemSet.Instance.StlDiscountTypes)&gt;)</t>
  </si>
  <si>
    <t>Name=BorderWise Pricelist Master</t>
  </si>
  <si>
    <t>Data:ReportData=SELECT
	ph.L6_PricelistVersion as PriceListVersion,
	ph.L6_PK as PriceListPK,
	item.L7_Order as ItemRow,
	item.L7_Category as ItemCategory,
	item.L7_Code as ItemCode,
	item.L7_Description as ItemDescription,
	item.L7_ProductAvailability as ItemAvailable,
	item.L7_Price as ItemPrice,
	item.L7_ChargeBasis as ChargeBasis,
	item.L7_RX_NKCurrency as Currency,
	item.L7_IsVolumeAdjustmentEligible as EligibleForVolumeAdjustments,
	item.L7_LicenceUnits as LicenceUnits
FROM (
	SELECT TOP 1 L6_PK, L6_PricelistVersion
	FROM dbo.ClientLicencePriceHeader
	WHERE &lt;Reporting Date&gt; &gt;= L6_ValidFrom AND (&lt;Reporting Date&gt; &lt;= L6_ValidTo OR L6_ValidTo is null)
	AND L6_SystemCode = 'BOR'
	ORDER BY L6_ValidFrom DESC
) ph
JOIN dbo.ClientLicencePriceItem item ON item.L7_L6 = ph.L6_PK
ORDER BY PriceListPK, ItemRow</t>
  </si>
  <si>
    <t>BOR Pricelist Version</t>
  </si>
  <si>
    <t>BOR Pricelist PK</t>
  </si>
  <si>
    <t>Core Pack Excluded from Std volume discount</t>
  </si>
  <si>
    <t>Exchange Rate Group Code</t>
  </si>
  <si>
    <t>Eligible For Volume Adjustments</t>
  </si>
  <si>
    <t>Seat + Transaction (STL) Discount Scales [Units Greater than]</t>
  </si>
  <si>
    <t>Reporting Date:</t>
  </si>
  <si>
    <t>Name=TPT-Master</t>
  </si>
  <si>
    <t>System</t>
  </si>
  <si>
    <t>Country</t>
  </si>
  <si>
    <t>Currency2</t>
  </si>
  <si>
    <t>Licence</t>
  </si>
  <si>
    <t>Valid From</t>
  </si>
  <si>
    <t>Version</t>
  </si>
  <si>
    <t>Pricelist PK</t>
  </si>
  <si>
    <t>Std?</t>
  </si>
  <si>
    <t>Valid To</t>
  </si>
  <si>
    <t>Name</t>
  </si>
  <si>
    <t>Fee Code</t>
  </si>
  <si>
    <t>Licence Units</t>
  </si>
  <si>
    <t>Parent Category</t>
  </si>
  <si>
    <t>Parent Code</t>
  </si>
  <si>
    <t>Break</t>
  </si>
  <si>
    <t>Break Parent</t>
  </si>
  <si>
    <t>Web Parent</t>
  </si>
  <si>
    <t>Sub Code</t>
  </si>
  <si>
    <t>Discount Structure</t>
  </si>
  <si>
    <t>Charge Code</t>
  </si>
  <si>
    <t>Deposit Charge Code</t>
  </si>
  <si>
    <t>Discount Charge Code</t>
  </si>
  <si>
    <t>Charge Basis</t>
  </si>
  <si>
    <t>Language</t>
  </si>
  <si>
    <t>Report Category</t>
  </si>
  <si>
    <t>&lt;ReportData.SystemCode&gt;</t>
  </si>
  <si>
    <t>&lt;ReportData.Country&gt;</t>
  </si>
  <si>
    <t>&lt;ReportData.Licence&gt;</t>
  </si>
  <si>
    <t>&lt;ReportData.ValidFrom&gt;</t>
  </si>
  <si>
    <t>&lt;ReportData.ValidTo&gt;</t>
  </si>
  <si>
    <t>&lt;ReportData.IsStandard&gt;</t>
  </si>
  <si>
    <t>&lt;ReportData.ExchangeRateGroupCode&gt;</t>
  </si>
  <si>
    <t>&lt;ReportData.ParentCode&gt;</t>
  </si>
  <si>
    <t>&lt;ReportData.ParentCategory&gt;</t>
  </si>
  <si>
    <t>&lt;ReportData.UnitBreak&gt;</t>
  </si>
  <si>
    <t>&lt;ReportData.UnitBreakParentCode&gt;</t>
  </si>
  <si>
    <t>&lt;ReportData.WebParentCode&gt;</t>
  </si>
  <si>
    <t>&lt;ReportData.ChargeCode&gt;</t>
  </si>
  <si>
    <t>&lt;ReportData.DepositChargeCode&gt;</t>
  </si>
  <si>
    <t>&lt;ReportData.DiscountChargeCode&gt;</t>
  </si>
  <si>
    <t>&lt;ReportData.ItemLanguage&gt;</t>
  </si>
  <si>
    <t>&lt;ReportData.FeeCode&gt;</t>
  </si>
  <si>
    <t>&lt;ReportData.Currency2&gt;</t>
  </si>
  <si>
    <t>&lt;ReportData.SubCode&gt;</t>
  </si>
  <si>
    <t>&lt;ReportData.DiscountStructure&gt;</t>
  </si>
  <si>
    <t>&lt;ReportData.ReportCategory&gt;</t>
  </si>
  <si>
    <t>Data:ReportData=SELECT
	ph.L6_SystemCode as SystemCode,
	ph.L6_RN_NKCountry as Country,
	ph.L6_RX_NkCurrency as Currency,
	ph.L6_LicenceEdition as Licence,
	ph.L6_ValidFrom as ValidFrom,
	ph.L6_PricelistVersion as PriceListVersion,
	ph.L6_PK as PriceListPK,
	ph.L6_IsStandard as IsStandard,
	ph.L6_ValidTo as ValidTo,
	item.L7_Order as ItemRow,
	item.L7_Category as ItemCategory,
	item.L7_Code as ItemCode,
	item.L7_Description as ItemDescription,
	item.L7_ExchangeRateGroupCode as ExchangeRateGroupCode,
	item.L7_FeeType as FeeCode,
	item.L7_LicenceUnits as LicenceUnits,
	item.L7_Price as ItemPrice,
	item.L7_ParentCategory as ParentCategory,
	item.L7_ParentCode as ParentCode,
	item.L7_UnitBreak as UnitBreak,
	item.L7_UnitBreakParentCode as UnitBreakParentCode,
	item.L7_WebParentCode as WebParentCode,
	item.L7_RX_NKCurrency as Currency2,
	item.L7_Ref4 as SubCode,
	item.L7_PGM_DiscountGroupCode as DiscountStructure,
	item.L7_ChargeCode as ChargeCode,
	item.L7_DepositChargeCode as DepositChargeCode,
	item.L7_DiscountChargeCode as DiscountChargeCode,
	item.L7_ChargeBasis as ChargeBasis,
	item.L7_Language as ItemLanguage,
	item.L7_IsVolumeAdjustmentEligible as EligibleForVolumeAdjustments,
	item.L7_ProductAvailability as ItemAvailable,
	item.L7_ProductDisplayCategory as ReportCategory
FROM (
	SELECT L6_PK, L6_PricelistVersion, L6_SystemCode, L6_RN_NKCountry, L6_LicenceEdition, L6_ValidFrom, L6_ValidTo, L6_IsStandard, L6_RX_NkCurrency,
	ROW_NUMBER() OVER (PARTITION BY L6_SystemCode ORDER BY L6_ValidFrom DESC) AS RowNumber
	FROM dbo.ClientLicencePriceHeader
	WHERE &lt;Reporting Date&gt; &gt;= L6_ValidFrom AND (&lt;Reporting Date&gt; &lt;= L6_ValidTo OR L6_ValidTo is null)
	AND L6_SystemCode NOT IN ('ODM', 'STL', 'BOR', 'MSC', 'PUR')
) ph
JOIN dbo.ClientLicencePriceItem item ON item.L7_L6 = ph.L6_PK
WHERE RowNumber = 1
ORDER BY PriceListPK, ItemRow</t>
  </si>
  <si>
    <t>#SectionBody:Data=DummyCollection</t>
  </si>
  <si>
    <t>Version #</t>
  </si>
  <si>
    <t>Change Log</t>
  </si>
  <si>
    <t>Author</t>
  </si>
  <si>
    <t>Initial realease</t>
  </si>
  <si>
    <t>The CRM crew</t>
  </si>
  <si>
    <t>PageStyle=Continuous</t>
  </si>
  <si>
    <t>Data:ReportData=SELECT OrgCode, OrgName, ServerCode, EnterpriseCode, StlPriceListVersion, StlPriceListPK, Currency, Volume, VolumePercent, VolumeBasedPriceItems, CorePack, CoreUplift
FROM
(
	SELECT oh.OH_Code as OrgCode,
		oh.OH_FullName as OrgName,
		ld.LD_ServerCode as ServerCode,
		le.LE_EnterpriseCode as EnterpriseCode,
		ph.L6_PricelistVersion as StlPriceListVersion,
		ph.L6_PK as StlPriceListPK,
		phl.PHL_RX_NKCurrency as Currency,
		phl.PHL_VolumeCode as Volume,
		phl.PHL_VolumePercent as VolumePercent,
		customerSettings.VolumeBasedPriceItems as VolumeBasedPriceItems,
		phl.PHL_CorePackCode as CorePack,
		phl.PHL_CoreUpliftPercent as CoreUplift,
		row_number() over (partition by OH_Code, LD_ServerCode, LE_EnterpriseCode order by PHL_ValidFrom desc) as RowNumber
	from LicenceCompany lc
	join LicenceHeader la on LA_LC = LC_PK
	join LicenceDatabase ld on LA_LD = LD_PK
	join EdiPriceHeaderLink phl on PHL_LD = LD_PK
	join ClientLicencePriceHeader ph on PHL_L6 = L6_PK and PHL_LD = LD_PK
	join LicenceEnterprise le on LC_LE = LE_PK
	cross apply
	(
	 select top 1 ClientInvoiceDelivery.*
	 from ClientInvoiceDelivery
	 where L9_LC = lc.LC_PK and L9_SystemCode in ((case when phl.PHL_PK is null then 'ODM' else 'STL' end), 'ALL') and L9_ServerCode in ('', LD_ServerCode)
	 ORDER BY L9_SystemCode desc, L9_ServerCode asc
	) delivery
	join OrgHeader oh on ISNULL(L9_OH_InvoiceTo, lc.LC_OH) = oh.OH_PK
	cross apply
	(
		select STRING_AGG(LS9_Name, ',') within group (order by LS9_Name) as VolumeBasedPriceItems
		from EdiLicenceSetting
		where LS9_LD = LD_PK
		AND LS9_Type = 'HVF'
		AND LS9_IsActive = 1
		AND &lt;Reporting Date&gt; &gt;= LS9_ValidFrom AND (&lt;Reporting Date&gt; &lt;= LS9_ValidTo OR LS9_ValidTo is null)
	) customerSettings
	WHERE &lt;Reporting Date&gt; &gt;= L6_ValidFrom AND (&lt;Reporting Date&gt; &lt;= L6_ValidTo OR L6_ValidTo is null)
	and &lt;Reporting Date&gt; &gt;= PHL_ValidFrom AND (&lt;Reporting Date&gt; &lt;= PHL_ValidTo OR PHL_ValidTo is null)
	and OH_IsActive = 1
	and LD_IsActive = 1
	and LA_IsActive = 1
	and LD_LicenceType = 'PRD'
	and L6_SystemCode = 'STL'
	and L6_RX_NkCurrency = 'USD'
	and L6_HasExchangeRates = 1
) as ResultTable
WHERE RowNumber = 1
ORDER BY OrgCode</t>
  </si>
  <si>
    <t>Data:ReportData=SELECT
	ph.L6_PricelistVersion as PriceListVersion,
	ph.L6_PK as PriceListPK,
	item.L7_Order as ItemRow,
	item.L7_Category as ItemCategory,
	item.L7_Code as ItemCode,
	item.L7_Description as ItemDescription,
	item.L7_ProductAvailability as ItemAvailable,
	item.L7_ProductDisplayCategory as ReportCategory,
	item.L7_Price as ItemPrice,
	item.L7_ChargeBasis as ChargeBasis,
	item.L7_ExchangeRateGroupCode as ExchangeRateGroup,
	item.L7_IsVolumeAdjustmentEligible as EligibleForVolumeAdjustments,
	item.L7_LicenceUnits as LicenceUnits
FROM dbo.ClientLicencePriceHeader ph
JOIN dbo.ClientLicencePriceItem item on item.L7_L6 = ph.L6_PK
WHERE ph.L6_PK IN
(
	SELECT distinct StlPriceListPK
	FROM
	(
		SELECT ph.L6_PK as StlPriceListPK,
			row_number() over (partition by OH_Code, LD_ServerCode, LE_EnterpriseCode order by PHL_ValidFrom desc) as RowNumber
		from LicenceCompany lc
		join LicenceHeader la on LA_LC = LC_PK
		join LicenceDatabase ld on LA_LD = LD_PK
		join EdiPriceHeaderLink phl on PHL_LD = LD_PK
		join ClientLicencePriceHeader ph on PHL_L6 = L6_PK and PHL_LD = LD_PK
		join LicenceEnterprise le on LC_LE = LE_PK
		cross apply
		(
		 select top 1 ClientInvoiceDelivery.*
		 from ClientInvoiceDelivery
		 where L9_LC = lc.LC_PK and L9_SystemCode in ((case when phl.PHL_PK is null then 'ODM' else 'STL' end), 'ALL') and L9_ServerCode in ('', LD_ServerCode)
		 ORDER BY L9_SystemCode desc, L9_ServerCode asc
		) delivery
		join OrgHeader oh on ISNULL(L9_OH_InvoiceTo, lc.LC_OH) = oh.OH_PK
		WHERE &lt;Reporting Date&gt; &gt;= L6_ValidFrom AND (&lt;Reporting Date&gt; &lt;= L6_ValidTo OR L6_ValidTo is null)
		and &lt;Reporting Date&gt; &gt;= PHL_ValidFrom AND (&lt;Reporting Date&gt; &lt;= PHL_ValidTo OR PHL_ValidTo is null)
		and OH_IsActive = 1
		and LD_IsActive = 1
		and LA_IsActive = 1
		and LD_LicenceType = 'PRD'
		and L6_SystemCode = 'STL'
		and L6_RX_NkCurrency = 'USD'
		and L6_HasExchangeRates = 1
	) as ResultTable
	WHERE RowNumber = 1
)
ORDER BY PriceListVersion, PriceListPK, ItemRow</t>
  </si>
  <si>
    <t>Enguerran Gillet</t>
  </si>
  <si>
    <t>The STL Pricelist Master sheet now only returns data for pricelists currently in use</t>
  </si>
  <si>
    <t>Mark Hinkel</t>
  </si>
  <si>
    <t>The Global Settings and STL Discount sheets now only returns data for pricelists currently in use</t>
  </si>
  <si>
    <t>Data:ReportData=SELECT 
	ph.L6_PricelistVersion as StlPriceListVersion, 
	ph.L6_PK as StlPriceListPK, 
	er.PHE_GroupCode as GroupCode, 
	er.PHE_RX_NKCurrency as Currency, 
	er.PHE_Rate as USDBaseRate, 
	er.PHE_UpliftPercent as Uplift 
FROM EdiPriceHeaderExchangeRate er 
INNER JOIN ClientLicencePriceHeader ph on er.PHE_L6 = ph.L6_PK 
WHERE ph.L6_PK IN
(
	SELECT distinct StlPriceListPK
	FROM
	(
		SELECT ph.L6_PK as StlPriceListPK,
			row_number() over (partition by OH_Code, LD_ServerCode, LE_EnterpriseCode order by PHL_ValidFrom desc) as RowNumber
		from LicenceCompany lc
		join LicenceHeader la on LA_LC = LC_PK
		join LicenceDatabase ld on LA_LD = LD_PK
		join EdiPriceHeaderLink phl on PHL_LD = LD_PK
		join ClientLicencePriceHeader ph on PHL_L6 = L6_PK and PHL_LD = LD_PK
		join LicenceEnterprise le on LC_LE = LE_PK
		cross apply
		(
			select top 1 ClientInvoiceDelivery.*
			from ClientInvoiceDelivery
			where L9_LC = lc.LC_PK and L9_SystemCode in ((case when phl.PHL_PK is null then 'ODM' else 'STL' end), 'ALL') and L9_ServerCode in ('', LD_ServerCode)
			ORDER BY L9_SystemCode desc, L9_ServerCode asc
		) delivery
		join OrgHeader oh on ISNULL(L9_OH_InvoiceTo, lc.LC_OH) = oh.OH_PK
		WHERE &lt;Reporting Date&gt; &gt;= L6_ValidFrom AND (&lt;Reporting Date&gt; &lt;= L6_ValidTo OR L6_ValidTo is null)
		and &lt;Reporting Date&gt; &gt;= PHL_ValidFrom AND (&lt;Reporting Date&gt; &lt;= PHL_ValidTo OR PHL_ValidTo is null)
		and OH_IsActive = 1
		and LD_IsActive = 1
		and LA_IsActive = 1
		and LD_LicenceType = 'PRD'
		and L6_SystemCode = 'STL'
		and L6_RX_NkCurrency = 'USD'
		and L6_HasExchangeRates = 1
	) as ResultTable
	WHERE RowNumber = 1
)
ORDER BY StlPriceListVersion, StlPriceListPK, GroupCode, Currency</t>
  </si>
  <si>
    <t>Data:ReportData=SELECT 
	L6_PricelistVersion as StlPriceListVersion, 
	L6_PK as StlPriceListPK,
	lines.item.value('UnitCount[1]', 'bigint') as UnitCount, 
	lines.item.value('Percent[1]', 'decimal(5,2)') as Discount 
FROM 
( 
	SELECT 
		CONVERT(xml, CONVERT(nvarchar(MAX), PHD_ConfigXml)) PHD_ConfigXmlAsXML, 
		ph.L6_PricelistVersion, ph.L6_PK
	FROM EdiPriceHeaderDiscount phd 
	INNER JOIN ClientLicencePriceHeader ph on phd.PHD_Version = ph.L6_DiscountCode 
	WHERE phd.PHD_Type = 'VOL' 
	AND ph.L6_PK IN
	(
		SELECT distinct StlPriceListPK
		FROM
		(
			SELECT ph.L6_PK as StlPriceListPK,
				row_number() over (partition by OH_Code, LD_ServerCode, LE_EnterpriseCode order by PHL_ValidFrom desc) as RowNumber
			from LicenceCompany lc
			join LicenceHeader la on LA_LC = LC_PK
			join LicenceDatabase ld on LA_LD = LD_PK
			join EdiPriceHeaderLink phl on PHL_LD = LD_PK
			join ClientLicencePriceHeader ph on PHL_L6 = L6_PK and PHL_LD = LD_PK
			join LicenceEnterprise le on LC_LE = LE_PK
			cross apply
			(
				select top 1 ClientInvoiceDelivery.*
				from ClientInvoiceDelivery
				where L9_LC = lc.LC_PK and L9_SystemCode in ((case when phl.PHL_PK is null then 'ODM' else 'STL' end), 'ALL') and L9_ServerCode in ('', LD_ServerCode)
				ORDER BY L9_SystemCode desc, L9_ServerCode asc
			) delivery
			join OrgHeader oh on ISNULL(L9_OH_InvoiceTo, lc.LC_OH) = oh.OH_PK
			WHERE &lt;Reporting Date&gt; &gt;= L6_ValidFrom AND (&lt;Reporting Date&gt; &lt;= L6_ValidTo OR L6_ValidTo is null)
			and &lt;Reporting Date&gt; &gt;= PHL_ValidFrom AND (&lt;Reporting Date&gt; &lt;= PHL_ValidTo OR PHL_ValidTo is null)
			and OH_IsActive = 1
			and LD_IsActive = 1
			and LA_IsActive = 1
			and LD_LicenceType = 'PRD'
			and L6_SystemCode = 'STL'
			and L6_RX_NkCurrency = 'USD'
			and L6_HasExchangeRates = 1
		) as ResultTable
		WHERE RowNumber = 1
	)
) Discount 
CROSS APPLY Discount.PHD_ConfigXmlAsXML.nodes('/VolumeDiscount/Lines/Line') lines(item)
ORDER BY StlPriceListPK, UnitCount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</si>
</sst>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-&quot;$&quot;* #,##0_-;\-&quot;$&quot;* #,##0_-;_-&quot;$&quot;* &quot;-&quot;??_-;_-@_-"/>
    <numFmt numFmtId="166" formatCode="#,##0.000000"/>
    <numFmt numFmtId="167" formatCode="[$-C09]dd/mmm/yy;@"/>
    <numFmt numFmtId="168" formatCode="0.0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9"/>
      <name val="DM Sans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DM Sans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DM Sans"/>
    </font>
    <font>
      <sz val="9"/>
      <color theme="1"/>
      <name val="DM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164" fontId="3" fillId="0" borderId="0" xfId="1" applyNumberFormat="1" applyFont="1"/>
    <xf numFmtId="165" fontId="3" fillId="0" borderId="0" xfId="2" applyNumberFormat="1" applyFont="1" applyAlignment="1">
      <alignment horizontal="left"/>
    </xf>
    <xf numFmtId="0" fontId="0" fillId="0" borderId="0" xfId="0" applyFill="1"/>
    <xf numFmtId="0" fontId="9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6" fillId="0" borderId="0" xfId="0" applyFont="1"/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4" fillId="0" borderId="0" xfId="0" applyFont="1" applyAlignment="1">
      <alignment horizontal="right"/>
    </xf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wrapText="1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righ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2" fontId="0" fillId="0" borderId="0" xfId="0" applyNumberFormat="1" applyFill="1" applyBorder="1" applyAlignment="1">
      <alignment horizontal="right" vertical="top"/>
    </xf>
    <xf numFmtId="166" fontId="0" fillId="0" borderId="0" xfId="0" applyNumberForma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10" fillId="0" borderId="0" xfId="0" applyFont="1" applyAlignment="1">
      <alignment horizontal="right"/>
    </xf>
    <xf numFmtId="167" fontId="0" fillId="0" borderId="0" xfId="0" applyNumberFormat="1" applyFill="1" applyBorder="1" applyAlignment="1">
      <alignment horizontal="right" vertical="top"/>
    </xf>
    <xf numFmtId="1" fontId="0" fillId="0" borderId="0" xfId="0" applyNumberFormat="1" applyFill="1" applyBorder="1" applyAlignment="1">
      <alignment vertical="top"/>
    </xf>
    <xf numFmtId="0" fontId="0" fillId="0" borderId="0" xfId="0" applyNumberFormat="1" applyFill="1" applyBorder="1" applyAlignment="1">
      <alignment horizontal="left" vertical="top"/>
    </xf>
    <xf numFmtId="3" fontId="0" fillId="0" borderId="0" xfId="0" applyNumberFormat="1" applyFill="1" applyBorder="1" applyAlignment="1">
      <alignment horizontal="right" vertical="top"/>
    </xf>
    <xf numFmtId="0" fontId="0" fillId="0" borderId="0" xfId="0" applyNumberFormat="1" applyFill="1" applyBorder="1" applyAlignment="1">
      <alignment horizontal="left" vertical="top" wrapText="1"/>
    </xf>
    <xf numFmtId="0" fontId="12" fillId="0" borderId="0" xfId="0" applyFont="1" applyAlignment="1">
      <alignment vertical="top" wrapText="1"/>
    </xf>
    <xf numFmtId="168" fontId="13" fillId="0" borderId="0" xfId="0" applyNumberFormat="1" applyFont="1" applyAlignment="1">
      <alignment vertical="top" wrapText="1"/>
    </xf>
    <xf numFmtId="0" fontId="13" fillId="0" borderId="0" xfId="0" applyFont="1" applyAlignment="1">
      <alignment vertical="top" wrapText="1"/>
    </xf>
    <xf numFmtId="15" fontId="13" fillId="0" borderId="0" xfId="0" applyNumberFormat="1" applyFont="1" applyAlignment="1">
      <alignment vertical="top" wrapText="1"/>
    </xf>
  </cellXfs>
  <cellStyles count="12">
    <cellStyle name="Comma" xfId="1" builtinId="3"/>
    <cellStyle name="Comma 2" xfId="6" xr:uid="{00000000-0005-0000-0000-000001000000}"/>
    <cellStyle name="Comma 2 2" xfId="10" xr:uid="{FE94DB3E-45BB-457B-8E7C-B83212FA8A87}"/>
    <cellStyle name="Comma 3" xfId="4" xr:uid="{00000000-0005-0000-0000-000002000000}"/>
    <cellStyle name="Comma 4" xfId="8" xr:uid="{B5A690C1-C22A-4E84-BF4D-4132BE1C3712}"/>
    <cellStyle name="Currency" xfId="2" builtinId="4"/>
    <cellStyle name="Currency 2" xfId="7" xr:uid="{00000000-0005-0000-0000-000004000000}"/>
    <cellStyle name="Currency 2 2" xfId="11" xr:uid="{0B80D951-0D7A-4C8D-9E6A-F573D67571E5}"/>
    <cellStyle name="Currency 3" xfId="5" xr:uid="{00000000-0005-0000-0000-000005000000}"/>
    <cellStyle name="Currency 4" xfId="9" xr:uid="{D4AB7DFE-D00B-4D5A-9089-FB089838A279}"/>
    <cellStyle name="Normal" xfId="0" builtinId="0"/>
    <cellStyle name="Normal 2" xfId="3" xr:uid="{00000000-0005-0000-0000-000007000000}"/>
  </cellStyles>
  <dxfs count="119">
    <dxf>
      <numFmt numFmtId="0" formatCode="General"/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DM Sans"/>
        <scheme val="none"/>
      </font>
      <numFmt numFmtId="20" formatCode="dd/mmm/yy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DM San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DM San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DM Sans"/>
        <scheme val="none"/>
      </font>
      <numFmt numFmtId="168" formatCode="0.0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DM San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general" vertical="top" textRotation="0" wrapText="1" indent="0" justifyLastLine="0" shrinkToFit="0" readingOrder="0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i val="0"/>
        <color theme="0"/>
      </font>
      <fill>
        <patternFill patternType="solid">
          <fgColor theme="4"/>
          <bgColor rgb="FF1D1765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ricelistTableStyle01" pivot="0" count="9" xr9:uid="{BF0C13ED-7270-49A3-83DC-49C6EF42E0C1}">
      <tableStyleElement type="wholeTable" dxfId="118"/>
      <tableStyleElement type="headerRow" dxfId="117"/>
      <tableStyleElement type="totalRow" dxfId="116"/>
      <tableStyleElement type="firstColumn" dxfId="115"/>
      <tableStyleElement type="lastColumn" dxfId="114"/>
      <tableStyleElement type="firstRowStripe" dxfId="113"/>
      <tableStyleElement type="secondRowStripe" dxfId="112"/>
      <tableStyleElement type="firstColumnStripe" dxfId="111"/>
      <tableStyleElement type="secondColumnStripe" dxfId="1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setechglobal.sharepoint.com/sites/TMWTGProdDevCRM/Shared%20Documents/General/2021%20Pricelist%20Project/Customer%20Pricing%20DIRCOUB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PFT) Step1_Enter_Data"/>
      <sheetName val="Proforma Invoice Worksheet"/>
      <sheetName val="(PFT)Step2_UpdateInvoiceBody&amp;LH"/>
      <sheetName val="WTG Invoicing Branch Details"/>
      <sheetName val="WTG Bank Details"/>
      <sheetName val="ToDo"/>
      <sheetName val="LDaaS Purchase Order Form"/>
      <sheetName val="I-CustomerQuoteSettings"/>
      <sheetName val="I-Assumptions"/>
      <sheetName val="CustomerPresentation"/>
      <sheetName val="CustomerPresentation (CHS)"/>
      <sheetName val="LDaaS Spares"/>
      <sheetName val="CustomerPresentation (CHT)"/>
      <sheetName val="O-C-I-STL_Pricelist"/>
      <sheetName val="O-C-I-LDaaS Pricelist"/>
      <sheetName val="O-C-I-e-Services"/>
      <sheetName val="O-F-I-BorderWise"/>
      <sheetName val="O-F-ABM Customs"/>
      <sheetName val="O-F-3rd Party Transactions"/>
      <sheetName val="O-C-STL Discount"/>
      <sheetName val="Global Discount"/>
      <sheetName val="Payment Terms"/>
      <sheetName val="Country Tiers"/>
      <sheetName val="Addl. pricelist code 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G7" t="str">
            <v>Exchanges Rates</v>
          </cell>
          <cell r="H7" t="str">
            <v>Golden Tax Machine</v>
          </cell>
          <cell r="I7"/>
          <cell r="J7"/>
          <cell r="K7"/>
        </row>
        <row r="8">
          <cell r="G8" t="str">
            <v>Currency</v>
          </cell>
          <cell r="H8" t="str">
            <v>6pd USD Based
Rate*</v>
          </cell>
          <cell r="I8" t="str">
            <v>USD Based
Rate*</v>
          </cell>
          <cell r="J8" t="str">
            <v>Cross Currency
Uplift (%)</v>
          </cell>
          <cell r="K8" t="str">
            <v>Rounding (dp)</v>
          </cell>
          <cell r="M8" t="str">
            <v>Currency</v>
          </cell>
          <cell r="N8" t="str">
            <v>6pd USD Based
Rate*</v>
          </cell>
          <cell r="O8" t="str">
            <v>USD Based
Rate*</v>
          </cell>
          <cell r="P8" t="str">
            <v>Cross Currency
Uplift (%)</v>
          </cell>
          <cell r="Q8" t="str">
            <v>Rounding (dp)</v>
          </cell>
        </row>
        <row r="9">
          <cell r="A9" t="str">
            <v>AUD</v>
          </cell>
          <cell r="B9">
            <v>1.3278760000000001</v>
          </cell>
          <cell r="C9">
            <v>1.3278759999999998</v>
          </cell>
          <cell r="D9">
            <v>0</v>
          </cell>
          <cell r="E9">
            <v>2</v>
          </cell>
          <cell r="G9" t="str">
            <v>AUD</v>
          </cell>
          <cell r="H9">
            <v>1.3278760000000001</v>
          </cell>
          <cell r="I9">
            <v>1.3278759999999998</v>
          </cell>
          <cell r="J9">
            <v>0</v>
          </cell>
          <cell r="K9">
            <v>2</v>
          </cell>
          <cell r="M9" t="str">
            <v>AUD</v>
          </cell>
          <cell r="N9">
            <v>1.3278760000000001</v>
          </cell>
          <cell r="O9">
            <v>1.3278759999999998</v>
          </cell>
          <cell r="P9">
            <v>0</v>
          </cell>
          <cell r="Q9">
            <v>2</v>
          </cell>
        </row>
        <row r="10">
          <cell r="A10" t="str">
            <v>USD</v>
          </cell>
          <cell r="B10">
            <v>1</v>
          </cell>
          <cell r="C10">
            <v>1</v>
          </cell>
          <cell r="D10">
            <v>0</v>
          </cell>
          <cell r="E10">
            <v>2</v>
          </cell>
          <cell r="G10" t="str">
            <v>USD</v>
          </cell>
          <cell r="H10">
            <v>1</v>
          </cell>
          <cell r="I10">
            <v>1</v>
          </cell>
          <cell r="J10">
            <v>0</v>
          </cell>
          <cell r="K10">
            <v>2</v>
          </cell>
          <cell r="M10" t="str">
            <v>USD</v>
          </cell>
          <cell r="N10">
            <v>1</v>
          </cell>
          <cell r="O10">
            <v>1</v>
          </cell>
          <cell r="P10">
            <v>0</v>
          </cell>
          <cell r="Q10">
            <v>2</v>
          </cell>
        </row>
        <row r="11">
          <cell r="A11" t="str">
            <v>EUR</v>
          </cell>
          <cell r="B11">
            <v>0.84828000000000003</v>
          </cell>
          <cell r="C11">
            <v>0.84828000000000003</v>
          </cell>
          <cell r="D11">
            <v>0</v>
          </cell>
          <cell r="E11">
            <v>2</v>
          </cell>
          <cell r="G11" t="str">
            <v>EUR</v>
          </cell>
          <cell r="H11">
            <v>0.84828000000000003</v>
          </cell>
          <cell r="I11">
            <v>0.84828000000000003</v>
          </cell>
          <cell r="J11">
            <v>0</v>
          </cell>
          <cell r="K11">
            <v>2</v>
          </cell>
          <cell r="M11" t="str">
            <v>EUR</v>
          </cell>
          <cell r="N11">
            <v>0.84828000000000003</v>
          </cell>
          <cell r="O11">
            <v>0.84828000000000003</v>
          </cell>
          <cell r="P11">
            <v>0</v>
          </cell>
          <cell r="Q11">
            <v>2</v>
          </cell>
        </row>
        <row r="12">
          <cell r="A12" t="str">
            <v>GBP</v>
          </cell>
          <cell r="B12">
            <v>0.74038499999999996</v>
          </cell>
          <cell r="C12">
            <v>0.74038460000000006</v>
          </cell>
          <cell r="D12">
            <v>0</v>
          </cell>
          <cell r="E12">
            <v>2</v>
          </cell>
          <cell r="G12" t="str">
            <v>GBP</v>
          </cell>
          <cell r="H12">
            <v>0.74038499999999996</v>
          </cell>
          <cell r="I12">
            <v>0.74038460000000006</v>
          </cell>
          <cell r="J12">
            <v>0</v>
          </cell>
          <cell r="K12">
            <v>2</v>
          </cell>
          <cell r="M12" t="str">
            <v>GBP</v>
          </cell>
          <cell r="N12">
            <v>0.74038499999999996</v>
          </cell>
          <cell r="O12">
            <v>0.74038460000000006</v>
          </cell>
          <cell r="P12">
            <v>0</v>
          </cell>
          <cell r="Q12">
            <v>2</v>
          </cell>
        </row>
        <row r="13">
          <cell r="A13" t="str">
            <v>SGD</v>
          </cell>
          <cell r="B13">
            <v>1.3557699999999999</v>
          </cell>
          <cell r="C13">
            <v>1.3557699999999999</v>
          </cell>
          <cell r="D13">
            <v>0</v>
          </cell>
          <cell r="E13">
            <v>2</v>
          </cell>
          <cell r="G13" t="str">
            <v>SGD</v>
          </cell>
          <cell r="H13">
            <v>1.3557699999999999</v>
          </cell>
          <cell r="I13">
            <v>1.3557699999999999</v>
          </cell>
          <cell r="J13">
            <v>0</v>
          </cell>
          <cell r="K13">
            <v>2</v>
          </cell>
          <cell r="M13" t="str">
            <v>SGD</v>
          </cell>
          <cell r="N13">
            <v>1.3557699999999999</v>
          </cell>
          <cell r="O13">
            <v>1.3557699999999999</v>
          </cell>
          <cell r="P13">
            <v>0</v>
          </cell>
          <cell r="Q13">
            <v>2</v>
          </cell>
        </row>
        <row r="14">
          <cell r="A14" t="str">
            <v>ZAR</v>
          </cell>
          <cell r="B14">
            <v>14.70119</v>
          </cell>
          <cell r="C14">
            <v>14.70119</v>
          </cell>
          <cell r="D14">
            <v>0</v>
          </cell>
          <cell r="E14">
            <v>2</v>
          </cell>
          <cell r="G14" t="str">
            <v>ZAR</v>
          </cell>
          <cell r="H14">
            <v>14.70119</v>
          </cell>
          <cell r="I14">
            <v>14.70119</v>
          </cell>
          <cell r="J14">
            <v>0</v>
          </cell>
          <cell r="K14">
            <v>2</v>
          </cell>
          <cell r="M14" t="str">
            <v>ZAR</v>
          </cell>
          <cell r="N14">
            <v>14.70119</v>
          </cell>
          <cell r="O14">
            <v>14.70119</v>
          </cell>
          <cell r="P14">
            <v>0</v>
          </cell>
          <cell r="Q14">
            <v>2</v>
          </cell>
        </row>
        <row r="15">
          <cell r="A15" t="str">
            <v>NZD</v>
          </cell>
          <cell r="B15">
            <v>1.4313910000000001</v>
          </cell>
          <cell r="C15">
            <v>1.4313910000000001</v>
          </cell>
          <cell r="D15">
            <v>0</v>
          </cell>
          <cell r="E15">
            <v>2</v>
          </cell>
          <cell r="G15" t="str">
            <v>NZD</v>
          </cell>
          <cell r="H15">
            <v>1.4313910000000001</v>
          </cell>
          <cell r="I15">
            <v>1.4313910000000001</v>
          </cell>
          <cell r="J15">
            <v>0</v>
          </cell>
          <cell r="K15">
            <v>2</v>
          </cell>
          <cell r="M15" t="str">
            <v>NZD</v>
          </cell>
          <cell r="N15">
            <v>1.4313910000000001</v>
          </cell>
          <cell r="O15">
            <v>1.4313910000000001</v>
          </cell>
          <cell r="P15">
            <v>0</v>
          </cell>
          <cell r="Q15">
            <v>2</v>
          </cell>
        </row>
        <row r="16">
          <cell r="A16" t="str">
            <v>CAD</v>
          </cell>
          <cell r="B16">
            <v>1.2720499999999999</v>
          </cell>
          <cell r="C16">
            <v>1.2720500000000001</v>
          </cell>
          <cell r="D16">
            <v>0</v>
          </cell>
          <cell r="E16">
            <v>2</v>
          </cell>
          <cell r="G16" t="str">
            <v>CAD</v>
          </cell>
          <cell r="H16">
            <v>1.2720499999999999</v>
          </cell>
          <cell r="I16">
            <v>1.2720500000000001</v>
          </cell>
          <cell r="J16">
            <v>0</v>
          </cell>
          <cell r="K16">
            <v>2</v>
          </cell>
          <cell r="M16" t="str">
            <v>CAD</v>
          </cell>
          <cell r="N16">
            <v>1.2720499999999999</v>
          </cell>
          <cell r="O16">
            <v>1.2720500000000001</v>
          </cell>
          <cell r="P16">
            <v>0</v>
          </cell>
          <cell r="Q16">
            <v>2</v>
          </cell>
        </row>
        <row r="17">
          <cell r="A17" t="str">
            <v>CNY</v>
          </cell>
          <cell r="B17">
            <v>6.6590299999999996</v>
          </cell>
          <cell r="C17">
            <v>6.6590299999999996</v>
          </cell>
          <cell r="D17">
            <v>0</v>
          </cell>
          <cell r="E17">
            <v>2</v>
          </cell>
          <cell r="G17" t="str">
            <v>CNY</v>
          </cell>
          <cell r="H17">
            <v>6.6590299999999996</v>
          </cell>
          <cell r="I17">
            <v>6.6590299999999996</v>
          </cell>
          <cell r="J17">
            <v>0</v>
          </cell>
          <cell r="K17">
            <v>2</v>
          </cell>
          <cell r="M17" t="str">
            <v>CNY</v>
          </cell>
          <cell r="N17">
            <v>6.6590299999999996</v>
          </cell>
          <cell r="O17">
            <v>6.6590299999999996</v>
          </cell>
          <cell r="P17">
            <v>0</v>
          </cell>
          <cell r="Q17">
            <v>2</v>
          </cell>
        </row>
        <row r="18">
          <cell r="A18" t="str">
            <v>TWD</v>
          </cell>
          <cell r="B18">
            <v>28.595400000000001</v>
          </cell>
          <cell r="C18">
            <v>28.595400000000001</v>
          </cell>
          <cell r="D18">
            <v>0</v>
          </cell>
          <cell r="E18">
            <v>0</v>
          </cell>
          <cell r="G18" t="str">
            <v>TWD</v>
          </cell>
          <cell r="H18">
            <v>28.595400000000001</v>
          </cell>
          <cell r="I18">
            <v>28.595400000000001</v>
          </cell>
          <cell r="J18">
            <v>0</v>
          </cell>
          <cell r="K18">
            <v>0</v>
          </cell>
          <cell r="M18" t="str">
            <v>TWD</v>
          </cell>
          <cell r="N18">
            <v>28.595400000000001</v>
          </cell>
          <cell r="O18">
            <v>28.595400000000001</v>
          </cell>
          <cell r="P18">
            <v>0</v>
          </cell>
          <cell r="Q18">
            <v>0</v>
          </cell>
        </row>
        <row r="19">
          <cell r="A19" t="str">
            <v>HKD</v>
          </cell>
          <cell r="B19">
            <v>7.7506199999999996</v>
          </cell>
          <cell r="C19">
            <v>7.7506199999999996</v>
          </cell>
          <cell r="D19">
            <v>0</v>
          </cell>
          <cell r="E19">
            <v>2</v>
          </cell>
          <cell r="G19" t="str">
            <v>HKD</v>
          </cell>
          <cell r="H19">
            <v>7.7506199999999996</v>
          </cell>
          <cell r="I19">
            <v>7.7506199999999996</v>
          </cell>
          <cell r="J19">
            <v>0</v>
          </cell>
          <cell r="K19">
            <v>2</v>
          </cell>
          <cell r="M19" t="str">
            <v>HKD</v>
          </cell>
          <cell r="N19">
            <v>7.7506199999999996</v>
          </cell>
          <cell r="O19">
            <v>7.7506199999999996</v>
          </cell>
          <cell r="P19">
            <v>0</v>
          </cell>
          <cell r="Q19">
            <v>2</v>
          </cell>
        </row>
        <row r="60">
          <cell r="A60" t="str">
            <v>STL Standard</v>
          </cell>
          <cell r="B60" t="str">
            <v>All standard discount quoted applicable</v>
          </cell>
          <cell r="C60" t="str">
            <v>Y</v>
          </cell>
          <cell r="D60">
            <v>0.1</v>
          </cell>
          <cell r="E60">
            <v>0.4</v>
          </cell>
          <cell r="F60"/>
          <cell r="G60">
            <v>0</v>
          </cell>
          <cell r="H60">
            <v>0.05</v>
          </cell>
          <cell r="I60">
            <v>0</v>
          </cell>
          <cell r="J60">
            <v>2.5000000000000001E-2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A61" t="str">
            <v>Core Standard</v>
          </cell>
          <cell r="B61" t="str">
            <v>Domestic + Developing + All standard discount quoted applicable</v>
          </cell>
          <cell r="C61" t="str">
            <v>Y</v>
          </cell>
          <cell r="D61">
            <v>0.1</v>
          </cell>
          <cell r="E61">
            <v>0.4</v>
          </cell>
          <cell r="F61"/>
          <cell r="G61">
            <v>0</v>
          </cell>
          <cell r="H61">
            <v>0.05</v>
          </cell>
          <cell r="I61">
            <v>0</v>
          </cell>
          <cell r="J61">
            <v>2.5000000000000001E-2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A62" t="str">
            <v>Core Non-Volume</v>
          </cell>
          <cell r="B62" t="str">
            <v>Sames as Core Standard, but Core not in Standard Volume Discount</v>
          </cell>
          <cell r="C62" t="str">
            <v>N</v>
          </cell>
          <cell r="D62">
            <v>0.1</v>
          </cell>
          <cell r="E62">
            <v>0.4</v>
          </cell>
          <cell r="F62"/>
          <cell r="G62">
            <v>0</v>
          </cell>
          <cell r="H62">
            <v>0.05</v>
          </cell>
          <cell r="I62">
            <v>0</v>
          </cell>
          <cell r="J62">
            <v>2.5000000000000001E-2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A63" t="str">
            <v>Prepayment Only</v>
          </cell>
          <cell r="B63" t="str">
            <v>No discount, only prepayment applies</v>
          </cell>
          <cell r="C63" t="str">
            <v>N</v>
          </cell>
          <cell r="D63">
            <v>0</v>
          </cell>
          <cell r="E63">
            <v>0</v>
          </cell>
          <cell r="F63"/>
          <cell r="G63">
            <v>0</v>
          </cell>
          <cell r="H63">
            <v>0</v>
          </cell>
          <cell r="I63">
            <v>0</v>
          </cell>
          <cell r="J63">
            <v>2.5000000000000001E-2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 t="str">
            <v>0 Discount</v>
          </cell>
          <cell r="B64" t="str">
            <v>No discount at all</v>
          </cell>
          <cell r="C64" t="str">
            <v>N</v>
          </cell>
          <cell r="D64">
            <v>0</v>
          </cell>
          <cell r="E64">
            <v>0</v>
          </cell>
          <cell r="F64"/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A65" t="str">
            <v>STL Standard ex Volume</v>
          </cell>
          <cell r="B65" t="str">
            <v>All standard discount quoted applicable excluding volume discount</v>
          </cell>
          <cell r="C65" t="str">
            <v>Y</v>
          </cell>
          <cell r="D65">
            <v>0.1</v>
          </cell>
          <cell r="E65">
            <v>0.4</v>
          </cell>
          <cell r="F65"/>
          <cell r="G65">
            <v>0</v>
          </cell>
          <cell r="H65">
            <v>0.05</v>
          </cell>
          <cell r="I65">
            <v>0</v>
          </cell>
          <cell r="J65">
            <v>2.5000000000000001E-2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 t="str">
            <v>Special</v>
          </cell>
          <cell r="B66" t="str">
            <v>Refer to 'Non-Standard' Tab</v>
          </cell>
          <cell r="C66" t="str">
            <v>Please refer to "Non-Standard" Tab</v>
          </cell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4B3578-64A2-48FD-9382-FBD468F212F2}" name="VersionControl" displayName="VersionControl" ref="B3:E11" totalsRowShown="0" headerRowDxfId="109" dataDxfId="108">
  <autoFilter ref="B3:E11" xr:uid="{C94B3578-64A2-48FD-9382-FBD468F212F2}"/>
  <tableColumns count="4">
    <tableColumn id="1" xr3:uid="{10A7E288-DE7A-40EF-A114-F071D92374F7}" name="Version #" dataDxfId="107"/>
    <tableColumn id="2" xr3:uid="{F08E31CE-694E-4D56-8D7F-9686EB09FCE0}" name="Change Log" dataDxfId="106"/>
    <tableColumn id="3" xr3:uid="{B1AA35CD-4948-42CC-B353-72D6FB1EA495}" name="Author" dataDxfId="105"/>
    <tableColumn id="4" xr3:uid="{E2235087-B312-425A-8658-9C75CF51CD90}" name="Date" dataDxfId="104"/>
  </tableColumns>
  <tableStyleInfo name="PricelistTableStyle0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LExchangeRates" displayName="STLExchangeRates" ref="B9:H13" totalsRowShown="0" headerRowDxfId="103" dataDxfId="102">
  <autoFilter ref="B9:H13" xr:uid="{00000000-0009-0000-0100-000001000000}"/>
  <tableColumns count="7">
    <tableColumn id="3" xr3:uid="{00000000-0010-0000-0000-000003000000}" name="STL Pricelist Version" dataDxfId="101"/>
    <tableColumn id="8" xr3:uid="{4FC448D1-B6AC-40CC-8EE6-7EF6BA29556A}" name="STL Pricelist PK"/>
    <tableColumn id="1" xr3:uid="{00000000-0010-0000-0000-000001000000}" name="Exchange Rate Group Code" dataDxfId="100"/>
    <tableColumn id="2" xr3:uid="{00000000-0010-0000-0000-000002000000}" name="Currency" dataDxfId="99"/>
    <tableColumn id="4" xr3:uid="{480C67C0-F056-493F-936B-83DA22AB0A95}" name="USD Based Rates" dataDxfId="98"/>
    <tableColumn id="5" xr3:uid="{4A8ADFAF-B5B7-46F5-8E2C-AA6D50B63BDA}" name="Uplift" dataDxfId="97"/>
    <tableColumn id="6" xr3:uid="{B06785AF-A879-4CAF-B346-5D8303B148A1}" name="Exchange Rate" dataDxfId="96">
      <calculatedColumnFormula>STLExchangeRates[[#This Row],[USD Based Rates]]*(1+STLExchangeRates[[#This Row],[Uplift]]/100)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ClientDetails" displayName="ClientDetails" ref="B6:M10" totalsRowShown="0" headerRowDxfId="95" dataDxfId="94">
  <autoFilter ref="B6:M10" xr:uid="{00000000-0009-0000-0100-000005000000}"/>
  <tableColumns count="12">
    <tableColumn id="2" xr3:uid="{00000000-0010-0000-0200-000002000000}" name="Paying Org Code" dataDxfId="93"/>
    <tableColumn id="3" xr3:uid="{00000000-0010-0000-0200-000003000000}" name="Paying Org Name" dataDxfId="92"/>
    <tableColumn id="12" xr3:uid="{C7EE8D4F-AC7A-4E79-B9B2-2C74A32FE867}" name="Server Code"/>
    <tableColumn id="5" xr3:uid="{00000000-0010-0000-0200-000005000000}" name="Enterprise Code" dataDxfId="91"/>
    <tableColumn id="4" xr3:uid="{00000000-0010-0000-0200-000004000000}" name="STL Pricelist Version" dataDxfId="90"/>
    <tableColumn id="13" xr3:uid="{40F534E9-4E99-4935-8DC3-BB230FFD3378}" name="STL Pricelist PK"/>
    <tableColumn id="6" xr3:uid="{00000000-0010-0000-0200-000006000000}" name="Currency" dataDxfId="89"/>
    <tableColumn id="7" xr3:uid="{00000000-0010-0000-0200-000007000000}" name="Volume Price Adjustment" dataDxfId="88"/>
    <tableColumn id="8" xr3:uid="{00000000-0010-0000-0200-000008000000}" name="Volume %" dataDxfId="87"/>
    <tableColumn id="9" xr3:uid="{00000000-0010-0000-0200-000009000000}" name="Volume Based Price Items" dataDxfId="86"/>
    <tableColumn id="10" xr3:uid="{00000000-0010-0000-0200-00000A000000}" name="Core Pack Excluded from Std volume discount" dataDxfId="85"/>
    <tableColumn id="11" xr3:uid="{5D57530A-7F64-4E76-9129-B4647089C118}" name="Core Uplift %" dataDxfId="84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E38BB3-3A31-4E2D-8330-85C3D6EEF882}" name="STLPriceMaster" displayName="STLPriceMaster" ref="B6:N10" totalsRowShown="0" headerRowDxfId="83" dataDxfId="82">
  <autoFilter ref="B6:N10" xr:uid="{70E38BB3-3A31-4E2D-8330-85C3D6EEF882}"/>
  <tableColumns count="13">
    <tableColumn id="15" xr3:uid="{C904B6CB-000A-4786-A806-52C4481BF380}" name="STL Pricelist Version" dataDxfId="81"/>
    <tableColumn id="1" xr3:uid="{36F2D9D2-5CAB-4EBE-9142-8CDE34677C1F}" name="STL Pricelist PK" dataDxfId="80"/>
    <tableColumn id="9" xr3:uid="{5992C95F-5B91-4AC5-AC49-99B903E71EA3}" name="Row" dataDxfId="79"/>
    <tableColumn id="11" xr3:uid="{72E6B54A-E154-4639-B878-1E8F45A1CB6A}" name="Category" dataDxfId="78"/>
    <tableColumn id="10" xr3:uid="{54E7D77F-B38A-4CAD-A63A-717E62907983}" name="Code" dataDxfId="77"/>
    <tableColumn id="2" xr3:uid="{D2594B77-B9A3-45FA-8490-DE8461DE1AF7}" name="Description" dataDxfId="76"/>
    <tableColumn id="3" xr3:uid="{B83E045A-8241-4A42-8CA4-31C5CB5C13C5}" name="Available" dataDxfId="75"/>
    <tableColumn id="12" xr3:uid="{3AB49F17-5B4D-4B6D-86B9-9F47716CE068}" name="Report Category" dataDxfId="74"/>
    <tableColumn id="5" xr3:uid="{A329578A-D3C0-4382-ABA9-E32B0EC99973}" name="Base Price (USD)" dataDxfId="73"/>
    <tableColumn id="4" xr3:uid="{DBCB6E00-8498-49D6-B81A-B72BE3C6139D}" name="Charge Basis / Entity counted" dataDxfId="72"/>
    <tableColumn id="6" xr3:uid="{EA3F174A-4375-44D9-A0A2-25EADCF43DDE}" name="Exchange Rate Group" dataDxfId="71"/>
    <tableColumn id="7" xr3:uid="{F16748B5-AEE2-4ED5-8116-53F99BDC93F3}" name="Eligible For Volume Adjustments" dataDxfId="70"/>
    <tableColumn id="8" xr3:uid="{B77E96DF-11F9-4B21-BE27-96E2102C9699}" name="License Units" dataDxfId="69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CED1E62-AFF7-4E71-80DF-089BAAEA07FE}" name="BORPriceMaster" displayName="BORPriceMaster" ref="B6:M10" totalsRowShown="0" headerRowDxfId="68" dataDxfId="67">
  <autoFilter ref="B6:M10" xr:uid="{82C804E5-DF01-4ED8-9DC7-8DFA7D38C37C}"/>
  <tableColumns count="12">
    <tableColumn id="9" xr3:uid="{D7191FBA-9C96-464B-8BDA-34C27A1E6376}" name="BOR Pricelist Version" dataDxfId="66"/>
    <tableColumn id="7" xr3:uid="{564AF8DD-DE21-4E7F-BEEB-A5044217AB0F}" name="BOR Pricelist PK" dataDxfId="65"/>
    <tableColumn id="1" xr3:uid="{06D3A4E6-CA89-4CA7-AC07-0268A46D1DBF}" name="Row" dataDxfId="64"/>
    <tableColumn id="11" xr3:uid="{3EBD5DEB-4A80-4292-AE3B-10F3D24B0E95}" name="Category" dataDxfId="63"/>
    <tableColumn id="10" xr3:uid="{21EE8BA6-19C6-4828-ADE6-A995CA5693E0}" name="Code" dataDxfId="62"/>
    <tableColumn id="2" xr3:uid="{1A29DE17-D0D8-456F-AC30-1D2EC3BFE3CC}" name="Description" dataDxfId="61"/>
    <tableColumn id="3" xr3:uid="{465EE5EF-16B9-402F-89B1-D27AFCC9F86C}" name="Available" dataDxfId="60"/>
    <tableColumn id="5" xr3:uid="{A7219120-99F4-4970-B8E6-9E0ABCC879EA}" name="Base Price" dataDxfId="59"/>
    <tableColumn id="4" xr3:uid="{78BFB359-AF7C-45A1-BC64-17CB180396BC}" name="Charge Basis / Entity counted" dataDxfId="58"/>
    <tableColumn id="6" xr3:uid="{05350D5D-914E-40A3-BA14-CA82847A1DE7}" name="Currency" dataDxfId="57"/>
    <tableColumn id="12" xr3:uid="{99FD20F0-C960-43FB-8F64-F67AD8134CA7}" name="Eligible For Volume Adjustments" dataDxfId="56"/>
    <tableColumn id="8" xr3:uid="{7F10278F-C24A-4FCF-ACA8-02A5ADCAA3A4}" name="License Units" dataDxfId="55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942DF7D-CA16-4559-A8BB-6DF84C9FA40F}" name="NonSTLPriceMaster" displayName="NonSTLPriceMaster" ref="B6:AH10" totalsRowShown="0" headerRowDxfId="54" dataDxfId="53">
  <autoFilter ref="B6:AH10" xr:uid="{E942DF7D-CA16-4559-A8BB-6DF84C9FA40F}"/>
  <tableColumns count="33">
    <tableColumn id="9" xr3:uid="{98181CC0-B695-44BA-9E45-8985509A6BD5}" name="System" dataDxfId="52"/>
    <tableColumn id="7" xr3:uid="{D8F1C541-DF13-481F-8E7E-1247B2E2EB83}" name="Country" dataDxfId="51"/>
    <tableColumn id="1" xr3:uid="{505B2A83-D11F-4696-8C89-EBAE4C11FC88}" name="Currency" dataDxfId="50"/>
    <tableColumn id="11" xr3:uid="{D29321DD-6147-435A-A44F-77E3EDA0F602}" name="Licence" dataDxfId="49"/>
    <tableColumn id="10" xr3:uid="{04B456C6-D630-4856-9631-4AC55AD219DA}" name="Valid From" dataDxfId="48"/>
    <tableColumn id="2" xr3:uid="{DD217DFA-AB25-4C56-92B7-D4743BD7C2BB}" name="Version" dataDxfId="47"/>
    <tableColumn id="3" xr3:uid="{CAC43CB8-6689-4022-8E42-4BAD358BA480}" name="Pricelist PK" dataDxfId="46"/>
    <tableColumn id="5" xr3:uid="{6B65A9D3-A252-433E-B8B1-B003EEAFCFF9}" name="Std?" dataDxfId="45"/>
    <tableColumn id="4" xr3:uid="{8E22FBA8-25F9-4906-9CC8-7DA44A01D00D}" name="Valid To" dataDxfId="44"/>
    <tableColumn id="6" xr3:uid="{E92025F8-CFC3-427A-9761-4B89ACD93AEA}" name="Row" dataDxfId="43"/>
    <tableColumn id="12" xr3:uid="{95D5E7C4-778E-40DF-AA66-2CC7E569A764}" name="Category" dataDxfId="42"/>
    <tableColumn id="20" xr3:uid="{18CF5177-F03E-4783-9070-57E6924FC83B}" name="Code" dataDxfId="41"/>
    <tableColumn id="19" xr3:uid="{CF5F3BF5-1A96-496A-AE51-06971790E6B5}" name="Name" dataDxfId="40"/>
    <tableColumn id="18" xr3:uid="{10B4EAFB-7479-4574-9EF8-71B2064E0833}" name="Exchange Rate Group" dataDxfId="39"/>
    <tableColumn id="16" xr3:uid="{C6D31A33-CE63-4AC8-831A-593B7BB31EDB}" name="Fee Code" dataDxfId="38"/>
    <tableColumn id="14" xr3:uid="{AADA8800-1121-4D3B-8C62-9671E53BB9F2}" name="Licence Units" dataDxfId="37"/>
    <tableColumn id="28" xr3:uid="{72310718-16FA-41D9-93DA-013F03216EB9}" name="Base Price" dataDxfId="36"/>
    <tableColumn id="27" xr3:uid="{1C4CAEF9-A6D1-42FF-82EA-FD72B2150DB2}" name="Parent Category" dataDxfId="35"/>
    <tableColumn id="26" xr3:uid="{25481101-4866-48C0-9017-2B5ADC7F51BF}" name="Parent Code" dataDxfId="34"/>
    <tableColumn id="25" xr3:uid="{941DBF2E-8B30-4E7B-9BC1-0BE0ED346ADF}" name="Break" dataDxfId="33"/>
    <tableColumn id="24" xr3:uid="{F53EF361-7DC0-4EB0-B873-CAA17EEB7100}" name="Break Parent" dataDxfId="32"/>
    <tableColumn id="23" xr3:uid="{446067B3-E6E2-4D11-A29A-EE3DFC7D74C5}" name="Web Parent" dataDxfId="31"/>
    <tableColumn id="22" xr3:uid="{502B62C1-1CB1-4464-A123-30E88DE7358C}" name="Currency2" dataDxfId="30"/>
    <tableColumn id="21" xr3:uid="{BBBE6E7F-E492-452A-A912-A7A46257E640}" name="Sub Code" dataDxfId="29"/>
    <tableColumn id="34" xr3:uid="{49B03643-B936-4E38-B747-AC024C3D7164}" name="Discount Structure" dataDxfId="28"/>
    <tableColumn id="33" xr3:uid="{23F7232A-92CD-43A9-A26E-A2D50AD88225}" name="Charge Code" dataDxfId="27"/>
    <tableColumn id="32" xr3:uid="{6145155F-2782-4DF2-95EE-4D923DFD9FA4}" name="Deposit Charge Code" dataDxfId="26"/>
    <tableColumn id="31" xr3:uid="{ED3EF1BB-64B7-4595-AF28-E3257148C82F}" name="Discount Charge Code" dataDxfId="25"/>
    <tableColumn id="30" xr3:uid="{38B288F5-1153-461D-9898-BBC1649D9C96}" name="Charge Basis" dataDxfId="24"/>
    <tableColumn id="29" xr3:uid="{DE98F52B-98CB-4109-BA73-AB1AEE1C0D49}" name="Language" dataDxfId="23"/>
    <tableColumn id="13" xr3:uid="{1937F8EB-9A9A-4A14-BB7D-8D154A687CD9}" name="Eligible For Volume Adjustments" dataDxfId="22"/>
    <tableColumn id="36" xr3:uid="{46E658F6-511A-48EC-BC87-74A2BFE79E90}" name="Available" dataDxfId="21"/>
    <tableColumn id="8" xr3:uid="{A42ED32B-CB9A-4404-9505-0A5367F59A72}" name="Report Category" dataDxfId="20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531407-829A-4771-AC8E-8FCB581D4983}" name="STLdiscountVolume" displayName="STLdiscountVolume" ref="B6:E10" totalsRowShown="0" headerRowDxfId="19" dataDxfId="18">
  <autoFilter ref="B6:E10" xr:uid="{31531407-829A-4771-AC8E-8FCB581D4983}"/>
  <tableColumns count="4">
    <tableColumn id="3" xr3:uid="{D5FC7FE4-B02B-4CF1-9E83-DBE7C223EEFA}" name="STL Pricelist Version" dataDxfId="17"/>
    <tableColumn id="1" xr3:uid="{C02D6E21-5533-4B4F-A8D3-A9F50B42DD7C}" name="STL Pricelist PK"/>
    <tableColumn id="8" xr3:uid="{5C21DEB2-EBBA-4BF6-B7BB-892944583657}" name="Seat + Transaction (STL) Discount Scales [Units Greater than]"/>
    <tableColumn id="6" xr3:uid="{9E780E53-1DF9-4634-85CB-3B77A0DF5462}" name="Volume Usage Discount" dataDxfId="16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4237893-32C2-4601-915F-FA10BE28EC8A}" name="STLDiscountWCIntro" displayName="STLDiscountWCIntro" ref="B6:F10" totalsRowShown="0" headerRowDxfId="15" dataDxfId="14">
  <autoFilter ref="B6:F10" xr:uid="{64237893-32C2-4601-915F-FA10BE28EC8A}"/>
  <tableColumns count="5">
    <tableColumn id="3" xr3:uid="{D61A009C-B482-412E-8FBF-8B6655114205}" name="STL Pricelist Version" dataDxfId="13"/>
    <tableColumn id="1" xr3:uid="{7D057765-4E62-4E0B-9DDA-431232C36E09}" name="STL Pricelist PK"/>
    <tableColumn id="2" xr3:uid="{87691A4B-4BED-49DA-AB6D-21C2A2EF8862}" name="Discount Code"/>
    <tableColumn id="8" xr3:uid="{0837B732-D983-44AC-8AA9-B84A8144BBA8}" name="CargoWise Cloud Introductory Discount"/>
    <tableColumn id="6" xr3:uid="{2F1971BC-0A0A-4075-8D66-A11733425547}" name="Discount" dataDxfId="12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8F4276-481A-44E7-B867-447F0DFB9190}" name="STLDiscountPrepayment" displayName="STLDiscountPrepayment" ref="B6:F10" totalsRowShown="0" headerRowDxfId="11" dataDxfId="10">
  <autoFilter ref="B6:F10" xr:uid="{B78F4276-481A-44E7-B867-447F0DFB9190}"/>
  <tableColumns count="5">
    <tableColumn id="3" xr3:uid="{C2E9D819-6421-439C-BD8F-3A3BDF575750}" name="STL Pricelist Version" dataDxfId="9"/>
    <tableColumn id="1" xr3:uid="{514CEAD6-24DB-4815-9A91-EE183D8F85BB}" name="STL Pricelist PK"/>
    <tableColumn id="2" xr3:uid="{F9B92531-04AA-4344-96E9-6FF70CB64045}" name="Discount Code"/>
    <tableColumn id="8" xr3:uid="{DE6A54FF-D346-4CEA-A300-62D2ACB59E54}" name="Prepayment Discount"/>
    <tableColumn id="6" xr3:uid="{6E0B8DF4-DEE1-4BB7-8EF6-155EB2EBE594}" name="Discount" dataDxfId="8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2E8A6B-B752-4553-BA91-3C4EA4FB8FC9}" name="STLDiscountWisePartner" displayName="STLDiscountWisePartner" ref="B6:F10" totalsRowShown="0" headerRowDxfId="7" dataDxfId="6">
  <autoFilter ref="B6:F10" xr:uid="{F72E8A6B-B752-4553-BA91-3C4EA4FB8FC9}"/>
  <tableColumns count="5">
    <tableColumn id="3" xr3:uid="{6DB1F5A5-6AF0-42AA-87EB-E0F7EF3EB8D4}" name="STL Pricelist Version" dataDxfId="5"/>
    <tableColumn id="1" xr3:uid="{83F19D35-ED26-49F8-95D3-574D02561335}" name="STL Pricelist PK"/>
    <tableColumn id="2" xr3:uid="{8EE3AB9D-1F38-4A21-B202-954DE13B0390}" name="Discount Code"/>
    <tableColumn id="8" xr3:uid="{91907218-D60A-42FB-9617-6272F66716EA}" name="CargoWise Industry Partner Discount"/>
    <tableColumn id="6" xr3:uid="{D92191E5-4E39-49A4-81D8-C921B0F097D1}" name="Discount" dataDxfId="4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F1B119F-F85C-4F5F-ADBA-DCD6A6E886EE}" name="STLDiscountCertification" displayName="STLDiscountCertification" ref="B6:F10" totalsRowShown="0" headerRowDxfId="3" dataDxfId="2">
  <autoFilter ref="B6:F10" xr:uid="{9F1B119F-F85C-4F5F-ADBA-DCD6A6E886EE}"/>
  <tableColumns count="5">
    <tableColumn id="3" xr3:uid="{6488CA85-9C55-40D1-B470-B99CC0D7C0EE}" name="STL Pricelist Version" dataDxfId="1"/>
    <tableColumn id="1" xr3:uid="{D1270469-6907-41A0-90DC-56916E445CC1}" name="STL Pricelist PK"/>
    <tableColumn id="2" xr3:uid="{5C1AF64F-CD7E-451E-9091-E21AF7AA9B8F}" name="Discount Code"/>
    <tableColumn id="8" xr3:uid="{FE2E849E-9102-4424-B4BE-4AF63E3F7BAA}" name="Certified Discount"/>
    <tableColumn id="6" xr3:uid="{85EFBC31-A346-4FD9-8B1B-4A7CE5B2E5A3}" name="Discount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A47E-8552-4B90-B871-FEFD34F56643}">
  <sheetPr>
    <pageSetUpPr fitToPage="1"/>
  </sheetPr>
  <dimension ref="A1:E12"/>
  <sheetViews>
    <sheetView tabSelected="1" zoomScaleNormal="100" workbookViewId="0">
      <selection activeCell="B4" sqref="B4"/>
    </sheetView>
  </sheetViews>
  <sheetFormatPr defaultRowHeight="15" x14ac:dyDescent="0.25"/>
  <cols>
    <col min="1" max="1" width="8.7109375" customWidth="1"/>
    <col min="2" max="2" width="13.7109375" customWidth="1"/>
    <col min="3" max="3" width="50.7109375" customWidth="1"/>
    <col min="4" max="4" width="18.7109375" customWidth="1"/>
    <col min="5" max="5" width="12.7109375" customWidth="1"/>
  </cols>
  <sheetData>
    <row r="1" spans="1:5" x14ac:dyDescent="0.25">
      <c r="A1" s="20" t="s">
        <v>21</v>
      </c>
      <c r="B1" s="20"/>
      <c r="C1" s="20"/>
      <c r="D1" s="20"/>
      <c r="E1" s="20"/>
    </row>
    <row r="2" spans="1:5" x14ac:dyDescent="0.25">
      <c r="A2" s="20" t="s">
        <v>146</v>
      </c>
      <c r="B2" s="20"/>
      <c r="C2" s="20"/>
      <c r="D2" s="20"/>
      <c r="E2" s="20"/>
    </row>
    <row r="3" spans="1:5" x14ac:dyDescent="0.25">
      <c r="A3" s="20"/>
      <c r="B3" s="49" t="s">
        <v>147</v>
      </c>
      <c r="C3" s="49" t="s">
        <v>148</v>
      </c>
      <c r="D3" s="49" t="s">
        <v>149</v>
      </c>
      <c r="E3" s="49" t="s">
        <v>26</v>
      </c>
    </row>
    <row r="4" spans="1:5" x14ac:dyDescent="0.25">
      <c r="A4" s="20"/>
      <c r="B4" s="50">
        <v>1</v>
      </c>
      <c r="C4" s="51" t="s">
        <v>150</v>
      </c>
      <c r="D4" s="51" t="s">
        <v>151</v>
      </c>
      <c r="E4" s="52">
        <v>44823</v>
      </c>
    </row>
    <row r="5" spans="1:5" ht="25.5" x14ac:dyDescent="0.25">
      <c r="A5" s="20"/>
      <c r="B5" s="50">
        <v>1.1000000000000001</v>
      </c>
      <c r="C5" s="51" t="s">
        <v>156</v>
      </c>
      <c r="D5" s="51" t="s">
        <v>155</v>
      </c>
      <c r="E5" s="52">
        <v>44833</v>
      </c>
    </row>
    <row r="6" spans="1:5" ht="25.5" x14ac:dyDescent="0.25">
      <c r="A6" s="20"/>
      <c r="B6" s="50">
        <v>1.2</v>
      </c>
      <c r="C6" s="51" t="s">
        <v>158</v>
      </c>
      <c r="D6" s="51" t="s">
        <v>157</v>
      </c>
      <c r="E6" s="52">
        <v>44855</v>
      </c>
    </row>
    <row r="7" spans="1:5" x14ac:dyDescent="0.25">
      <c r="A7" s="20"/>
      <c r="B7" s="50"/>
      <c r="C7" s="51"/>
      <c r="D7" s="51"/>
      <c r="E7" s="52"/>
    </row>
    <row r="8" spans="1:5" x14ac:dyDescent="0.25">
      <c r="A8" s="20"/>
      <c r="B8" s="50"/>
      <c r="C8" s="51"/>
      <c r="D8" s="51"/>
      <c r="E8" s="52"/>
    </row>
    <row r="9" spans="1:5" x14ac:dyDescent="0.25">
      <c r="A9" s="20"/>
      <c r="B9" s="50"/>
      <c r="C9" s="51"/>
      <c r="D9" s="51"/>
      <c r="E9" s="52"/>
    </row>
    <row r="10" spans="1:5" x14ac:dyDescent="0.25">
      <c r="A10" s="20"/>
      <c r="B10" s="50"/>
      <c r="C10" s="51"/>
      <c r="D10" s="51"/>
      <c r="E10" s="52"/>
    </row>
    <row r="11" spans="1:5" x14ac:dyDescent="0.25">
      <c r="A11" s="20"/>
      <c r="B11" s="50"/>
      <c r="C11" s="51"/>
      <c r="D11" s="51"/>
      <c r="E11" s="52"/>
    </row>
    <row r="12" spans="1:5" x14ac:dyDescent="0.25">
      <c r="A12" s="20" t="s">
        <v>24</v>
      </c>
      <c r="B12" s="20"/>
      <c r="C12" s="20"/>
      <c r="D12" s="20"/>
      <c r="E12" s="20"/>
    </row>
  </sheetData>
  <pageMargins left="0.7" right="0.7" top="0.75" bottom="0.75" header="0.3" footer="0.3"/>
  <pageSetup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5"/>
  <sheetViews>
    <sheetView topLeftCell="A2" zoomScaleNormal="100" workbookViewId="0">
      <selection activeCell="A2" sqref="A2"/>
    </sheetView>
  </sheetViews>
  <sheetFormatPr defaultRowHeight="15" x14ac:dyDescent="0.25"/>
  <cols>
    <col min="2" max="2" width="28.7109375" customWidth="1"/>
    <col min="3" max="3" width="38.7109375" customWidth="1"/>
    <col min="4" max="4" width="18.7109375" customWidth="1"/>
    <col min="5" max="5" width="18" customWidth="1"/>
    <col min="6" max="6" width="20.7109375" customWidth="1"/>
    <col min="7" max="7" width="14.140625" customWidth="1"/>
    <col min="8" max="8" width="18.7109375" customWidth="1"/>
  </cols>
  <sheetData>
    <row r="1" spans="1:27" s="11" customFormat="1" x14ac:dyDescent="0.25">
      <c r="A1" s="14" t="s">
        <v>21</v>
      </c>
      <c r="B1" s="14"/>
      <c r="C1" s="14"/>
      <c r="D1" s="13"/>
      <c r="E1" s="13"/>
      <c r="F1" s="17"/>
      <c r="G1" s="17"/>
      <c r="H1" s="13"/>
      <c r="I1" s="13"/>
      <c r="J1" s="17"/>
      <c r="K1" s="17"/>
      <c r="L1" s="17"/>
      <c r="M1" s="17"/>
      <c r="N1" s="17"/>
      <c r="O1" s="13"/>
      <c r="P1" s="13"/>
      <c r="Q1" s="13"/>
      <c r="R1" s="13"/>
      <c r="S1" s="13"/>
      <c r="T1" s="18"/>
      <c r="U1" s="17"/>
      <c r="V1" s="17"/>
      <c r="W1" s="13"/>
      <c r="X1" s="13"/>
      <c r="Y1" s="13"/>
      <c r="Z1" s="13"/>
      <c r="AA1"/>
    </row>
    <row r="2" spans="1:27" s="11" customFormat="1" x14ac:dyDescent="0.25">
      <c r="A2" s="14" t="s">
        <v>22</v>
      </c>
      <c r="B2" s="14"/>
      <c r="C2" s="14"/>
      <c r="D2" s="13"/>
      <c r="E2" s="13"/>
      <c r="F2" s="17"/>
      <c r="G2" s="17"/>
      <c r="H2" s="13"/>
      <c r="I2" s="13"/>
      <c r="J2" s="17"/>
      <c r="K2" s="17"/>
      <c r="L2" s="17"/>
      <c r="M2" s="17"/>
      <c r="N2" s="17"/>
      <c r="O2" s="13"/>
      <c r="P2" s="13"/>
      <c r="Q2" s="13"/>
      <c r="R2" s="13"/>
      <c r="S2" s="13"/>
      <c r="T2" s="18"/>
      <c r="U2" s="17"/>
      <c r="V2" s="17"/>
      <c r="W2" s="13"/>
      <c r="X2" s="13"/>
      <c r="Y2" s="13"/>
      <c r="Z2" s="13"/>
      <c r="AA2"/>
    </row>
    <row r="3" spans="1:27" s="11" customFormat="1" x14ac:dyDescent="0.25">
      <c r="A3" s="14" t="s">
        <v>152</v>
      </c>
      <c r="B3" s="14"/>
      <c r="C3" s="14"/>
      <c r="D3" s="13"/>
      <c r="E3" s="13"/>
      <c r="F3" s="17"/>
      <c r="G3" s="17"/>
      <c r="H3" s="13"/>
      <c r="I3" s="13"/>
      <c r="J3" s="17"/>
      <c r="K3" s="17"/>
      <c r="L3" s="17"/>
      <c r="M3" s="17"/>
      <c r="N3" s="17"/>
      <c r="O3" s="13"/>
      <c r="P3" s="13"/>
      <c r="Q3" s="13"/>
      <c r="R3" s="13"/>
      <c r="S3" s="13"/>
      <c r="T3" s="18"/>
      <c r="U3" s="17"/>
      <c r="V3" s="17"/>
      <c r="W3" s="13"/>
      <c r="X3" s="13"/>
      <c r="Y3" s="13"/>
      <c r="Z3" s="13"/>
      <c r="AA3"/>
    </row>
    <row r="4" spans="1:27" s="9" customFormat="1" ht="14.45" customHeight="1" x14ac:dyDescent="0.2">
      <c r="A4" s="23" t="s">
        <v>159</v>
      </c>
      <c r="B4" s="15"/>
      <c r="C4" s="15"/>
      <c r="D4" s="15"/>
      <c r="E4" s="15"/>
      <c r="F4" s="19"/>
      <c r="G4" s="19"/>
      <c r="H4" s="15"/>
      <c r="I4" s="15"/>
      <c r="J4" s="19"/>
      <c r="K4" s="19"/>
      <c r="L4" s="19"/>
      <c r="M4" s="19"/>
      <c r="N4" s="19"/>
      <c r="O4" s="15"/>
      <c r="P4" s="15"/>
      <c r="Q4" s="15"/>
      <c r="R4" s="15"/>
      <c r="S4" s="15"/>
      <c r="T4" s="16"/>
      <c r="U4" s="19"/>
      <c r="V4" s="19"/>
      <c r="W4" s="15"/>
      <c r="X4" s="15"/>
      <c r="Y4" s="15"/>
      <c r="Z4" s="15"/>
      <c r="AA4" s="8"/>
    </row>
    <row r="5" spans="1:27" x14ac:dyDescent="0.25">
      <c r="A5" s="16" t="s">
        <v>23</v>
      </c>
      <c r="B5" s="16"/>
      <c r="C5" s="16"/>
      <c r="D5" s="13"/>
      <c r="E5" s="13"/>
      <c r="F5" s="17"/>
      <c r="G5" s="17"/>
      <c r="H5" s="13"/>
      <c r="I5" s="13"/>
      <c r="J5" s="17"/>
      <c r="K5" s="17"/>
      <c r="L5" s="17"/>
      <c r="M5" s="17"/>
      <c r="N5" s="17"/>
      <c r="O5" s="13"/>
      <c r="P5" s="13"/>
      <c r="Q5" s="13"/>
      <c r="R5" s="13"/>
      <c r="S5" s="13"/>
      <c r="T5" s="18"/>
      <c r="U5" s="17"/>
      <c r="V5" s="17"/>
      <c r="W5" s="13"/>
      <c r="X5" s="13"/>
      <c r="Y5" s="13"/>
      <c r="Z5" s="16"/>
    </row>
    <row r="6" spans="1:27" ht="15.75" x14ac:dyDescent="0.25">
      <c r="B6" s="43" t="s">
        <v>97</v>
      </c>
      <c r="C6" s="42" t="s">
        <v>34</v>
      </c>
    </row>
    <row r="7" spans="1:27" x14ac:dyDescent="0.25">
      <c r="B7" s="12"/>
      <c r="C7" s="10"/>
    </row>
    <row r="8" spans="1:27" s="20" customFormat="1" x14ac:dyDescent="0.25">
      <c r="A8" s="21" t="s">
        <v>29</v>
      </c>
    </row>
    <row r="9" spans="1:27" ht="30" x14ac:dyDescent="0.25">
      <c r="B9" s="27" t="s">
        <v>20</v>
      </c>
      <c r="C9" s="27" t="s">
        <v>65</v>
      </c>
      <c r="D9" s="28" t="s">
        <v>94</v>
      </c>
      <c r="E9" s="27" t="s">
        <v>0</v>
      </c>
      <c r="F9" s="27" t="s">
        <v>1</v>
      </c>
      <c r="G9" s="27" t="s">
        <v>49</v>
      </c>
      <c r="H9" s="27" t="s">
        <v>50</v>
      </c>
      <c r="L9" s="6"/>
      <c r="M9" s="6"/>
    </row>
    <row r="10" spans="1:27" s="20" customFormat="1" x14ac:dyDescent="0.25">
      <c r="A10" s="21" t="s">
        <v>36</v>
      </c>
    </row>
    <row r="11" spans="1:27" s="20" customFormat="1" x14ac:dyDescent="0.25">
      <c r="A11" s="22"/>
      <c r="B11" s="36" t="s">
        <v>37</v>
      </c>
      <c r="C11" s="33" t="s">
        <v>67</v>
      </c>
      <c r="D11" s="33" t="s">
        <v>47</v>
      </c>
      <c r="E11" s="33" t="s">
        <v>40</v>
      </c>
      <c r="F11" s="39" t="s">
        <v>48</v>
      </c>
      <c r="G11" s="37" t="s">
        <v>51</v>
      </c>
      <c r="H11" s="39" t="e">
        <f>STLExchangeRates[[#This Row],[USD Based Rates]]*(1+STLExchangeRates[[#This Row],[Uplift]]/100)</f>
        <v>#VALUE!</v>
      </c>
    </row>
    <row r="12" spans="1:27" s="20" customFormat="1" x14ac:dyDescent="0.25">
      <c r="A12" s="21" t="s">
        <v>30</v>
      </c>
    </row>
    <row r="13" spans="1:27" x14ac:dyDescent="0.25">
      <c r="B13" s="20"/>
      <c r="C13" s="20"/>
      <c r="D13" s="20"/>
      <c r="E13" s="20"/>
      <c r="F13" s="20"/>
      <c r="G13" s="20"/>
      <c r="H13" s="20"/>
    </row>
    <row r="14" spans="1:27" s="20" customFormat="1" x14ac:dyDescent="0.25"/>
    <row r="15" spans="1:27" s="20" customFormat="1" x14ac:dyDescent="0.25">
      <c r="A15" s="21" t="s">
        <v>24</v>
      </c>
    </row>
  </sheetData>
  <phoneticPr fontId="11" type="noConversion"/>
  <pageMargins left="0.7" right="0.7" top="0.75" bottom="0.75" header="0.3" footer="0.3"/>
  <pageSetup paperSize="9" scale="7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D57" sqref="D57"/>
    </sheetView>
  </sheetViews>
  <sheetFormatPr defaultRowHeight="15" x14ac:dyDescent="0.25"/>
  <cols>
    <col min="1" max="1" width="13.28515625" bestFit="1" customWidth="1"/>
    <col min="2" max="2" width="12.7109375" bestFit="1" customWidth="1"/>
  </cols>
  <sheetData>
    <row r="1" spans="1:3" x14ac:dyDescent="0.25">
      <c r="A1" t="s">
        <v>33</v>
      </c>
      <c r="B1" t="s">
        <v>25</v>
      </c>
      <c r="C1" t="s">
        <v>26</v>
      </c>
    </row>
    <row r="2" spans="1:3" x14ac:dyDescent="0.25">
      <c r="B2" t="s">
        <v>27</v>
      </c>
      <c r="C2" t="s">
        <v>32</v>
      </c>
    </row>
    <row r="3" spans="1:3" s="20" customFormat="1" x14ac:dyDescent="0.25">
      <c r="B3" s="20" t="s">
        <v>31</v>
      </c>
    </row>
    <row r="4" spans="1:3" x14ac:dyDescent="0.25">
      <c r="A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2"/>
  <sheetViews>
    <sheetView zoomScaleNormal="100" workbookViewId="0"/>
  </sheetViews>
  <sheetFormatPr defaultRowHeight="15" x14ac:dyDescent="0.25"/>
  <cols>
    <col min="2" max="3" width="20.7109375" customWidth="1"/>
    <col min="4" max="4" width="10.7109375" style="20" customWidth="1"/>
    <col min="5" max="5" width="10.7109375" customWidth="1"/>
    <col min="6" max="6" width="28.7109375" customWidth="1"/>
    <col min="7" max="7" width="38.7109375" customWidth="1"/>
    <col min="8" max="8" width="13.7109375" customWidth="1"/>
    <col min="9" max="9" width="28.7109375" customWidth="1"/>
    <col min="10" max="10" width="14.7109375" customWidth="1"/>
    <col min="11" max="11" width="28.7109375" customWidth="1"/>
    <col min="12" max="12" width="24.7109375" customWidth="1"/>
    <col min="13" max="13" width="17.7109375" customWidth="1"/>
  </cols>
  <sheetData>
    <row r="1" spans="1:27" s="18" customFormat="1" x14ac:dyDescent="0.25">
      <c r="A1" s="14" t="s">
        <v>21</v>
      </c>
      <c r="B1" s="14"/>
      <c r="C1" s="20"/>
      <c r="D1" s="20"/>
      <c r="E1" s="20"/>
      <c r="F1" s="17"/>
      <c r="G1" s="17"/>
      <c r="H1" s="20"/>
      <c r="I1" s="20"/>
      <c r="J1" s="17"/>
      <c r="K1" s="17"/>
      <c r="L1" s="17"/>
      <c r="M1" s="17"/>
      <c r="N1" s="17"/>
      <c r="O1" s="20"/>
      <c r="P1" s="20"/>
      <c r="Q1" s="20"/>
      <c r="R1" s="20"/>
      <c r="S1" s="20"/>
      <c r="U1" s="17"/>
      <c r="V1" s="17"/>
      <c r="W1" s="20"/>
      <c r="X1" s="20"/>
      <c r="Y1" s="20"/>
      <c r="Z1" s="20"/>
      <c r="AA1" s="20"/>
    </row>
    <row r="2" spans="1:27" s="18" customFormat="1" x14ac:dyDescent="0.25">
      <c r="A2" s="14" t="s">
        <v>35</v>
      </c>
      <c r="B2" s="14"/>
      <c r="C2" s="20"/>
      <c r="D2" s="20"/>
      <c r="E2" s="20"/>
      <c r="F2" s="17"/>
      <c r="G2" s="17"/>
      <c r="H2" s="20"/>
      <c r="I2" s="20"/>
      <c r="J2" s="17"/>
      <c r="K2" s="17"/>
      <c r="L2" s="17"/>
      <c r="M2" s="17"/>
      <c r="N2" s="17"/>
      <c r="O2" s="20"/>
      <c r="P2" s="20"/>
      <c r="Q2" s="20"/>
      <c r="R2" s="20"/>
      <c r="S2" s="20"/>
      <c r="U2" s="17"/>
      <c r="V2" s="17"/>
      <c r="W2" s="20"/>
      <c r="X2" s="20"/>
      <c r="Y2" s="20"/>
      <c r="Z2" s="20"/>
      <c r="AA2" s="20"/>
    </row>
    <row r="3" spans="1:27" s="18" customFormat="1" x14ac:dyDescent="0.25">
      <c r="A3" s="14" t="s">
        <v>152</v>
      </c>
      <c r="B3" s="14"/>
      <c r="C3" s="20"/>
      <c r="D3" s="20"/>
      <c r="E3" s="20"/>
      <c r="F3" s="17"/>
      <c r="G3" s="17"/>
      <c r="H3" s="20"/>
      <c r="I3" s="20"/>
      <c r="J3" s="17"/>
      <c r="K3" s="17"/>
      <c r="L3" s="17"/>
      <c r="M3" s="17"/>
      <c r="N3" s="17"/>
      <c r="O3" s="20"/>
      <c r="P3" s="20"/>
      <c r="Q3" s="20"/>
      <c r="R3" s="20"/>
      <c r="S3" s="20"/>
      <c r="U3" s="17"/>
      <c r="V3" s="17"/>
      <c r="W3" s="20"/>
      <c r="X3" s="20"/>
      <c r="Y3" s="20"/>
      <c r="Z3" s="20"/>
      <c r="AA3" s="20"/>
    </row>
    <row r="4" spans="1:27" s="21" customFormat="1" ht="14.45" customHeight="1" x14ac:dyDescent="0.2">
      <c r="A4" s="23" t="s">
        <v>153</v>
      </c>
      <c r="B4" s="15"/>
      <c r="C4" s="15"/>
      <c r="D4" s="15"/>
      <c r="E4" s="15"/>
      <c r="F4" s="19"/>
      <c r="G4" s="19"/>
      <c r="H4" s="15"/>
      <c r="I4" s="15"/>
      <c r="J4" s="19"/>
      <c r="K4" s="19"/>
      <c r="L4" s="19"/>
      <c r="M4" s="19"/>
      <c r="N4" s="19"/>
      <c r="O4" s="15"/>
      <c r="P4" s="15"/>
      <c r="Q4" s="15"/>
      <c r="R4" s="15"/>
      <c r="S4" s="15"/>
      <c r="U4" s="19"/>
      <c r="V4" s="19"/>
      <c r="W4" s="15"/>
      <c r="X4" s="15"/>
      <c r="Y4" s="15"/>
      <c r="Z4" s="15"/>
      <c r="AA4" s="15"/>
    </row>
    <row r="5" spans="1:27" s="20" customFormat="1" x14ac:dyDescent="0.25">
      <c r="A5" s="21" t="s">
        <v>29</v>
      </c>
    </row>
    <row r="6" spans="1:27" ht="30" x14ac:dyDescent="0.25">
      <c r="B6" s="26" t="s">
        <v>52</v>
      </c>
      <c r="C6" s="26" t="s">
        <v>53</v>
      </c>
      <c r="D6" s="26" t="s">
        <v>45</v>
      </c>
      <c r="E6" s="26" t="s">
        <v>55</v>
      </c>
      <c r="F6" s="26" t="s">
        <v>20</v>
      </c>
      <c r="G6" s="26" t="s">
        <v>65</v>
      </c>
      <c r="H6" s="26" t="s">
        <v>0</v>
      </c>
      <c r="I6" s="26" t="s">
        <v>2</v>
      </c>
      <c r="J6" s="26" t="s">
        <v>3</v>
      </c>
      <c r="K6" s="26" t="s">
        <v>44</v>
      </c>
      <c r="L6" s="26" t="s">
        <v>93</v>
      </c>
      <c r="M6" s="26" t="s">
        <v>4</v>
      </c>
    </row>
    <row r="7" spans="1:27" s="20" customFormat="1" x14ac:dyDescent="0.25">
      <c r="A7" s="21" t="s">
        <v>36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27" ht="30" x14ac:dyDescent="0.25">
      <c r="B8" s="29" t="s">
        <v>38</v>
      </c>
      <c r="C8" s="29" t="s">
        <v>39</v>
      </c>
      <c r="D8" s="30" t="s">
        <v>46</v>
      </c>
      <c r="E8" s="30" t="s">
        <v>54</v>
      </c>
      <c r="F8" s="29" t="s">
        <v>37</v>
      </c>
      <c r="G8" s="30" t="s">
        <v>67</v>
      </c>
      <c r="H8" s="30" t="s">
        <v>40</v>
      </c>
      <c r="I8" s="30" t="s">
        <v>43</v>
      </c>
      <c r="J8" s="40" t="s">
        <v>69</v>
      </c>
      <c r="K8" s="32" t="s">
        <v>70</v>
      </c>
      <c r="L8" s="30" t="s">
        <v>42</v>
      </c>
      <c r="M8" s="40" t="s">
        <v>41</v>
      </c>
    </row>
    <row r="9" spans="1:27" s="20" customFormat="1" x14ac:dyDescent="0.25">
      <c r="A9" s="21" t="s">
        <v>30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27" x14ac:dyDescent="0.25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27" s="20" customFormat="1" x14ac:dyDescent="0.25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27" s="3" customFormat="1" ht="15.75" x14ac:dyDescent="0.3">
      <c r="A12" s="21" t="s">
        <v>24</v>
      </c>
    </row>
  </sheetData>
  <pageMargins left="0.7" right="0.7" top="0.75" bottom="0.75" header="0.3" footer="0.3"/>
  <pageSetup scale="45" fitToHeight="0" orientation="landscape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12"/>
  <sheetViews>
    <sheetView topLeftCell="A2" workbookViewId="0">
      <selection activeCell="A4" sqref="A4"/>
    </sheetView>
  </sheetViews>
  <sheetFormatPr defaultRowHeight="15" x14ac:dyDescent="0.25"/>
  <cols>
    <col min="2" max="2" width="28.7109375" customWidth="1"/>
    <col min="3" max="3" width="38.7109375" customWidth="1"/>
    <col min="4" max="4" width="10.7109375" customWidth="1"/>
    <col min="5" max="5" width="13.7109375" customWidth="1"/>
    <col min="6" max="6" width="10.7109375" customWidth="1"/>
    <col min="7" max="7" width="60.7109375" customWidth="1"/>
    <col min="8" max="8" width="14.7109375" customWidth="1"/>
    <col min="9" max="9" width="20" style="20" bestFit="1" customWidth="1"/>
    <col min="10" max="10" width="20.7109375" customWidth="1"/>
    <col min="11" max="11" width="38.7109375" customWidth="1"/>
    <col min="12" max="13" width="24.7109375" customWidth="1"/>
    <col min="14" max="14" width="17.7109375" customWidth="1"/>
  </cols>
  <sheetData>
    <row r="1" spans="1:20" s="20" customFormat="1" x14ac:dyDescent="0.25">
      <c r="A1" s="20" t="s">
        <v>21</v>
      </c>
    </row>
    <row r="2" spans="1:20" s="20" customFormat="1" x14ac:dyDescent="0.25">
      <c r="A2" s="20" t="s">
        <v>68</v>
      </c>
    </row>
    <row r="3" spans="1:20" s="20" customFormat="1" x14ac:dyDescent="0.25">
      <c r="A3" s="20" t="s">
        <v>152</v>
      </c>
      <c r="B3" s="7"/>
      <c r="C3" s="7"/>
    </row>
    <row r="4" spans="1:20" s="20" customFormat="1" ht="14.45" customHeight="1" x14ac:dyDescent="0.25">
      <c r="A4" s="1" t="s">
        <v>154</v>
      </c>
      <c r="B4" s="7"/>
      <c r="C4" s="7"/>
    </row>
    <row r="5" spans="1:20" s="20" customFormat="1" x14ac:dyDescent="0.25">
      <c r="A5" s="20" t="s">
        <v>29</v>
      </c>
      <c r="B5" s="7"/>
      <c r="C5" s="7"/>
      <c r="T5" s="2"/>
    </row>
    <row r="6" spans="1:20" s="20" customFormat="1" ht="30" x14ac:dyDescent="0.25">
      <c r="B6" s="34" t="s">
        <v>20</v>
      </c>
      <c r="C6" s="34" t="s">
        <v>65</v>
      </c>
      <c r="D6" s="34" t="s">
        <v>8</v>
      </c>
      <c r="E6" s="34" t="s">
        <v>9</v>
      </c>
      <c r="F6" s="34" t="s">
        <v>10</v>
      </c>
      <c r="G6" s="34" t="s">
        <v>5</v>
      </c>
      <c r="H6" s="34" t="s">
        <v>6</v>
      </c>
      <c r="I6" s="34" t="s">
        <v>123</v>
      </c>
      <c r="J6" s="34" t="s">
        <v>11</v>
      </c>
      <c r="K6" s="34" t="s">
        <v>7</v>
      </c>
      <c r="L6" s="34" t="s">
        <v>12</v>
      </c>
      <c r="M6" s="35" t="s">
        <v>95</v>
      </c>
      <c r="N6" s="34" t="s">
        <v>13</v>
      </c>
      <c r="Q6" s="2"/>
    </row>
    <row r="7" spans="1:20" s="20" customFormat="1" x14ac:dyDescent="0.25">
      <c r="A7" s="24" t="s">
        <v>36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20" s="20" customFormat="1" x14ac:dyDescent="0.25">
      <c r="A8" s="24"/>
      <c r="B8" s="29" t="s">
        <v>64</v>
      </c>
      <c r="C8" s="30" t="s">
        <v>66</v>
      </c>
      <c r="D8" s="31" t="s">
        <v>56</v>
      </c>
      <c r="E8" s="30" t="s">
        <v>57</v>
      </c>
      <c r="F8" s="30" t="s">
        <v>58</v>
      </c>
      <c r="G8" s="32" t="s">
        <v>71</v>
      </c>
      <c r="H8" s="29" t="s">
        <v>59</v>
      </c>
      <c r="I8" s="30" t="s">
        <v>144</v>
      </c>
      <c r="J8" s="41" t="s">
        <v>60</v>
      </c>
      <c r="K8" s="32" t="s">
        <v>72</v>
      </c>
      <c r="L8" s="30" t="s">
        <v>61</v>
      </c>
      <c r="M8" s="30" t="s">
        <v>62</v>
      </c>
      <c r="N8" s="41" t="s">
        <v>63</v>
      </c>
    </row>
    <row r="9" spans="1:20" s="20" customFormat="1" x14ac:dyDescent="0.25">
      <c r="A9" s="20" t="s">
        <v>30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20" s="20" customFormat="1" x14ac:dyDescent="0.25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20" s="20" customFormat="1" x14ac:dyDescent="0.25"/>
    <row r="12" spans="1:20" s="3" customFormat="1" ht="15.75" x14ac:dyDescent="0.3">
      <c r="A12" s="20" t="s">
        <v>24</v>
      </c>
    </row>
  </sheetData>
  <phoneticPr fontId="1" type="noConversion"/>
  <pageMargins left="0.7" right="0.7" top="0.75" bottom="0.75" header="0.3" footer="0.3"/>
  <pageSetup paperSize="9" scale="39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23F5-839D-4CC6-B7EE-DC4A6CFD7A7E}">
  <sheetPr>
    <pageSetUpPr fitToPage="1"/>
  </sheetPr>
  <dimension ref="A1:S12"/>
  <sheetViews>
    <sheetView workbookViewId="0">
      <selection activeCell="A4" sqref="A4"/>
    </sheetView>
  </sheetViews>
  <sheetFormatPr defaultColWidth="9.140625" defaultRowHeight="15" x14ac:dyDescent="0.25"/>
  <cols>
    <col min="1" max="1" width="9.140625" style="20"/>
    <col min="2" max="2" width="28.7109375" style="20" customWidth="1"/>
    <col min="3" max="3" width="38.7109375" style="20" customWidth="1"/>
    <col min="4" max="4" width="10.7109375" style="20" customWidth="1"/>
    <col min="5" max="5" width="13.7109375" style="20" customWidth="1"/>
    <col min="6" max="6" width="10.7109375" style="20" customWidth="1"/>
    <col min="7" max="7" width="60.7109375" style="20" customWidth="1"/>
    <col min="8" max="8" width="14.7109375" style="20" customWidth="1"/>
    <col min="9" max="9" width="20.7109375" style="20" customWidth="1"/>
    <col min="10" max="10" width="38.7109375" style="20" customWidth="1"/>
    <col min="11" max="12" width="24.7109375" style="20" customWidth="1"/>
    <col min="13" max="13" width="17.7109375" style="20" customWidth="1"/>
    <col min="14" max="16384" width="9.140625" style="20"/>
  </cols>
  <sheetData>
    <row r="1" spans="1:19" x14ac:dyDescent="0.25">
      <c r="A1" s="20" t="s">
        <v>21</v>
      </c>
    </row>
    <row r="2" spans="1:19" x14ac:dyDescent="0.25">
      <c r="A2" s="20" t="s">
        <v>89</v>
      </c>
    </row>
    <row r="3" spans="1:19" x14ac:dyDescent="0.25">
      <c r="A3" s="20" t="s">
        <v>152</v>
      </c>
    </row>
    <row r="4" spans="1:19" ht="14.45" customHeight="1" x14ac:dyDescent="0.25">
      <c r="A4" s="1" t="s">
        <v>90</v>
      </c>
    </row>
    <row r="5" spans="1:19" x14ac:dyDescent="0.25">
      <c r="A5" s="20" t="s">
        <v>29</v>
      </c>
      <c r="S5" s="2"/>
    </row>
    <row r="6" spans="1:19" ht="30" x14ac:dyDescent="0.25">
      <c r="B6" s="34" t="s">
        <v>91</v>
      </c>
      <c r="C6" s="34" t="s">
        <v>92</v>
      </c>
      <c r="D6" s="34" t="s">
        <v>8</v>
      </c>
      <c r="E6" s="34" t="s">
        <v>9</v>
      </c>
      <c r="F6" s="34" t="s">
        <v>10</v>
      </c>
      <c r="G6" s="34" t="s">
        <v>5</v>
      </c>
      <c r="H6" s="34" t="s">
        <v>6</v>
      </c>
      <c r="I6" s="34" t="s">
        <v>14</v>
      </c>
      <c r="J6" s="34" t="s">
        <v>7</v>
      </c>
      <c r="K6" s="34" t="s">
        <v>0</v>
      </c>
      <c r="L6" s="35" t="s">
        <v>95</v>
      </c>
      <c r="M6" s="34" t="s">
        <v>13</v>
      </c>
      <c r="P6" s="2"/>
    </row>
    <row r="7" spans="1:19" x14ac:dyDescent="0.25">
      <c r="A7" s="24" t="s">
        <v>36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9" x14ac:dyDescent="0.25">
      <c r="A8" s="24"/>
      <c r="B8" s="29" t="s">
        <v>64</v>
      </c>
      <c r="C8" s="30" t="s">
        <v>66</v>
      </c>
      <c r="D8" s="31" t="s">
        <v>56</v>
      </c>
      <c r="E8" s="30" t="s">
        <v>57</v>
      </c>
      <c r="F8" s="30" t="s">
        <v>58</v>
      </c>
      <c r="G8" s="32" t="s">
        <v>71</v>
      </c>
      <c r="H8" s="30" t="s">
        <v>59</v>
      </c>
      <c r="I8" s="41" t="s">
        <v>60</v>
      </c>
      <c r="J8" s="29" t="s">
        <v>72</v>
      </c>
      <c r="K8" s="30" t="s">
        <v>40</v>
      </c>
      <c r="L8" s="30" t="s">
        <v>62</v>
      </c>
      <c r="M8" s="41" t="s">
        <v>63</v>
      </c>
    </row>
    <row r="9" spans="1:19" x14ac:dyDescent="0.25">
      <c r="A9" s="20" t="s">
        <v>30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spans="1:19" x14ac:dyDescent="0.25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</row>
    <row r="12" spans="1:19" s="3" customFormat="1" ht="15.75" x14ac:dyDescent="0.3">
      <c r="A12" s="20" t="s">
        <v>24</v>
      </c>
    </row>
  </sheetData>
  <pageMargins left="0.7" right="0.7" top="0.75" bottom="0.75" header="0.3" footer="0.3"/>
  <pageSetup scale="38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N12"/>
  <sheetViews>
    <sheetView workbookViewId="0"/>
  </sheetViews>
  <sheetFormatPr defaultColWidth="9.140625" defaultRowHeight="15" x14ac:dyDescent="0.25"/>
  <cols>
    <col min="1" max="1" width="9.140625" style="20" customWidth="1"/>
    <col min="2" max="2" width="12.7109375" style="20" customWidth="1"/>
    <col min="3" max="3" width="19.7109375" style="20" bestFit="1" customWidth="1"/>
    <col min="4" max="4" width="13.7109375" style="20" customWidth="1"/>
    <col min="5" max="5" width="19.28515625" style="20" bestFit="1" customWidth="1"/>
    <col min="6" max="6" width="15.7109375" style="20" customWidth="1"/>
    <col min="7" max="7" width="28.7109375" style="20" customWidth="1"/>
    <col min="8" max="8" width="38.7109375" style="20" customWidth="1"/>
    <col min="9" max="9" width="9.7109375" style="20" customWidth="1"/>
    <col min="10" max="10" width="15.7109375" style="20" customWidth="1"/>
    <col min="11" max="11" width="10.7109375" style="20" customWidth="1"/>
    <col min="12" max="12" width="13.7109375" style="20" customWidth="1"/>
    <col min="13" max="13" width="10.7109375" style="20" customWidth="1"/>
    <col min="14" max="14" width="60.7109375" style="20" customWidth="1"/>
    <col min="15" max="15" width="24.7109375" style="20" customWidth="1"/>
    <col min="16" max="16" width="13.7109375" style="20" customWidth="1"/>
    <col min="17" max="17" width="17.7109375" style="20" customWidth="1"/>
    <col min="18" max="18" width="21" style="20" bestFit="1" customWidth="1"/>
    <col min="19" max="19" width="20.7109375" style="20" customWidth="1"/>
    <col min="20" max="21" width="16.7109375" style="20" customWidth="1"/>
    <col min="22" max="22" width="17.7109375" style="20" customWidth="1"/>
    <col min="23" max="23" width="16.7109375" style="20" customWidth="1"/>
    <col min="24" max="25" width="14.7109375" style="20" customWidth="1"/>
    <col min="26" max="26" width="28" style="20" bestFit="1" customWidth="1"/>
    <col min="27" max="27" width="16.7109375" style="20" customWidth="1"/>
    <col min="28" max="28" width="24.7109375" style="20" customWidth="1"/>
    <col min="29" max="29" width="30.5703125" style="20" bestFit="1" customWidth="1"/>
    <col min="30" max="30" width="35.42578125" style="20" bestFit="1" customWidth="1"/>
    <col min="31" max="31" width="16.7109375" style="20" customWidth="1"/>
    <col min="32" max="32" width="24.7109375" style="20" customWidth="1"/>
    <col min="33" max="33" width="14.7109375" style="20" customWidth="1"/>
    <col min="34" max="34" width="26.7109375" style="20" customWidth="1"/>
    <col min="35" max="16384" width="9.140625" style="20"/>
  </cols>
  <sheetData>
    <row r="1" spans="1:40" x14ac:dyDescent="0.25">
      <c r="A1" s="20" t="s">
        <v>21</v>
      </c>
    </row>
    <row r="2" spans="1:40" x14ac:dyDescent="0.25">
      <c r="A2" s="20" t="s">
        <v>98</v>
      </c>
    </row>
    <row r="3" spans="1:40" x14ac:dyDescent="0.25">
      <c r="A3" s="20" t="s">
        <v>152</v>
      </c>
    </row>
    <row r="4" spans="1:40" ht="14.45" customHeight="1" x14ac:dyDescent="0.25">
      <c r="A4" s="1" t="s">
        <v>145</v>
      </c>
    </row>
    <row r="5" spans="1:40" x14ac:dyDescent="0.25">
      <c r="A5" s="20" t="s">
        <v>29</v>
      </c>
      <c r="AN5" s="2"/>
    </row>
    <row r="6" spans="1:40" ht="30" x14ac:dyDescent="0.25">
      <c r="B6" s="34" t="s">
        <v>99</v>
      </c>
      <c r="C6" s="34" t="s">
        <v>100</v>
      </c>
      <c r="D6" s="34" t="s">
        <v>0</v>
      </c>
      <c r="E6" s="34" t="s">
        <v>102</v>
      </c>
      <c r="F6" s="34" t="s">
        <v>103</v>
      </c>
      <c r="G6" s="34" t="s">
        <v>104</v>
      </c>
      <c r="H6" s="34" t="s">
        <v>105</v>
      </c>
      <c r="I6" s="34" t="s">
        <v>106</v>
      </c>
      <c r="J6" s="34" t="s">
        <v>107</v>
      </c>
      <c r="K6" s="34" t="s">
        <v>8</v>
      </c>
      <c r="L6" s="35" t="s">
        <v>9</v>
      </c>
      <c r="M6" s="35" t="s">
        <v>10</v>
      </c>
      <c r="N6" s="35" t="s">
        <v>108</v>
      </c>
      <c r="O6" s="35" t="s">
        <v>12</v>
      </c>
      <c r="P6" s="35" t="s">
        <v>109</v>
      </c>
      <c r="Q6" s="35" t="s">
        <v>110</v>
      </c>
      <c r="R6" s="35" t="s">
        <v>14</v>
      </c>
      <c r="S6" s="35" t="s">
        <v>111</v>
      </c>
      <c r="T6" s="35" t="s">
        <v>112</v>
      </c>
      <c r="U6" s="35" t="s">
        <v>113</v>
      </c>
      <c r="V6" s="35" t="s">
        <v>114</v>
      </c>
      <c r="W6" s="35" t="s">
        <v>115</v>
      </c>
      <c r="X6" s="35" t="s">
        <v>101</v>
      </c>
      <c r="Y6" s="35" t="s">
        <v>116</v>
      </c>
      <c r="Z6" s="35" t="s">
        <v>117</v>
      </c>
      <c r="AA6" s="35" t="s">
        <v>118</v>
      </c>
      <c r="AB6" s="35" t="s">
        <v>119</v>
      </c>
      <c r="AC6" s="35" t="s">
        <v>120</v>
      </c>
      <c r="AD6" s="35" t="s">
        <v>121</v>
      </c>
      <c r="AE6" s="35" t="s">
        <v>122</v>
      </c>
      <c r="AF6" s="35" t="s">
        <v>95</v>
      </c>
      <c r="AG6" s="35" t="s">
        <v>6</v>
      </c>
      <c r="AH6" s="34" t="s">
        <v>123</v>
      </c>
      <c r="AK6" s="2"/>
    </row>
    <row r="7" spans="1:40" x14ac:dyDescent="0.25">
      <c r="A7" s="24" t="s">
        <v>36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spans="1:40" ht="30" x14ac:dyDescent="0.25">
      <c r="A8" s="24"/>
      <c r="B8" s="29" t="s">
        <v>124</v>
      </c>
      <c r="C8" s="29" t="s">
        <v>125</v>
      </c>
      <c r="D8" s="29" t="s">
        <v>40</v>
      </c>
      <c r="E8" s="29" t="s">
        <v>126</v>
      </c>
      <c r="F8" s="44" t="s">
        <v>127</v>
      </c>
      <c r="G8" s="29" t="s">
        <v>64</v>
      </c>
      <c r="H8" s="29" t="s">
        <v>66</v>
      </c>
      <c r="I8" s="29" t="s">
        <v>129</v>
      </c>
      <c r="J8" s="44" t="s">
        <v>128</v>
      </c>
      <c r="K8" s="45" t="s">
        <v>56</v>
      </c>
      <c r="L8" s="29" t="s">
        <v>57</v>
      </c>
      <c r="M8" s="29" t="s">
        <v>58</v>
      </c>
      <c r="N8" s="32" t="s">
        <v>71</v>
      </c>
      <c r="O8" s="29" t="s">
        <v>130</v>
      </c>
      <c r="P8" s="29" t="s">
        <v>140</v>
      </c>
      <c r="Q8" s="41" t="s">
        <v>63</v>
      </c>
      <c r="R8" s="41" t="s">
        <v>60</v>
      </c>
      <c r="S8" s="46" t="s">
        <v>132</v>
      </c>
      <c r="T8" s="46" t="s">
        <v>131</v>
      </c>
      <c r="U8" s="47" t="s">
        <v>133</v>
      </c>
      <c r="V8" s="46" t="s">
        <v>134</v>
      </c>
      <c r="W8" s="46" t="s">
        <v>135</v>
      </c>
      <c r="X8" s="46" t="s">
        <v>141</v>
      </c>
      <c r="Y8" s="46" t="s">
        <v>142</v>
      </c>
      <c r="Z8" s="46" t="s">
        <v>143</v>
      </c>
      <c r="AA8" s="46" t="s">
        <v>136</v>
      </c>
      <c r="AB8" s="46" t="s">
        <v>137</v>
      </c>
      <c r="AC8" s="46" t="s">
        <v>138</v>
      </c>
      <c r="AD8" s="48" t="s">
        <v>72</v>
      </c>
      <c r="AE8" s="46" t="s">
        <v>139</v>
      </c>
      <c r="AF8" s="46" t="s">
        <v>62</v>
      </c>
      <c r="AG8" s="46" t="s">
        <v>59</v>
      </c>
      <c r="AH8" s="46" t="s">
        <v>144</v>
      </c>
    </row>
    <row r="9" spans="1:40" x14ac:dyDescent="0.25">
      <c r="A9" s="20" t="s">
        <v>30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</row>
    <row r="10" spans="1:40" x14ac:dyDescent="0.25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</row>
    <row r="12" spans="1:40" s="3" customFormat="1" ht="15.75" x14ac:dyDescent="0.3">
      <c r="A12" s="20" t="s">
        <v>24</v>
      </c>
    </row>
  </sheetData>
  <pageMargins left="0.7" right="0.7" top="0.75" bottom="0.75" header="0.3" footer="0.3"/>
  <pageSetup scale="17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J13"/>
  <sheetViews>
    <sheetView topLeftCell="A4" workbookViewId="0">
      <selection activeCell="A4" sqref="A4"/>
    </sheetView>
  </sheetViews>
  <sheetFormatPr defaultColWidth="9" defaultRowHeight="15.75" x14ac:dyDescent="0.3"/>
  <cols>
    <col min="1" max="1" width="4.85546875" style="3" customWidth="1"/>
    <col min="2" max="2" width="28.7109375" style="3" customWidth="1"/>
    <col min="3" max="3" width="38.7109375" style="3" customWidth="1"/>
    <col min="4" max="4" width="35.7109375" style="3" customWidth="1"/>
    <col min="5" max="5" width="20.7109375" style="3" customWidth="1"/>
    <col min="6" max="16384" width="9" style="3"/>
  </cols>
  <sheetData>
    <row r="1" spans="1:10" s="18" customFormat="1" ht="15" x14ac:dyDescent="0.25">
      <c r="A1" s="14" t="s">
        <v>21</v>
      </c>
      <c r="B1" s="14"/>
      <c r="C1" s="14"/>
      <c r="D1" s="14"/>
      <c r="E1" s="20"/>
      <c r="F1" s="20"/>
      <c r="H1" s="20"/>
      <c r="I1" s="20"/>
      <c r="J1" s="20"/>
    </row>
    <row r="2" spans="1:10" s="18" customFormat="1" ht="15" x14ac:dyDescent="0.25">
      <c r="A2" s="14" t="s">
        <v>77</v>
      </c>
      <c r="B2" s="14"/>
      <c r="C2" s="14"/>
      <c r="D2" s="14"/>
      <c r="E2" s="20"/>
      <c r="F2" s="20"/>
      <c r="H2" s="20"/>
      <c r="I2" s="20"/>
      <c r="J2" s="20"/>
    </row>
    <row r="3" spans="1:10" s="18" customFormat="1" ht="15" x14ac:dyDescent="0.25">
      <c r="A3" s="14" t="s">
        <v>152</v>
      </c>
      <c r="B3" s="14"/>
      <c r="C3" s="14"/>
      <c r="D3" s="14"/>
      <c r="E3" s="20"/>
      <c r="F3" s="20"/>
      <c r="H3" s="20"/>
      <c r="I3" s="20"/>
      <c r="J3" s="20"/>
    </row>
    <row r="4" spans="1:10" s="21" customFormat="1" ht="14.45" customHeight="1" x14ac:dyDescent="0.2">
      <c r="A4" s="23" t="s">
        <v>160</v>
      </c>
      <c r="B4" s="15"/>
      <c r="C4" s="15"/>
      <c r="D4" s="15"/>
      <c r="E4" s="15"/>
      <c r="F4" s="15"/>
      <c r="H4" s="15"/>
      <c r="I4" s="15"/>
      <c r="J4" s="15"/>
    </row>
    <row r="5" spans="1:10" s="20" customFormat="1" ht="15" x14ac:dyDescent="0.25">
      <c r="A5" s="21" t="s">
        <v>29</v>
      </c>
    </row>
    <row r="6" spans="1:10" s="20" customFormat="1" ht="30" x14ac:dyDescent="0.25">
      <c r="B6" s="27" t="s">
        <v>20</v>
      </c>
      <c r="C6" s="27" t="s">
        <v>65</v>
      </c>
      <c r="D6" s="28" t="s">
        <v>96</v>
      </c>
      <c r="E6" s="28" t="s">
        <v>73</v>
      </c>
      <c r="I6" s="6"/>
      <c r="J6" s="6"/>
    </row>
    <row r="7" spans="1:10" s="20" customFormat="1" ht="15" x14ac:dyDescent="0.25">
      <c r="A7" s="21" t="s">
        <v>36</v>
      </c>
    </row>
    <row r="8" spans="1:10" s="20" customFormat="1" ht="15" x14ac:dyDescent="0.25">
      <c r="A8" s="22"/>
      <c r="B8" s="36" t="s">
        <v>37</v>
      </c>
      <c r="C8" s="33" t="s">
        <v>67</v>
      </c>
      <c r="D8" s="38" t="s">
        <v>74</v>
      </c>
      <c r="E8" s="37" t="s">
        <v>75</v>
      </c>
    </row>
    <row r="9" spans="1:10" s="20" customFormat="1" ht="15" x14ac:dyDescent="0.25">
      <c r="A9" s="21" t="s">
        <v>30</v>
      </c>
    </row>
    <row r="10" spans="1:10" s="20" customFormat="1" ht="15" x14ac:dyDescent="0.25"/>
    <row r="11" spans="1:10" s="20" customFormat="1" ht="15" x14ac:dyDescent="0.25"/>
    <row r="12" spans="1:10" s="20" customFormat="1" ht="15" x14ac:dyDescent="0.25">
      <c r="A12" s="21" t="s">
        <v>24</v>
      </c>
    </row>
    <row r="13" spans="1:10" x14ac:dyDescent="0.3">
      <c r="B13" s="5"/>
      <c r="C13" s="5"/>
      <c r="D13" s="4"/>
    </row>
  </sheetData>
  <pageMargins left="0.7" right="0.7" top="0.75" bottom="0.75" header="0.3" footer="0.3"/>
  <pageSetup scale="95" fitToHeight="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K13"/>
  <sheetViews>
    <sheetView zoomScaleNormal="100" workbookViewId="0">
      <selection activeCell="A4" sqref="A4"/>
    </sheetView>
  </sheetViews>
  <sheetFormatPr defaultColWidth="9" defaultRowHeight="15.75" x14ac:dyDescent="0.3"/>
  <cols>
    <col min="1" max="1" width="4.85546875" style="3" customWidth="1"/>
    <col min="2" max="2" width="28.7109375" style="3" customWidth="1"/>
    <col min="3" max="4" width="38.7109375" style="3" customWidth="1"/>
    <col min="5" max="5" width="40.7109375" style="3" customWidth="1"/>
    <col min="6" max="6" width="20.28515625" style="3" bestFit="1" customWidth="1"/>
    <col min="7" max="16384" width="9" style="3"/>
  </cols>
  <sheetData>
    <row r="1" spans="1:11" s="18" customFormat="1" ht="15" x14ac:dyDescent="0.25">
      <c r="A1" s="14" t="s">
        <v>21</v>
      </c>
      <c r="B1" s="14"/>
      <c r="C1" s="14"/>
      <c r="D1" s="14"/>
      <c r="E1" s="14"/>
      <c r="F1" s="20"/>
      <c r="G1" s="20"/>
      <c r="I1" s="20"/>
      <c r="J1" s="20"/>
      <c r="K1" s="20"/>
    </row>
    <row r="2" spans="1:11" s="18" customFormat="1" ht="15" x14ac:dyDescent="0.25">
      <c r="A2" s="14" t="s">
        <v>76</v>
      </c>
      <c r="B2" s="14"/>
      <c r="C2" s="14"/>
      <c r="D2" s="14"/>
      <c r="E2" s="14"/>
      <c r="F2" s="20"/>
      <c r="G2" s="20"/>
      <c r="I2" s="20"/>
      <c r="J2" s="20"/>
      <c r="K2" s="20"/>
    </row>
    <row r="3" spans="1:11" s="18" customFormat="1" ht="15" x14ac:dyDescent="0.25">
      <c r="A3" s="14" t="s">
        <v>152</v>
      </c>
      <c r="B3" s="14"/>
      <c r="C3" s="14"/>
      <c r="D3" s="14"/>
      <c r="E3" s="14"/>
      <c r="F3" s="20"/>
      <c r="G3" s="20"/>
      <c r="I3" s="20"/>
      <c r="J3" s="20"/>
      <c r="K3" s="20"/>
    </row>
    <row r="4" spans="1:11" s="21" customFormat="1" ht="14.45" customHeight="1" x14ac:dyDescent="0.2">
      <c r="A4" s="23" t="s">
        <v>88</v>
      </c>
      <c r="B4" s="15"/>
      <c r="C4" s="15"/>
      <c r="D4" s="15"/>
      <c r="E4" s="15"/>
      <c r="F4" s="15"/>
      <c r="G4" s="15"/>
      <c r="I4" s="15"/>
      <c r="J4" s="15"/>
      <c r="K4" s="15"/>
    </row>
    <row r="5" spans="1:11" s="20" customFormat="1" ht="15" x14ac:dyDescent="0.25">
      <c r="A5" s="21" t="s">
        <v>29</v>
      </c>
    </row>
    <row r="6" spans="1:11" s="20" customFormat="1" ht="15" customHeight="1" x14ac:dyDescent="0.25">
      <c r="B6" s="27" t="s">
        <v>20</v>
      </c>
      <c r="C6" s="27" t="s">
        <v>65</v>
      </c>
      <c r="D6" s="27" t="s">
        <v>83</v>
      </c>
      <c r="E6" s="28" t="s">
        <v>15</v>
      </c>
      <c r="F6" s="28" t="s">
        <v>16</v>
      </c>
      <c r="J6" s="6"/>
      <c r="K6" s="6"/>
    </row>
    <row r="7" spans="1:11" s="20" customFormat="1" ht="15" x14ac:dyDescent="0.25">
      <c r="A7" s="21" t="s">
        <v>36</v>
      </c>
    </row>
    <row r="8" spans="1:11" s="20" customFormat="1" ht="15" x14ac:dyDescent="0.25">
      <c r="A8" s="22"/>
      <c r="B8" s="36" t="s">
        <v>37</v>
      </c>
      <c r="C8" s="33" t="s">
        <v>67</v>
      </c>
      <c r="D8" s="33" t="s">
        <v>84</v>
      </c>
      <c r="E8" s="33" t="s">
        <v>82</v>
      </c>
      <c r="F8" s="37" t="s">
        <v>81</v>
      </c>
    </row>
    <row r="9" spans="1:11" s="20" customFormat="1" ht="15" x14ac:dyDescent="0.25">
      <c r="A9" s="21" t="s">
        <v>30</v>
      </c>
    </row>
    <row r="10" spans="1:11" s="20" customFormat="1" ht="15" x14ac:dyDescent="0.25"/>
    <row r="11" spans="1:11" s="20" customFormat="1" ht="15" x14ac:dyDescent="0.25"/>
    <row r="12" spans="1:11" s="20" customFormat="1" ht="15" x14ac:dyDescent="0.25">
      <c r="A12" s="21" t="s">
        <v>24</v>
      </c>
    </row>
    <row r="13" spans="1:11" x14ac:dyDescent="0.3">
      <c r="B13" s="5"/>
      <c r="C13" s="5"/>
      <c r="D13" s="5"/>
      <c r="E13" s="4"/>
    </row>
  </sheetData>
  <pageMargins left="0.7" right="0.7" top="0.75" bottom="0.75" header="0.3" footer="0.3"/>
  <pageSetup scale="71" fitToHeight="0" orientation="landscape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K13"/>
  <sheetViews>
    <sheetView workbookViewId="0">
      <selection activeCell="A4" sqref="A4"/>
    </sheetView>
  </sheetViews>
  <sheetFormatPr defaultColWidth="9" defaultRowHeight="15.75" x14ac:dyDescent="0.3"/>
  <cols>
    <col min="1" max="1" width="4.85546875" style="3" customWidth="1"/>
    <col min="2" max="2" width="28.7109375" style="3" customWidth="1"/>
    <col min="3" max="4" width="38.7109375" style="3" customWidth="1"/>
    <col min="5" max="5" width="40.7109375" style="3" customWidth="1"/>
    <col min="6" max="6" width="20.28515625" style="3" bestFit="1" customWidth="1"/>
    <col min="7" max="16384" width="9" style="3"/>
  </cols>
  <sheetData>
    <row r="1" spans="1:11" s="18" customFormat="1" ht="15" x14ac:dyDescent="0.25">
      <c r="A1" s="14" t="s">
        <v>21</v>
      </c>
      <c r="B1" s="14"/>
      <c r="C1" s="14"/>
      <c r="D1" s="14"/>
      <c r="E1" s="14"/>
      <c r="F1" s="20"/>
      <c r="G1" s="20"/>
      <c r="I1" s="20"/>
      <c r="J1" s="20"/>
      <c r="K1" s="20"/>
    </row>
    <row r="2" spans="1:11" s="18" customFormat="1" ht="15" x14ac:dyDescent="0.25">
      <c r="A2" s="14" t="s">
        <v>78</v>
      </c>
      <c r="B2" s="14"/>
      <c r="C2" s="14"/>
      <c r="D2" s="14"/>
      <c r="E2" s="14"/>
      <c r="F2" s="20"/>
      <c r="G2" s="20"/>
      <c r="I2" s="20"/>
      <c r="J2" s="20"/>
      <c r="K2" s="20"/>
    </row>
    <row r="3" spans="1:11" s="18" customFormat="1" ht="15" x14ac:dyDescent="0.25">
      <c r="A3" s="14" t="s">
        <v>152</v>
      </c>
      <c r="B3" s="14"/>
      <c r="C3" s="14"/>
      <c r="D3" s="14"/>
      <c r="E3" s="14"/>
      <c r="F3" s="20"/>
      <c r="G3" s="20"/>
      <c r="I3" s="20"/>
      <c r="J3" s="20"/>
      <c r="K3" s="20"/>
    </row>
    <row r="4" spans="1:11" s="21" customFormat="1" ht="14.45" customHeight="1" x14ac:dyDescent="0.2">
      <c r="A4" s="23" t="s">
        <v>87</v>
      </c>
      <c r="B4" s="15"/>
      <c r="C4" s="15"/>
      <c r="D4" s="15"/>
      <c r="E4" s="15"/>
      <c r="F4" s="15"/>
      <c r="G4" s="15"/>
      <c r="I4" s="15"/>
      <c r="J4" s="15"/>
      <c r="K4" s="15"/>
    </row>
    <row r="5" spans="1:11" s="20" customFormat="1" ht="15" x14ac:dyDescent="0.25">
      <c r="A5" s="21" t="s">
        <v>29</v>
      </c>
    </row>
    <row r="6" spans="1:11" s="20" customFormat="1" ht="15" x14ac:dyDescent="0.25">
      <c r="B6" s="27" t="s">
        <v>20</v>
      </c>
      <c r="C6" s="27" t="s">
        <v>65</v>
      </c>
      <c r="D6" s="27" t="s">
        <v>83</v>
      </c>
      <c r="E6" s="28" t="s">
        <v>17</v>
      </c>
      <c r="F6" s="28" t="s">
        <v>16</v>
      </c>
      <c r="J6" s="6"/>
      <c r="K6" s="6"/>
    </row>
    <row r="7" spans="1:11" s="20" customFormat="1" ht="15" x14ac:dyDescent="0.25">
      <c r="A7" s="21" t="s">
        <v>36</v>
      </c>
    </row>
    <row r="8" spans="1:11" s="20" customFormat="1" ht="15" x14ac:dyDescent="0.25">
      <c r="A8" s="22"/>
      <c r="B8" s="36" t="s">
        <v>37</v>
      </c>
      <c r="C8" s="33" t="s">
        <v>67</v>
      </c>
      <c r="D8" s="33" t="s">
        <v>84</v>
      </c>
      <c r="E8" s="33" t="s">
        <v>82</v>
      </c>
      <c r="F8" s="37" t="s">
        <v>81</v>
      </c>
    </row>
    <row r="9" spans="1:11" s="20" customFormat="1" ht="15" x14ac:dyDescent="0.25">
      <c r="A9" s="21" t="s">
        <v>30</v>
      </c>
    </row>
    <row r="10" spans="1:11" s="20" customFormat="1" ht="15" x14ac:dyDescent="0.25"/>
    <row r="11" spans="1:11" s="20" customFormat="1" ht="15" x14ac:dyDescent="0.25"/>
    <row r="12" spans="1:11" s="20" customFormat="1" ht="15" x14ac:dyDescent="0.25">
      <c r="A12" s="21" t="s">
        <v>24</v>
      </c>
    </row>
    <row r="13" spans="1:11" x14ac:dyDescent="0.3">
      <c r="B13" s="5"/>
      <c r="C13" s="5"/>
      <c r="D13" s="5"/>
      <c r="E13" s="4"/>
    </row>
  </sheetData>
  <pageMargins left="0.7" right="0.7" top="0.75" bottom="0.75" header="0.3" footer="0.3"/>
  <pageSetup scale="71" fitToHeight="0"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K13"/>
  <sheetViews>
    <sheetView workbookViewId="0">
      <selection activeCell="A4" sqref="A4"/>
    </sheetView>
  </sheetViews>
  <sheetFormatPr defaultColWidth="9" defaultRowHeight="15.75" x14ac:dyDescent="0.3"/>
  <cols>
    <col min="1" max="1" width="4.85546875" style="3" customWidth="1"/>
    <col min="2" max="2" width="28.7109375" style="3" customWidth="1"/>
    <col min="3" max="4" width="38.7109375" style="3" customWidth="1"/>
    <col min="5" max="5" width="40.7109375" style="3" customWidth="1"/>
    <col min="6" max="6" width="20.28515625" style="3" bestFit="1" customWidth="1"/>
    <col min="7" max="16384" width="9" style="3"/>
  </cols>
  <sheetData>
    <row r="1" spans="1:11" s="18" customFormat="1" ht="15" x14ac:dyDescent="0.25">
      <c r="A1" s="14" t="s">
        <v>21</v>
      </c>
      <c r="B1" s="14"/>
      <c r="C1" s="14"/>
      <c r="D1" s="14"/>
      <c r="E1" s="14"/>
      <c r="F1" s="20"/>
      <c r="G1" s="20"/>
      <c r="I1" s="20"/>
      <c r="J1" s="20"/>
      <c r="K1" s="20"/>
    </row>
    <row r="2" spans="1:11" s="18" customFormat="1" ht="15" x14ac:dyDescent="0.25">
      <c r="A2" s="14" t="s">
        <v>79</v>
      </c>
      <c r="B2" s="14"/>
      <c r="C2" s="14"/>
      <c r="D2" s="14"/>
      <c r="E2" s="14"/>
      <c r="F2" s="20"/>
      <c r="G2" s="20"/>
      <c r="I2" s="20"/>
      <c r="J2" s="20"/>
      <c r="K2" s="20"/>
    </row>
    <row r="3" spans="1:11" s="18" customFormat="1" ht="15" x14ac:dyDescent="0.25">
      <c r="A3" s="14" t="s">
        <v>152</v>
      </c>
      <c r="B3" s="14"/>
      <c r="C3" s="14"/>
      <c r="D3" s="14"/>
      <c r="E3" s="14"/>
      <c r="F3" s="20"/>
      <c r="G3" s="20"/>
      <c r="I3" s="20"/>
      <c r="J3" s="20"/>
      <c r="K3" s="20"/>
    </row>
    <row r="4" spans="1:11" s="21" customFormat="1" ht="14.45" customHeight="1" x14ac:dyDescent="0.2">
      <c r="A4" s="23" t="s">
        <v>86</v>
      </c>
      <c r="B4" s="15"/>
      <c r="C4" s="15"/>
      <c r="D4" s="15"/>
      <c r="E4" s="15"/>
      <c r="F4" s="15"/>
      <c r="G4" s="15"/>
      <c r="I4" s="15"/>
      <c r="J4" s="15"/>
      <c r="K4" s="15"/>
    </row>
    <row r="5" spans="1:11" s="20" customFormat="1" ht="15" x14ac:dyDescent="0.25">
      <c r="A5" s="21" t="s">
        <v>29</v>
      </c>
    </row>
    <row r="6" spans="1:11" s="20" customFormat="1" ht="15" x14ac:dyDescent="0.25">
      <c r="B6" s="27" t="s">
        <v>20</v>
      </c>
      <c r="C6" s="27" t="s">
        <v>65</v>
      </c>
      <c r="D6" s="27" t="s">
        <v>83</v>
      </c>
      <c r="E6" s="28" t="s">
        <v>18</v>
      </c>
      <c r="F6" s="28" t="s">
        <v>16</v>
      </c>
      <c r="J6" s="6"/>
      <c r="K6" s="6"/>
    </row>
    <row r="7" spans="1:11" s="20" customFormat="1" ht="15" x14ac:dyDescent="0.25">
      <c r="A7" s="21" t="s">
        <v>36</v>
      </c>
    </row>
    <row r="8" spans="1:11" s="20" customFormat="1" ht="15" x14ac:dyDescent="0.25">
      <c r="A8" s="22"/>
      <c r="B8" s="36" t="s">
        <v>37</v>
      </c>
      <c r="C8" s="33" t="s">
        <v>67</v>
      </c>
      <c r="D8" s="33" t="s">
        <v>84</v>
      </c>
      <c r="E8" s="33" t="s">
        <v>82</v>
      </c>
      <c r="F8" s="37" t="s">
        <v>81</v>
      </c>
    </row>
    <row r="9" spans="1:11" s="20" customFormat="1" ht="15" x14ac:dyDescent="0.25">
      <c r="A9" s="21" t="s">
        <v>30</v>
      </c>
    </row>
    <row r="10" spans="1:11" s="20" customFormat="1" ht="15" x14ac:dyDescent="0.25"/>
    <row r="11" spans="1:11" s="20" customFormat="1" ht="15" x14ac:dyDescent="0.25"/>
    <row r="12" spans="1:11" s="20" customFormat="1" ht="15" x14ac:dyDescent="0.25">
      <c r="A12" s="21" t="s">
        <v>24</v>
      </c>
    </row>
    <row r="13" spans="1:11" x14ac:dyDescent="0.3">
      <c r="B13" s="5"/>
      <c r="C13" s="5"/>
      <c r="D13" s="5"/>
      <c r="E13" s="4"/>
    </row>
  </sheetData>
  <pageMargins left="0.7" right="0.7" top="0.75" bottom="0.75" header="0.3" footer="0.3"/>
  <pageSetup paperSize="9" scale="76" fitToHeight="0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K13"/>
  <sheetViews>
    <sheetView zoomScaleNormal="100" workbookViewId="0">
      <selection activeCell="A4" sqref="A4"/>
    </sheetView>
  </sheetViews>
  <sheetFormatPr defaultColWidth="9" defaultRowHeight="15.75" x14ac:dyDescent="0.3"/>
  <cols>
    <col min="1" max="1" width="4.85546875" style="3" customWidth="1"/>
    <col min="2" max="2" width="28.7109375" style="3" customWidth="1"/>
    <col min="3" max="4" width="38.7109375" style="3" customWidth="1"/>
    <col min="5" max="5" width="40.7109375" style="3" customWidth="1"/>
    <col min="6" max="6" width="20.28515625" style="3" bestFit="1" customWidth="1"/>
    <col min="7" max="16384" width="9" style="3"/>
  </cols>
  <sheetData>
    <row r="1" spans="1:11" s="18" customFormat="1" ht="15" x14ac:dyDescent="0.25">
      <c r="A1" s="14" t="s">
        <v>21</v>
      </c>
      <c r="B1" s="14"/>
      <c r="C1" s="14"/>
      <c r="D1" s="14"/>
      <c r="E1" s="14"/>
      <c r="F1" s="20"/>
      <c r="G1" s="20"/>
      <c r="I1" s="20"/>
      <c r="J1" s="20"/>
      <c r="K1" s="20"/>
    </row>
    <row r="2" spans="1:11" s="18" customFormat="1" ht="15" x14ac:dyDescent="0.25">
      <c r="A2" s="14" t="s">
        <v>80</v>
      </c>
      <c r="B2" s="14"/>
      <c r="C2" s="14"/>
      <c r="D2" s="14"/>
      <c r="E2" s="14"/>
      <c r="F2" s="20"/>
      <c r="G2" s="20"/>
      <c r="I2" s="20"/>
      <c r="J2" s="20"/>
      <c r="K2" s="20"/>
    </row>
    <row r="3" spans="1:11" s="18" customFormat="1" ht="15" x14ac:dyDescent="0.25">
      <c r="A3" s="14" t="s">
        <v>152</v>
      </c>
      <c r="B3" s="14"/>
      <c r="C3" s="14"/>
      <c r="D3" s="14"/>
      <c r="E3" s="14"/>
      <c r="F3" s="20"/>
      <c r="G3" s="20"/>
      <c r="I3" s="20"/>
      <c r="J3" s="20"/>
      <c r="K3" s="20"/>
    </row>
    <row r="4" spans="1:11" s="21" customFormat="1" ht="14.45" customHeight="1" x14ac:dyDescent="0.2">
      <c r="A4" s="23" t="s">
        <v>85</v>
      </c>
      <c r="B4" s="15"/>
      <c r="C4" s="15"/>
      <c r="D4" s="15"/>
      <c r="E4" s="15"/>
      <c r="F4" s="15"/>
      <c r="G4" s="15"/>
      <c r="I4" s="15"/>
      <c r="J4" s="15"/>
      <c r="K4" s="15"/>
    </row>
    <row r="5" spans="1:11" s="20" customFormat="1" ht="15" x14ac:dyDescent="0.25">
      <c r="A5" s="21" t="s">
        <v>29</v>
      </c>
    </row>
    <row r="6" spans="1:11" s="20" customFormat="1" ht="15" x14ac:dyDescent="0.25">
      <c r="B6" s="27" t="s">
        <v>20</v>
      </c>
      <c r="C6" s="27" t="s">
        <v>65</v>
      </c>
      <c r="D6" s="27" t="s">
        <v>83</v>
      </c>
      <c r="E6" s="28" t="s">
        <v>19</v>
      </c>
      <c r="F6" s="28" t="s">
        <v>16</v>
      </c>
      <c r="J6" s="6"/>
      <c r="K6" s="6"/>
    </row>
    <row r="7" spans="1:11" s="20" customFormat="1" ht="15" x14ac:dyDescent="0.25">
      <c r="A7" s="21" t="s">
        <v>36</v>
      </c>
    </row>
    <row r="8" spans="1:11" s="20" customFormat="1" ht="15" x14ac:dyDescent="0.25">
      <c r="A8" s="22"/>
      <c r="B8" s="36" t="s">
        <v>37</v>
      </c>
      <c r="C8" s="33" t="s">
        <v>67</v>
      </c>
      <c r="D8" s="33" t="s">
        <v>84</v>
      </c>
      <c r="E8" s="33" t="s">
        <v>82</v>
      </c>
      <c r="F8" s="37" t="s">
        <v>81</v>
      </c>
    </row>
    <row r="9" spans="1:11" s="20" customFormat="1" ht="15" x14ac:dyDescent="0.25">
      <c r="A9" s="21" t="s">
        <v>30</v>
      </c>
    </row>
    <row r="10" spans="1:11" s="20" customFormat="1" ht="15" x14ac:dyDescent="0.25"/>
    <row r="11" spans="1:11" s="20" customFormat="1" ht="15" x14ac:dyDescent="0.25"/>
    <row r="12" spans="1:11" s="20" customFormat="1" ht="15" x14ac:dyDescent="0.25">
      <c r="A12" s="21" t="s">
        <v>24</v>
      </c>
    </row>
    <row r="13" spans="1:11" x14ac:dyDescent="0.3">
      <c r="B13" s="5"/>
      <c r="C13" s="5"/>
      <c r="D13" s="5"/>
      <c r="E13" s="4"/>
    </row>
  </sheetData>
  <pageMargins left="0.7" right="0.7" top="0.75" bottom="0.75" header="0.3" footer="0.3"/>
  <pageSetup scale="71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2BDA06-FB60-4F6A-85D5-19A55C1E5E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Version history</vt:lpstr>
      <vt:lpstr>Global Settings</vt:lpstr>
      <vt:lpstr>Filter</vt:lpstr>
      <vt:lpstr>Client Specific Settings</vt:lpstr>
      <vt:lpstr>STL Pricelist Master</vt:lpstr>
      <vt:lpstr>BorderWise Pricelist Master</vt:lpstr>
      <vt:lpstr>TPT-Master</vt:lpstr>
      <vt:lpstr>STL-DiscountVolume</vt:lpstr>
      <vt:lpstr>STL-DiscountIntroductory</vt:lpstr>
      <vt:lpstr>STL-DiscountPrepayment</vt:lpstr>
      <vt:lpstr>STL-DiscountIndustryPartner</vt:lpstr>
      <vt:lpstr>STL-DiscountCertified</vt:lpstr>
      <vt:lpstr>STLPricelistVersion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Chaudhury</dc:creator>
  <cp:lastModifiedBy>Mark Pinto Hinkel</cp:lastModifiedBy>
  <cp:lastPrinted>2022-09-19T03:19:04Z</cp:lastPrinted>
  <dcterms:created xsi:type="dcterms:W3CDTF">2021-06-09T23:53:34Z</dcterms:created>
  <dcterms:modified xsi:type="dcterms:W3CDTF">2022-10-20T23:07:35Z</dcterms:modified>
</cp:coreProperties>
</file>
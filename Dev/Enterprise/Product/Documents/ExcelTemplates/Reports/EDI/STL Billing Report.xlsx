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Reports\EDI\"/>
    </mc:Choice>
  </mc:AlternateContent>
  <xr:revisionPtr revIDLastSave="0" documentId="13_ncr:1_{79137372-0DC6-4480-8A4C-D0ACF746E61D}" xr6:coauthVersionLast="47" xr6:coauthVersionMax="47" xr10:uidLastSave="{00000000-0000-0000-0000-000000000000}"/>
  <bookViews>
    <workbookView xWindow="-120" yWindow="-120" windowWidth="29040" windowHeight="15720" tabRatio="872" activeTab="1" xr2:uid="{00000000-000D-0000-FFFF-FFFF00000000}"/>
  </bookViews>
  <sheets>
    <sheet name="STL Billing Report" sheetId="1" r:id="rId1"/>
    <sheet name="Filter" sheetId="41" r:id="rId2"/>
  </sheets>
  <externalReferences>
    <externalReference r:id="rId3"/>
  </externalReferences>
  <definedNames>
    <definedName name="BRDPriceListVersion">'STL Billing Report'!#REF!</definedName>
    <definedName name="Discount_Structure">'[1]I-Assumptions'!$A$60:$A$66</definedName>
    <definedName name="Discount_Structure_Lookup">'[1]I-Assumptions'!$A$60:$O$66</definedName>
    <definedName name="ExRates">'[1]I-Assumptions'!$A$9:$E$19</definedName>
    <definedName name="ExRates20.07">'[1]I-Assumptions'!#REF!</definedName>
    <definedName name="ExRatesLDAAS">'[1]I-Assumptions'!$M$8:$Q$19</definedName>
    <definedName name="GSSPriceListVersion">'STL Billing Report'!#REF!</definedName>
    <definedName name="GTM_ExRates">'[1]I-Assumptions'!$G$7:$K$19</definedName>
    <definedName name="STLPricelistVersion">'STL Billing Report'!$B$6</definedName>
    <definedName name="TPTLCLAutoma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1" l="1"/>
</calcChain>
</file>

<file path=xl/sharedStrings.xml><?xml version="1.0" encoding="utf-8"?>
<sst xmlns="http://schemas.openxmlformats.org/spreadsheetml/2006/main" count="98" uniqueCount="95">
  <si>
    <t>#Config</t>
  </si>
  <si>
    <t>#DocumentHeader</t>
  </si>
  <si>
    <t>#EndOfReport</t>
  </si>
  <si>
    <t>Type</t>
  </si>
  <si>
    <t>Date</t>
  </si>
  <si>
    <t>DefaultValue</t>
  </si>
  <si>
    <t>#End</t>
  </si>
  <si>
    <t>#SectionHeader:ShowEvenWithNoData</t>
  </si>
  <si>
    <t>#SectionFooter:ShowEvenWithNoData</t>
  </si>
  <si>
    <t>Required</t>
  </si>
  <si>
    <t>#SectionBody:Data=ReportData</t>
  </si>
  <si>
    <t>PageStyle=Continuous</t>
  </si>
  <si>
    <t>Name=STL Billing Report</t>
  </si>
  <si>
    <t>organisation Lookup</t>
  </si>
  <si>
    <t>Date To</t>
  </si>
  <si>
    <t>Organization</t>
  </si>
  <si>
    <t>Product</t>
  </si>
  <si>
    <t>incidentproducts codelist</t>
  </si>
  <si>
    <t>PayingOrg</t>
  </si>
  <si>
    <t>LD_DatabaseNumber</t>
  </si>
  <si>
    <t>AG_AccountNum</t>
  </si>
  <si>
    <t>AG_Description</t>
  </si>
  <si>
    <t>GB_Code</t>
  </si>
  <si>
    <t>AH_PostDate</t>
  </si>
  <si>
    <t>BU9_PeriodStart</t>
  </si>
  <si>
    <t>BU9_UnitCount</t>
  </si>
  <si>
    <t>BU9_PriceCode</t>
  </si>
  <si>
    <t>BU9_UnitPrice</t>
  </si>
  <si>
    <t>BU9_PriceCurrency</t>
  </si>
  <si>
    <t>BU9_LocalAmountPreDiscount</t>
  </si>
  <si>
    <t>BU9_LocalAmountPostDiscount</t>
  </si>
  <si>
    <t>BU9_TransactionAmountPreDiscount</t>
  </si>
  <si>
    <t>BU9_TransactionAmountPostDiscount</t>
  </si>
  <si>
    <t>BU9_BillingModel</t>
  </si>
  <si>
    <t>L7_Order</t>
  </si>
  <si>
    <t>L7_FeeType</t>
  </si>
  <si>
    <t>L7_Price</t>
  </si>
  <si>
    <t>L7_ParentCode</t>
  </si>
  <si>
    <t>L7_WebParentCode</t>
  </si>
  <si>
    <t>L7_LicenceUnits</t>
  </si>
  <si>
    <t>L7_Description</t>
  </si>
  <si>
    <t>L7_DiscountChargeCode</t>
  </si>
  <si>
    <t>L6_PricelistVersion</t>
  </si>
  <si>
    <t>LE_EnterpriseCode</t>
  </si>
  <si>
    <t>UsingOrg</t>
  </si>
  <si>
    <t>AH_IsCancelled</t>
  </si>
  <si>
    <t>AH_TransactionNum</t>
  </si>
  <si>
    <t>AH_RX_NKTransactionCurrency</t>
  </si>
  <si>
    <t>BU9_UsageCode</t>
  </si>
  <si>
    <t>BU9_UsageSubCode</t>
  </si>
  <si>
    <t>Membership</t>
  </si>
  <si>
    <t>AC_Code</t>
  </si>
  <si>
    <t>PayEnt</t>
  </si>
  <si>
    <t>CompanyCountry</t>
  </si>
  <si>
    <t>HostedLocation</t>
  </si>
  <si>
    <t>&lt;ReportData.PayingOrg&gt;</t>
  </si>
  <si>
    <t>&lt;ReportData.LD_DatabaseNumber&gt;</t>
  </si>
  <si>
    <t>&lt;ReportData.AG_AccountNum&gt;</t>
  </si>
  <si>
    <t>&lt;ReportData.AG_Description&gt;</t>
  </si>
  <si>
    <t>&lt;ReportData.GB_Code&gt;</t>
  </si>
  <si>
    <t>&lt;ReportData.AH_PostDate&gt;</t>
  </si>
  <si>
    <t>&lt;ReportData.BU9_PeriodStart&gt;</t>
  </si>
  <si>
    <t>&lt;ReportData.BU9_UnitCount&gt;</t>
  </si>
  <si>
    <t>&lt;ReportData.BU9_PriceCode&gt;</t>
  </si>
  <si>
    <t>&lt;ReportData.BU9_UnitPrice&gt;</t>
  </si>
  <si>
    <t>&lt;ReportData.BU9_PriceCurrency&gt;</t>
  </si>
  <si>
    <t>&lt;ReportData.BU9_LocalAmountPreDiscount&gt;</t>
  </si>
  <si>
    <t>&lt;ReportData.BU9_LocalAmountPostDiscount&gt;</t>
  </si>
  <si>
    <t>&lt;ReportData.BU9_TransactionAmountPreDiscount&gt;</t>
  </si>
  <si>
    <t>&lt;ReportData.BU9_TransactionAmountPostDiscount&gt;</t>
  </si>
  <si>
    <t>&lt;ReportData.BU9_BillingModel&gt;</t>
  </si>
  <si>
    <t>&lt;ReportData.L7_Order&gt;</t>
  </si>
  <si>
    <t>&lt;ReportData.L7_FeeType&gt;</t>
  </si>
  <si>
    <t>&lt;ReportData.L7_Price&gt;</t>
  </si>
  <si>
    <t>&lt;ReportData.L7_ParentCode&gt;</t>
  </si>
  <si>
    <t>&lt;ReportData.L7_WebParentCode&gt;</t>
  </si>
  <si>
    <t>&lt;ReportData.L7_LicenceUnits&gt;</t>
  </si>
  <si>
    <t>&lt;ReportData.L7_Description&gt;</t>
  </si>
  <si>
    <t>&lt;ReportData.L7_DiscountChargeCode&gt;</t>
  </si>
  <si>
    <t>&lt;ReportData.L6_PricelistVersion&gt;</t>
  </si>
  <si>
    <t>&lt;ReportData.LE_EnterpriseCode&gt;</t>
  </si>
  <si>
    <t>&lt;ReportData.UsingOrg&gt;</t>
  </si>
  <si>
    <t>&lt;ReportData.AH_IsCancelled&gt;</t>
  </si>
  <si>
    <t>&lt;ReportData.AH_TransactionNum&gt;</t>
  </si>
  <si>
    <t>&lt;ReportData.AH_RX_NKTransactionCurrency&gt;</t>
  </si>
  <si>
    <t>&lt;ReportData.BU9_UsageCode&gt;</t>
  </si>
  <si>
    <t>&lt;ReportData.BU9_UsageSubCode&gt;</t>
  </si>
  <si>
    <t>&lt;ReportData.Membership&gt;</t>
  </si>
  <si>
    <t>&lt;ReportData.AC_Code&gt;</t>
  </si>
  <si>
    <t>&lt;ReportData.PayEnt&gt;</t>
  </si>
  <si>
    <t>&lt;ReportData.CompanyCountry&gt;</t>
  </si>
  <si>
    <t>&lt;ReportData.HostedLocation&gt;</t>
  </si>
  <si>
    <t>Date To:</t>
  </si>
  <si>
    <t>&lt;DateTimeAsString('&lt;Date To&gt;','ShortDateFormat')&gt;</t>
  </si>
  <si>
    <t>Data:ReportData=exec dbo.Report_EdiStlBilling &lt;Organization&gt;, &lt;Date To&gt;, &lt;Product&gt;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</si>
</sst>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1" fillId="0" borderId="0" xfId="10" applyFont="1"/>
    <xf numFmtId="49" fontId="1" fillId="0" borderId="0" xfId="10" applyNumberFormat="1" applyFont="1"/>
  </cellXfs>
  <cellStyles count="13">
    <cellStyle name="Comma 2" xfId="4" xr:uid="{00000000-0005-0000-0000-000001000000}"/>
    <cellStyle name="Comma 2 2" xfId="8" xr:uid="{FE94DB3E-45BB-457B-8E7C-B83212FA8A87}"/>
    <cellStyle name="Comma 2 3" xfId="11" xr:uid="{FAC5902E-E88E-4453-957C-6CE737016862}"/>
    <cellStyle name="Comma 3" xfId="2" xr:uid="{00000000-0005-0000-0000-000002000000}"/>
    <cellStyle name="Comma 4" xfId="6" xr:uid="{B5A690C1-C22A-4E84-BF4D-4132BE1C3712}"/>
    <cellStyle name="Currency 2" xfId="5" xr:uid="{00000000-0005-0000-0000-000004000000}"/>
    <cellStyle name="Currency 2 2" xfId="9" xr:uid="{0B80D951-0D7A-4C8D-9E6A-F573D67571E5}"/>
    <cellStyle name="Currency 3" xfId="3" xr:uid="{00000000-0005-0000-0000-000005000000}"/>
    <cellStyle name="Currency 4" xfId="7" xr:uid="{D4AB7DFE-D00B-4D5A-9089-FB089838A279}"/>
    <cellStyle name="Normal" xfId="0" builtinId="0"/>
    <cellStyle name="Normal 2" xfId="1" xr:uid="{00000000-0005-0000-0000-000007000000}"/>
    <cellStyle name="Normal 2 2" xfId="12" xr:uid="{15064C33-EAA4-4C8B-8C91-B67F9039474A}"/>
    <cellStyle name="Normal 3" xfId="10" xr:uid="{56D42A8E-CDEF-470C-A4A7-BF3090ACE798}"/>
  </cellStyles>
  <dxfs count="47"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fgColor theme="4"/>
          <bgColor rgb="FF1D1765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ricelistTableStyle01" pivot="0" count="9" xr9:uid="{BF0C13ED-7270-49A3-83DC-49C6EF42E0C1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secondRowStripe" dxfId="40"/>
      <tableStyleElement type="firstColumnStripe" dxfId="39"/>
      <tableStyleElement type="secondColumn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setechglobal.sharepoint.com/sites/TMWTGProdDevCRM/Shared%20Documents/General/2021%20Pricelist%20Project/Customer%20Pricing%20DIRCOUB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PFT) Step1_Enter_Data"/>
      <sheetName val="Proforma Invoice Worksheet"/>
      <sheetName val="(PFT)Step2_UpdateInvoiceBody&amp;LH"/>
      <sheetName val="WTG Invoicing Branch Details"/>
      <sheetName val="WTG Bank Details"/>
      <sheetName val="ToDo"/>
      <sheetName val="LDaaS Purchase Order Form"/>
      <sheetName val="I-CustomerQuoteSettings"/>
      <sheetName val="I-Assumptions"/>
      <sheetName val="CustomerPresentation"/>
      <sheetName val="CustomerPresentation (CHS)"/>
      <sheetName val="LDaaS Spares"/>
      <sheetName val="CustomerPresentation (CHT)"/>
      <sheetName val="O-C-I-STL_Pricelist"/>
      <sheetName val="O-C-I-LDaaS Pricelist"/>
      <sheetName val="O-C-I-e-Services"/>
      <sheetName val="O-F-I-BorderWise"/>
      <sheetName val="O-F-ABM Customs"/>
      <sheetName val="O-F-3rd Party Transactions"/>
      <sheetName val="O-C-STL Discount"/>
      <sheetName val="Global Discount"/>
      <sheetName val="Payment Terms"/>
      <sheetName val="Country Tiers"/>
      <sheetName val="Addl. pricelist code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G7" t="str">
            <v>Exchanges Rates</v>
          </cell>
          <cell r="H7" t="str">
            <v>Golden Tax Machine</v>
          </cell>
          <cell r="I7"/>
          <cell r="J7"/>
          <cell r="K7"/>
        </row>
        <row r="8">
          <cell r="G8" t="str">
            <v>Currency</v>
          </cell>
          <cell r="H8" t="str">
            <v>6pd USD Based
Rate*</v>
          </cell>
          <cell r="I8" t="str">
            <v>USD Based
Rate*</v>
          </cell>
          <cell r="J8" t="str">
            <v>Cross Currency
Uplift (%)</v>
          </cell>
          <cell r="K8" t="str">
            <v>Rounding (dp)</v>
          </cell>
          <cell r="M8" t="str">
            <v>Currency</v>
          </cell>
          <cell r="N8" t="str">
            <v>6pd USD Based
Rate*</v>
          </cell>
          <cell r="O8" t="str">
            <v>USD Based
Rate*</v>
          </cell>
          <cell r="P8" t="str">
            <v>Cross Currency
Uplift (%)</v>
          </cell>
          <cell r="Q8" t="str">
            <v>Rounding (dp)</v>
          </cell>
        </row>
        <row r="9">
          <cell r="A9" t="str">
            <v>AUD</v>
          </cell>
          <cell r="B9">
            <v>1.3278760000000001</v>
          </cell>
          <cell r="C9">
            <v>1.3278759999999998</v>
          </cell>
          <cell r="D9">
            <v>0</v>
          </cell>
          <cell r="E9">
            <v>2</v>
          </cell>
          <cell r="G9" t="str">
            <v>AUD</v>
          </cell>
          <cell r="H9">
            <v>1.3278760000000001</v>
          </cell>
          <cell r="I9">
            <v>1.3278759999999998</v>
          </cell>
          <cell r="J9">
            <v>0</v>
          </cell>
          <cell r="K9">
            <v>2</v>
          </cell>
          <cell r="M9" t="str">
            <v>AUD</v>
          </cell>
          <cell r="N9">
            <v>1.3278760000000001</v>
          </cell>
          <cell r="O9">
            <v>1.3278759999999998</v>
          </cell>
          <cell r="P9">
            <v>0</v>
          </cell>
          <cell r="Q9">
            <v>2</v>
          </cell>
        </row>
        <row r="10">
          <cell r="A10" t="str">
            <v>USD</v>
          </cell>
          <cell r="B10">
            <v>1</v>
          </cell>
          <cell r="C10">
            <v>1</v>
          </cell>
          <cell r="D10">
            <v>0</v>
          </cell>
          <cell r="E10">
            <v>2</v>
          </cell>
          <cell r="G10" t="str">
            <v>USD</v>
          </cell>
          <cell r="H10">
            <v>1</v>
          </cell>
          <cell r="I10">
            <v>1</v>
          </cell>
          <cell r="J10">
            <v>0</v>
          </cell>
          <cell r="K10">
            <v>2</v>
          </cell>
          <cell r="M10" t="str">
            <v>USD</v>
          </cell>
          <cell r="N10">
            <v>1</v>
          </cell>
          <cell r="O10">
            <v>1</v>
          </cell>
          <cell r="P10">
            <v>0</v>
          </cell>
          <cell r="Q10">
            <v>2</v>
          </cell>
        </row>
        <row r="11">
          <cell r="A11" t="str">
            <v>EUR</v>
          </cell>
          <cell r="B11">
            <v>0.84828000000000003</v>
          </cell>
          <cell r="C11">
            <v>0.84828000000000003</v>
          </cell>
          <cell r="D11">
            <v>0</v>
          </cell>
          <cell r="E11">
            <v>2</v>
          </cell>
          <cell r="G11" t="str">
            <v>EUR</v>
          </cell>
          <cell r="H11">
            <v>0.84828000000000003</v>
          </cell>
          <cell r="I11">
            <v>0.84828000000000003</v>
          </cell>
          <cell r="J11">
            <v>0</v>
          </cell>
          <cell r="K11">
            <v>2</v>
          </cell>
          <cell r="M11" t="str">
            <v>EUR</v>
          </cell>
          <cell r="N11">
            <v>0.84828000000000003</v>
          </cell>
          <cell r="O11">
            <v>0.84828000000000003</v>
          </cell>
          <cell r="P11">
            <v>0</v>
          </cell>
          <cell r="Q11">
            <v>2</v>
          </cell>
        </row>
        <row r="12">
          <cell r="A12" t="str">
            <v>GBP</v>
          </cell>
          <cell r="B12">
            <v>0.74038499999999996</v>
          </cell>
          <cell r="C12">
            <v>0.74038460000000006</v>
          </cell>
          <cell r="D12">
            <v>0</v>
          </cell>
          <cell r="E12">
            <v>2</v>
          </cell>
          <cell r="G12" t="str">
            <v>GBP</v>
          </cell>
          <cell r="H12">
            <v>0.74038499999999996</v>
          </cell>
          <cell r="I12">
            <v>0.74038460000000006</v>
          </cell>
          <cell r="J12">
            <v>0</v>
          </cell>
          <cell r="K12">
            <v>2</v>
          </cell>
          <cell r="M12" t="str">
            <v>GBP</v>
          </cell>
          <cell r="N12">
            <v>0.74038499999999996</v>
          </cell>
          <cell r="O12">
            <v>0.74038460000000006</v>
          </cell>
          <cell r="P12">
            <v>0</v>
          </cell>
          <cell r="Q12">
            <v>2</v>
          </cell>
        </row>
        <row r="13">
          <cell r="A13" t="str">
            <v>SGD</v>
          </cell>
          <cell r="B13">
            <v>1.3557699999999999</v>
          </cell>
          <cell r="C13">
            <v>1.3557699999999999</v>
          </cell>
          <cell r="D13">
            <v>0</v>
          </cell>
          <cell r="E13">
            <v>2</v>
          </cell>
          <cell r="G13" t="str">
            <v>SGD</v>
          </cell>
          <cell r="H13">
            <v>1.3557699999999999</v>
          </cell>
          <cell r="I13">
            <v>1.3557699999999999</v>
          </cell>
          <cell r="J13">
            <v>0</v>
          </cell>
          <cell r="K13">
            <v>2</v>
          </cell>
          <cell r="M13" t="str">
            <v>SGD</v>
          </cell>
          <cell r="N13">
            <v>1.3557699999999999</v>
          </cell>
          <cell r="O13">
            <v>1.3557699999999999</v>
          </cell>
          <cell r="P13">
            <v>0</v>
          </cell>
          <cell r="Q13">
            <v>2</v>
          </cell>
        </row>
        <row r="14">
          <cell r="A14" t="str">
            <v>ZAR</v>
          </cell>
          <cell r="B14">
            <v>14.70119</v>
          </cell>
          <cell r="C14">
            <v>14.70119</v>
          </cell>
          <cell r="D14">
            <v>0</v>
          </cell>
          <cell r="E14">
            <v>2</v>
          </cell>
          <cell r="G14" t="str">
            <v>ZAR</v>
          </cell>
          <cell r="H14">
            <v>14.70119</v>
          </cell>
          <cell r="I14">
            <v>14.70119</v>
          </cell>
          <cell r="J14">
            <v>0</v>
          </cell>
          <cell r="K14">
            <v>2</v>
          </cell>
          <cell r="M14" t="str">
            <v>ZAR</v>
          </cell>
          <cell r="N14">
            <v>14.70119</v>
          </cell>
          <cell r="O14">
            <v>14.70119</v>
          </cell>
          <cell r="P14">
            <v>0</v>
          </cell>
          <cell r="Q14">
            <v>2</v>
          </cell>
        </row>
        <row r="15">
          <cell r="A15" t="str">
            <v>NZD</v>
          </cell>
          <cell r="B15">
            <v>1.4313910000000001</v>
          </cell>
          <cell r="C15">
            <v>1.4313910000000001</v>
          </cell>
          <cell r="D15">
            <v>0</v>
          </cell>
          <cell r="E15">
            <v>2</v>
          </cell>
          <cell r="G15" t="str">
            <v>NZD</v>
          </cell>
          <cell r="H15">
            <v>1.4313910000000001</v>
          </cell>
          <cell r="I15">
            <v>1.4313910000000001</v>
          </cell>
          <cell r="J15">
            <v>0</v>
          </cell>
          <cell r="K15">
            <v>2</v>
          </cell>
          <cell r="M15" t="str">
            <v>NZD</v>
          </cell>
          <cell r="N15">
            <v>1.4313910000000001</v>
          </cell>
          <cell r="O15">
            <v>1.4313910000000001</v>
          </cell>
          <cell r="P15">
            <v>0</v>
          </cell>
          <cell r="Q15">
            <v>2</v>
          </cell>
        </row>
        <row r="16">
          <cell r="A16" t="str">
            <v>CAD</v>
          </cell>
          <cell r="B16">
            <v>1.2720499999999999</v>
          </cell>
          <cell r="C16">
            <v>1.2720500000000001</v>
          </cell>
          <cell r="D16">
            <v>0</v>
          </cell>
          <cell r="E16">
            <v>2</v>
          </cell>
          <cell r="G16" t="str">
            <v>CAD</v>
          </cell>
          <cell r="H16">
            <v>1.2720499999999999</v>
          </cell>
          <cell r="I16">
            <v>1.2720500000000001</v>
          </cell>
          <cell r="J16">
            <v>0</v>
          </cell>
          <cell r="K16">
            <v>2</v>
          </cell>
          <cell r="M16" t="str">
            <v>CAD</v>
          </cell>
          <cell r="N16">
            <v>1.2720499999999999</v>
          </cell>
          <cell r="O16">
            <v>1.2720500000000001</v>
          </cell>
          <cell r="P16">
            <v>0</v>
          </cell>
          <cell r="Q16">
            <v>2</v>
          </cell>
        </row>
        <row r="17">
          <cell r="A17" t="str">
            <v>CNY</v>
          </cell>
          <cell r="B17">
            <v>6.6590299999999996</v>
          </cell>
          <cell r="C17">
            <v>6.6590299999999996</v>
          </cell>
          <cell r="D17">
            <v>0</v>
          </cell>
          <cell r="E17">
            <v>2</v>
          </cell>
          <cell r="G17" t="str">
            <v>CNY</v>
          </cell>
          <cell r="H17">
            <v>6.6590299999999996</v>
          </cell>
          <cell r="I17">
            <v>6.6590299999999996</v>
          </cell>
          <cell r="J17">
            <v>0</v>
          </cell>
          <cell r="K17">
            <v>2</v>
          </cell>
          <cell r="M17" t="str">
            <v>CNY</v>
          </cell>
          <cell r="N17">
            <v>6.6590299999999996</v>
          </cell>
          <cell r="O17">
            <v>6.6590299999999996</v>
          </cell>
          <cell r="P17">
            <v>0</v>
          </cell>
          <cell r="Q17">
            <v>2</v>
          </cell>
        </row>
        <row r="18">
          <cell r="A18" t="str">
            <v>TWD</v>
          </cell>
          <cell r="B18">
            <v>28.595400000000001</v>
          </cell>
          <cell r="C18">
            <v>28.595400000000001</v>
          </cell>
          <cell r="D18">
            <v>0</v>
          </cell>
          <cell r="E18">
            <v>0</v>
          </cell>
          <cell r="G18" t="str">
            <v>TWD</v>
          </cell>
          <cell r="H18">
            <v>28.595400000000001</v>
          </cell>
          <cell r="I18">
            <v>28.595400000000001</v>
          </cell>
          <cell r="J18">
            <v>0</v>
          </cell>
          <cell r="K18">
            <v>0</v>
          </cell>
          <cell r="M18" t="str">
            <v>TWD</v>
          </cell>
          <cell r="N18">
            <v>28.595400000000001</v>
          </cell>
          <cell r="O18">
            <v>28.595400000000001</v>
          </cell>
          <cell r="P18">
            <v>0</v>
          </cell>
          <cell r="Q18">
            <v>0</v>
          </cell>
        </row>
        <row r="19">
          <cell r="A19" t="str">
            <v>HKD</v>
          </cell>
          <cell r="B19">
            <v>7.7506199999999996</v>
          </cell>
          <cell r="C19">
            <v>7.7506199999999996</v>
          </cell>
          <cell r="D19">
            <v>0</v>
          </cell>
          <cell r="E19">
            <v>2</v>
          </cell>
          <cell r="G19" t="str">
            <v>HKD</v>
          </cell>
          <cell r="H19">
            <v>7.7506199999999996</v>
          </cell>
          <cell r="I19">
            <v>7.7506199999999996</v>
          </cell>
          <cell r="J19">
            <v>0</v>
          </cell>
          <cell r="K19">
            <v>2</v>
          </cell>
          <cell r="M19" t="str">
            <v>HKD</v>
          </cell>
          <cell r="N19">
            <v>7.7506199999999996</v>
          </cell>
          <cell r="O19">
            <v>7.7506199999999996</v>
          </cell>
          <cell r="P19">
            <v>0</v>
          </cell>
          <cell r="Q19">
            <v>2</v>
          </cell>
        </row>
        <row r="60">
          <cell r="A60" t="str">
            <v>STL Standard</v>
          </cell>
          <cell r="B60" t="str">
            <v>All standard discount quoted applicable</v>
          </cell>
          <cell r="C60" t="str">
            <v>Y</v>
          </cell>
          <cell r="D60">
            <v>0.1</v>
          </cell>
          <cell r="E60">
            <v>0.4</v>
          </cell>
          <cell r="F60"/>
          <cell r="G60">
            <v>0</v>
          </cell>
          <cell r="H60">
            <v>0.05</v>
          </cell>
          <cell r="I60">
            <v>0</v>
          </cell>
          <cell r="J60">
            <v>2.5000000000000001E-2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A61" t="str">
            <v>Core Standard</v>
          </cell>
          <cell r="B61" t="str">
            <v>Domestic + Developing + All standard discount quoted applicable</v>
          </cell>
          <cell r="C61" t="str">
            <v>Y</v>
          </cell>
          <cell r="D61">
            <v>0.1</v>
          </cell>
          <cell r="E61">
            <v>0.4</v>
          </cell>
          <cell r="F61"/>
          <cell r="G61">
            <v>0</v>
          </cell>
          <cell r="H61">
            <v>0.05</v>
          </cell>
          <cell r="I61">
            <v>0</v>
          </cell>
          <cell r="J61">
            <v>2.5000000000000001E-2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A62" t="str">
            <v>Core Non-Volume</v>
          </cell>
          <cell r="B62" t="str">
            <v>Sames as Core Standard, but Core not in Standard Volume Discount</v>
          </cell>
          <cell r="C62" t="str">
            <v>N</v>
          </cell>
          <cell r="D62">
            <v>0.1</v>
          </cell>
          <cell r="E62">
            <v>0.4</v>
          </cell>
          <cell r="F62"/>
          <cell r="G62">
            <v>0</v>
          </cell>
          <cell r="H62">
            <v>0.05</v>
          </cell>
          <cell r="I62">
            <v>0</v>
          </cell>
          <cell r="J62">
            <v>2.5000000000000001E-2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A63" t="str">
            <v>Prepayment Only</v>
          </cell>
          <cell r="B63" t="str">
            <v>No discount, only prepayment applies</v>
          </cell>
          <cell r="C63" t="str">
            <v>N</v>
          </cell>
          <cell r="D63">
            <v>0</v>
          </cell>
          <cell r="E63">
            <v>0</v>
          </cell>
          <cell r="F63"/>
          <cell r="G63">
            <v>0</v>
          </cell>
          <cell r="H63">
            <v>0</v>
          </cell>
          <cell r="I63">
            <v>0</v>
          </cell>
          <cell r="J63">
            <v>2.5000000000000001E-2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 t="str">
            <v>0 Discount</v>
          </cell>
          <cell r="B64" t="str">
            <v>No discount at all</v>
          </cell>
          <cell r="C64" t="str">
            <v>N</v>
          </cell>
          <cell r="D64">
            <v>0</v>
          </cell>
          <cell r="E64">
            <v>0</v>
          </cell>
          <cell r="F64"/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 t="str">
            <v>STL Standard ex Volume</v>
          </cell>
          <cell r="B65" t="str">
            <v>All standard discount quoted applicable excluding volume discount</v>
          </cell>
          <cell r="C65" t="str">
            <v>Y</v>
          </cell>
          <cell r="D65">
            <v>0.1</v>
          </cell>
          <cell r="E65">
            <v>0.4</v>
          </cell>
          <cell r="F65"/>
          <cell r="G65">
            <v>0</v>
          </cell>
          <cell r="H65">
            <v>0.05</v>
          </cell>
          <cell r="I65">
            <v>0</v>
          </cell>
          <cell r="J65">
            <v>2.5000000000000001E-2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 t="str">
            <v>Special</v>
          </cell>
          <cell r="B66" t="str">
            <v>Refer to 'Non-Standard' Tab</v>
          </cell>
          <cell r="C66" t="str">
            <v>Please refer to "Non-Standard" Tab</v>
          </cell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LExchangeRates" displayName="STLExchangeRates" ref="B9:AL13" totalsRowShown="0" headerRowDxfId="37" dataDxfId="36">
  <autoFilter ref="B9:AL13" xr:uid="{00000000-0009-0000-0100-000001000000}"/>
  <tableColumns count="37">
    <tableColumn id="3" xr3:uid="{00000000-0010-0000-0000-000003000000}" name="PayingOrg" dataDxfId="35"/>
    <tableColumn id="8" xr3:uid="{4FC448D1-B6AC-40CC-8EE6-7EF6BA29556A}" name="LD_DatabaseNumber"/>
    <tableColumn id="1" xr3:uid="{00000000-0010-0000-0000-000001000000}" name="AG_AccountNum" dataDxfId="34"/>
    <tableColumn id="2" xr3:uid="{00000000-0010-0000-0000-000002000000}" name="AG_Description" dataDxfId="33"/>
    <tableColumn id="4" xr3:uid="{480C67C0-F056-493F-936B-83DA22AB0A95}" name="GB_Code" dataDxfId="32"/>
    <tableColumn id="5" xr3:uid="{4A8ADFAF-B5B7-46F5-8E2C-AA6D50B63BDA}" name="AH_PostDate" dataDxfId="31"/>
    <tableColumn id="6" xr3:uid="{B06785AF-A879-4CAF-B346-5D8303B148A1}" name="BU9_PeriodStart" dataDxfId="30">
      <calculatedColumnFormula>STLExchangeRates[[#This Row],[GB_Code]]*(1+STLExchangeRates[[#This Row],[AH_PostDate]]/100)</calculatedColumnFormula>
    </tableColumn>
    <tableColumn id="7" xr3:uid="{3A263BD9-35C4-4111-BC63-87A10E44DBEB}" name="BU9_UnitCount" dataDxfId="29"/>
    <tableColumn id="9" xr3:uid="{39C63C21-3AE2-4DDB-A045-DCED7CD6CDAF}" name="BU9_PriceCode" dataDxfId="28"/>
    <tableColumn id="10" xr3:uid="{F70B68D8-56B4-4CF3-BC40-B630BAFE647E}" name="BU9_UnitPrice" dataDxfId="27"/>
    <tableColumn id="11" xr3:uid="{C232029A-BB99-494B-B64B-15CFB7887519}" name="BU9_PriceCurrency" dataDxfId="26"/>
    <tableColumn id="12" xr3:uid="{AD8DE39E-A4F7-4384-A9D4-DF6A3703D006}" name="BU9_LocalAmountPreDiscount" dataDxfId="25"/>
    <tableColumn id="13" xr3:uid="{69454097-C609-4AD8-BBEB-65FD39AA390B}" name="BU9_LocalAmountPostDiscount" dataDxfId="24"/>
    <tableColumn id="14" xr3:uid="{23214D19-A733-41D6-84AB-91CED8D8C170}" name="BU9_TransactionAmountPreDiscount" dataDxfId="23"/>
    <tableColumn id="15" xr3:uid="{7F7F5EF9-EEA7-4FAD-B6FE-6D3F9210B359}" name="BU9_TransactionAmountPostDiscount" dataDxfId="22"/>
    <tableColumn id="16" xr3:uid="{14D81DA0-9F4C-4FF2-B2B2-9980D3EB783B}" name="BU9_BillingModel" dataDxfId="21"/>
    <tableColumn id="17" xr3:uid="{1E46564A-8AAF-4F94-9D93-EFE45C1D23C0}" name="L7_Order" dataDxfId="20"/>
    <tableColumn id="18" xr3:uid="{D838EEF8-ED34-4C0C-AF80-5DDD5BB0E77C}" name="L7_FeeType" dataDxfId="19"/>
    <tableColumn id="19" xr3:uid="{EF05C9F2-0F15-4F46-9B4E-6C110907BBE7}" name="L7_Price" dataDxfId="18"/>
    <tableColumn id="20" xr3:uid="{2F6A2338-3B44-48B0-B2BC-5BCAFDF4E900}" name="L7_ParentCode" dataDxfId="17"/>
    <tableColumn id="21" xr3:uid="{210126B9-07AB-43A4-8DCC-DEE80DFC926A}" name="L7_WebParentCode" dataDxfId="16"/>
    <tableColumn id="22" xr3:uid="{804BF6DB-660D-44C7-AD32-153E131C01DA}" name="L7_LicenceUnits" dataDxfId="15"/>
    <tableColumn id="23" xr3:uid="{6CEA080E-336A-446A-A2EA-DD840C87ED8F}" name="L7_Description" dataDxfId="14"/>
    <tableColumn id="24" xr3:uid="{15C43A72-82A5-4C83-B4D9-6D7824CFF0A3}" name="L7_DiscountChargeCode" dataDxfId="13"/>
    <tableColumn id="25" xr3:uid="{2D90873B-B28D-41C6-9B91-6679F87EC7F2}" name="L6_PricelistVersion" dataDxfId="12"/>
    <tableColumn id="26" xr3:uid="{CCEBDC78-992E-4E14-8458-F1141EB4F4A2}" name="LE_EnterpriseCode" dataDxfId="11"/>
    <tableColumn id="27" xr3:uid="{6D45F98F-16E9-4899-8D93-3E73688C5DF4}" name="UsingOrg" dataDxfId="10"/>
    <tableColumn id="28" xr3:uid="{E00FF8BB-B76B-4EDF-94B1-F0F89E219CF2}" name="AH_IsCancelled" dataDxfId="9"/>
    <tableColumn id="29" xr3:uid="{A604D4BE-CAC0-428A-87F3-16CFADC44B25}" name="AH_TransactionNum" dataDxfId="8"/>
    <tableColumn id="30" xr3:uid="{A46A9351-7102-4029-910E-6ED91607459F}" name="AH_RX_NKTransactionCurrency" dataDxfId="7"/>
    <tableColumn id="31" xr3:uid="{88CCB003-0534-4231-8410-A489874079CE}" name="BU9_UsageCode" dataDxfId="6"/>
    <tableColumn id="32" xr3:uid="{6F3480C3-5017-4E14-B88E-0B31382849A6}" name="BU9_UsageSubCode" dataDxfId="5"/>
    <tableColumn id="33" xr3:uid="{A2A81920-E707-4BCB-B253-39E313A3E31F}" name="Membership" dataDxfId="4"/>
    <tableColumn id="34" xr3:uid="{45897A65-CAD0-4135-BF62-83FCECEC9670}" name="AC_Code" dataDxfId="3"/>
    <tableColumn id="35" xr3:uid="{24FAB3CF-18AF-437A-A954-75D6C01C1B30}" name="PayEnt" dataDxfId="2"/>
    <tableColumn id="36" xr3:uid="{E77F9C5A-1577-49D2-BBA8-4E87341DE2B0}" name="CompanyCountry" dataDxfId="1"/>
    <tableColumn id="37" xr3:uid="{0B569BC7-33BD-4C1D-8DA6-9BB88B9121E4}" name="HostedLocation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5"/>
  <sheetViews>
    <sheetView zoomScaleNormal="100" workbookViewId="0">
      <selection activeCell="A4" sqref="A4"/>
    </sheetView>
  </sheetViews>
  <sheetFormatPr defaultRowHeight="15" x14ac:dyDescent="0.25"/>
  <cols>
    <col min="2" max="2" width="28.7109375" customWidth="1"/>
    <col min="3" max="3" width="54.5703125" bestFit="1" customWidth="1"/>
    <col min="4" max="4" width="29.140625" bestFit="1" customWidth="1"/>
    <col min="5" max="5" width="27.85546875" bestFit="1" customWidth="1"/>
    <col min="6" max="6" width="22" bestFit="1" customWidth="1"/>
    <col min="7" max="7" width="25.7109375" bestFit="1" customWidth="1"/>
    <col min="8" max="8" width="28.5703125" bestFit="1" customWidth="1"/>
    <col min="9" max="10" width="27.5703125" bestFit="1" customWidth="1"/>
    <col min="11" max="11" width="26.7109375" bestFit="1" customWidth="1"/>
    <col min="12" max="12" width="31" bestFit="1" customWidth="1"/>
    <col min="13" max="13" width="41.28515625" bestFit="1" customWidth="1"/>
    <col min="14" max="14" width="42.28515625" bestFit="1" customWidth="1"/>
    <col min="15" max="15" width="47.28515625" bestFit="1" customWidth="1"/>
    <col min="16" max="16" width="48.140625" bestFit="1" customWidth="1"/>
    <col min="17" max="17" width="30" bestFit="1" customWidth="1"/>
    <col min="18" max="18" width="22" bestFit="1" customWidth="1"/>
    <col min="19" max="19" width="24.42578125" bestFit="1" customWidth="1"/>
    <col min="20" max="20" width="21.140625" bestFit="1" customWidth="1"/>
    <col min="21" max="21" width="27.42578125" bestFit="1" customWidth="1"/>
    <col min="22" max="22" width="31.7109375" bestFit="1" customWidth="1"/>
    <col min="23" max="23" width="28.140625" bestFit="1" customWidth="1"/>
    <col min="24" max="24" width="27.140625" bestFit="1" customWidth="1"/>
    <col min="25" max="25" width="35.7109375" bestFit="1" customWidth="1"/>
    <col min="26" max="26" width="31.140625" bestFit="1" customWidth="1"/>
    <col min="27" max="27" width="30.85546875" bestFit="1" customWidth="1"/>
    <col min="28" max="28" width="22" bestFit="1" customWidth="1"/>
    <col min="29" max="29" width="27.85546875" bestFit="1" customWidth="1"/>
    <col min="30" max="30" width="32.28515625" bestFit="1" customWidth="1"/>
    <col min="31" max="31" width="42.140625" bestFit="1" customWidth="1"/>
    <col min="32" max="32" width="28.42578125" bestFit="1" customWidth="1"/>
    <col min="33" max="33" width="31.85546875" bestFit="1" customWidth="1"/>
    <col min="34" max="34" width="25.28515625" bestFit="1" customWidth="1"/>
    <col min="35" max="35" width="22" bestFit="1" customWidth="1"/>
    <col min="36" max="36" width="19.85546875" bestFit="1" customWidth="1"/>
    <col min="37" max="37" width="29.42578125" bestFit="1" customWidth="1"/>
    <col min="38" max="38" width="27.85546875" bestFit="1" customWidth="1"/>
  </cols>
  <sheetData>
    <row r="1" spans="1:40" s="4" customFormat="1" x14ac:dyDescent="0.25">
      <c r="A1" s="6" t="s">
        <v>0</v>
      </c>
      <c r="B1" s="6"/>
      <c r="C1" s="6"/>
      <c r="D1"/>
      <c r="E1"/>
      <c r="F1" s="3"/>
      <c r="G1" s="3"/>
      <c r="H1"/>
      <c r="I1"/>
      <c r="J1" s="3"/>
      <c r="K1" s="3"/>
      <c r="L1" s="3"/>
      <c r="M1" s="3"/>
      <c r="N1" s="3"/>
      <c r="O1"/>
      <c r="P1"/>
      <c r="Q1"/>
      <c r="R1"/>
      <c r="S1"/>
      <c r="U1" s="3"/>
      <c r="V1" s="3"/>
      <c r="W1"/>
      <c r="X1"/>
      <c r="Y1"/>
      <c r="Z1"/>
      <c r="AA1"/>
    </row>
    <row r="2" spans="1:40" s="4" customFormat="1" x14ac:dyDescent="0.25">
      <c r="A2" s="6" t="s">
        <v>12</v>
      </c>
      <c r="B2" s="6"/>
      <c r="C2" s="6"/>
      <c r="D2"/>
      <c r="E2"/>
      <c r="F2" s="3"/>
      <c r="G2" s="3"/>
      <c r="H2"/>
      <c r="I2"/>
      <c r="J2" s="3"/>
      <c r="K2" s="3"/>
      <c r="L2" s="3"/>
      <c r="M2" s="3"/>
      <c r="N2" s="3"/>
      <c r="O2"/>
      <c r="P2"/>
      <c r="Q2"/>
      <c r="R2"/>
      <c r="S2"/>
      <c r="U2" s="3"/>
      <c r="V2" s="3"/>
      <c r="W2"/>
      <c r="X2"/>
      <c r="Y2"/>
      <c r="Z2"/>
      <c r="AA2"/>
    </row>
    <row r="3" spans="1:40" s="4" customFormat="1" x14ac:dyDescent="0.25">
      <c r="A3" s="6" t="s">
        <v>11</v>
      </c>
      <c r="B3" s="6"/>
      <c r="C3" s="6"/>
      <c r="D3"/>
      <c r="E3"/>
      <c r="F3" s="3"/>
      <c r="G3" s="3"/>
      <c r="H3"/>
      <c r="I3"/>
      <c r="J3" s="3"/>
      <c r="K3" s="3"/>
      <c r="L3" s="3"/>
      <c r="M3" s="3"/>
      <c r="N3" s="3"/>
      <c r="O3"/>
      <c r="P3"/>
      <c r="Q3"/>
      <c r="R3"/>
      <c r="S3"/>
      <c r="U3" s="3"/>
      <c r="V3" s="3"/>
      <c r="W3"/>
      <c r="X3"/>
      <c r="Y3"/>
      <c r="Z3"/>
      <c r="AA3"/>
    </row>
    <row r="4" spans="1:40" s="2" customFormat="1" ht="14.45" customHeight="1" x14ac:dyDescent="0.2">
      <c r="A4" s="9" t="s">
        <v>94</v>
      </c>
      <c r="B4" s="1"/>
      <c r="C4" s="1"/>
      <c r="D4" s="1"/>
      <c r="E4" s="1"/>
      <c r="F4" s="7"/>
      <c r="G4" s="7"/>
      <c r="H4" s="1"/>
      <c r="I4" s="1"/>
      <c r="J4" s="7"/>
      <c r="K4" s="7"/>
      <c r="L4" s="7"/>
      <c r="M4" s="7"/>
      <c r="N4" s="7"/>
      <c r="O4" s="1"/>
      <c r="P4" s="1"/>
      <c r="Q4" s="1"/>
      <c r="R4" s="1"/>
      <c r="S4" s="1"/>
      <c r="U4" s="7"/>
      <c r="V4" s="7"/>
      <c r="W4" s="1"/>
      <c r="X4" s="1"/>
      <c r="Y4" s="1"/>
      <c r="Z4" s="1"/>
      <c r="AA4" s="1"/>
    </row>
    <row r="5" spans="1:40" x14ac:dyDescent="0.25">
      <c r="A5" s="2" t="s">
        <v>1</v>
      </c>
      <c r="B5" s="2"/>
      <c r="C5" s="2"/>
      <c r="F5" s="3"/>
      <c r="G5" s="3"/>
      <c r="J5" s="3"/>
      <c r="K5" s="3"/>
      <c r="L5" s="3"/>
      <c r="M5" s="3"/>
      <c r="N5" s="3"/>
      <c r="T5" s="4"/>
      <c r="U5" s="3"/>
      <c r="V5" s="3"/>
      <c r="Z5" s="2"/>
    </row>
    <row r="6" spans="1:40" ht="15.75" x14ac:dyDescent="0.25">
      <c r="B6" s="14" t="s">
        <v>92</v>
      </c>
      <c r="C6" s="13" t="s">
        <v>93</v>
      </c>
    </row>
    <row r="7" spans="1:40" x14ac:dyDescent="0.25">
      <c r="B7" s="5"/>
      <c r="C7" s="3"/>
    </row>
    <row r="8" spans="1:40" x14ac:dyDescent="0.25">
      <c r="A8" s="2" t="s">
        <v>7</v>
      </c>
    </row>
    <row r="9" spans="1:40" x14ac:dyDescent="0.25">
      <c r="B9" s="11" t="s">
        <v>18</v>
      </c>
      <c r="C9" s="11" t="s">
        <v>19</v>
      </c>
      <c r="D9" s="10" t="s">
        <v>20</v>
      </c>
      <c r="E9" s="11" t="s">
        <v>21</v>
      </c>
      <c r="F9" s="11" t="s">
        <v>22</v>
      </c>
      <c r="G9" s="11" t="s">
        <v>23</v>
      </c>
      <c r="H9" s="11" t="s">
        <v>24</v>
      </c>
      <c r="I9" s="11" t="s">
        <v>25</v>
      </c>
      <c r="J9" s="11" t="s">
        <v>26</v>
      </c>
      <c r="K9" s="11" t="s">
        <v>27</v>
      </c>
      <c r="L9" s="11" t="s">
        <v>28</v>
      </c>
      <c r="M9" s="11" t="s">
        <v>29</v>
      </c>
      <c r="N9" s="11" t="s">
        <v>30</v>
      </c>
      <c r="O9" s="11" t="s">
        <v>31</v>
      </c>
      <c r="P9" s="11" t="s">
        <v>32</v>
      </c>
      <c r="Q9" s="11" t="s">
        <v>33</v>
      </c>
      <c r="R9" s="11" t="s">
        <v>34</v>
      </c>
      <c r="S9" s="11" t="s">
        <v>35</v>
      </c>
      <c r="T9" s="11" t="s">
        <v>36</v>
      </c>
      <c r="U9" s="11" t="s">
        <v>37</v>
      </c>
      <c r="V9" s="11" t="s">
        <v>38</v>
      </c>
      <c r="W9" s="11" t="s">
        <v>39</v>
      </c>
      <c r="X9" s="11" t="s">
        <v>40</v>
      </c>
      <c r="Y9" s="11" t="s">
        <v>41</v>
      </c>
      <c r="Z9" s="11" t="s">
        <v>42</v>
      </c>
      <c r="AA9" s="11" t="s">
        <v>43</v>
      </c>
      <c r="AB9" s="11" t="s">
        <v>44</v>
      </c>
      <c r="AC9" s="11" t="s">
        <v>45</v>
      </c>
      <c r="AD9" s="11" t="s">
        <v>46</v>
      </c>
      <c r="AE9" s="11" t="s">
        <v>47</v>
      </c>
      <c r="AF9" s="11" t="s">
        <v>48</v>
      </c>
      <c r="AG9" s="11" t="s">
        <v>49</v>
      </c>
      <c r="AH9" s="11" t="s">
        <v>50</v>
      </c>
      <c r="AI9" s="11" t="s">
        <v>51</v>
      </c>
      <c r="AJ9" s="11" t="s">
        <v>52</v>
      </c>
      <c r="AK9" s="11" t="s">
        <v>53</v>
      </c>
      <c r="AL9" s="11" t="s">
        <v>54</v>
      </c>
    </row>
    <row r="10" spans="1:40" x14ac:dyDescent="0.25">
      <c r="A10" s="2" t="s">
        <v>10</v>
      </c>
    </row>
    <row r="11" spans="1:40" x14ac:dyDescent="0.25">
      <c r="A11" s="8"/>
      <c r="B11" s="12" t="s">
        <v>55</v>
      </c>
      <c r="C11" s="12" t="s">
        <v>56</v>
      </c>
      <c r="D11" s="12" t="s">
        <v>57</v>
      </c>
      <c r="E11" s="12" t="s">
        <v>58</v>
      </c>
      <c r="F11" s="12" t="s">
        <v>59</v>
      </c>
      <c r="G11" s="12" t="s">
        <v>60</v>
      </c>
      <c r="H11" s="12" t="s">
        <v>61</v>
      </c>
      <c r="I11" s="12" t="s">
        <v>62</v>
      </c>
      <c r="J11" s="12" t="s">
        <v>63</v>
      </c>
      <c r="K11" s="12" t="s">
        <v>64</v>
      </c>
      <c r="L11" s="12" t="s">
        <v>65</v>
      </c>
      <c r="M11" s="12" t="s">
        <v>66</v>
      </c>
      <c r="N11" s="12" t="s">
        <v>67</v>
      </c>
      <c r="O11" s="12" t="s">
        <v>68</v>
      </c>
      <c r="P11" s="12" t="s">
        <v>69</v>
      </c>
      <c r="Q11" s="12" t="s">
        <v>70</v>
      </c>
      <c r="R11" s="12" t="s">
        <v>71</v>
      </c>
      <c r="S11" s="12" t="s">
        <v>72</v>
      </c>
      <c r="T11" s="12" t="s">
        <v>73</v>
      </c>
      <c r="U11" s="12" t="s">
        <v>74</v>
      </c>
      <c r="V11" s="12" t="s">
        <v>75</v>
      </c>
      <c r="W11" s="12" t="s">
        <v>76</v>
      </c>
      <c r="X11" s="12" t="s">
        <v>77</v>
      </c>
      <c r="Y11" s="12" t="s">
        <v>78</v>
      </c>
      <c r="Z11" s="12" t="s">
        <v>79</v>
      </c>
      <c r="AA11" s="12" t="s">
        <v>80</v>
      </c>
      <c r="AB11" s="12" t="s">
        <v>81</v>
      </c>
      <c r="AC11" s="12" t="s">
        <v>82</v>
      </c>
      <c r="AD11" s="12" t="s">
        <v>83</v>
      </c>
      <c r="AE11" s="12" t="s">
        <v>84</v>
      </c>
      <c r="AF11" s="12" t="s">
        <v>85</v>
      </c>
      <c r="AG11" s="12" t="s">
        <v>86</v>
      </c>
      <c r="AH11" s="12" t="s">
        <v>87</v>
      </c>
      <c r="AI11" s="12" t="s">
        <v>88</v>
      </c>
      <c r="AJ11" s="12" t="s">
        <v>89</v>
      </c>
      <c r="AK11" s="12" t="s">
        <v>90</v>
      </c>
      <c r="AL11" s="12" t="s">
        <v>91</v>
      </c>
      <c r="AM11" s="12"/>
      <c r="AN11" s="12"/>
    </row>
    <row r="12" spans="1:40" x14ac:dyDescent="0.25">
      <c r="A12" s="2" t="s">
        <v>8</v>
      </c>
    </row>
    <row r="15" spans="1:40" x14ac:dyDescent="0.25">
      <c r="A15" s="2" t="s">
        <v>2</v>
      </c>
    </row>
  </sheetData>
  <phoneticPr fontId="6" type="noConversion"/>
  <pageMargins left="0.7" right="0.7" top="0.75" bottom="0.75" header="0.3" footer="0.3"/>
  <pageSetup paperSize="9" scale="7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selection activeCell="C6" sqref="C6"/>
    </sheetView>
  </sheetViews>
  <sheetFormatPr defaultRowHeight="15" x14ac:dyDescent="0.25"/>
  <cols>
    <col min="1" max="2" width="11.42578125" bestFit="1" customWidth="1"/>
    <col min="3" max="3" width="22" bestFit="1" customWidth="1"/>
  </cols>
  <sheetData>
    <row r="1" spans="1:6" x14ac:dyDescent="0.25">
      <c r="A1" s="15" t="s">
        <v>15</v>
      </c>
      <c r="B1" s="15" t="s">
        <v>3</v>
      </c>
      <c r="C1" s="15" t="s">
        <v>13</v>
      </c>
      <c r="D1" s="15"/>
      <c r="E1" s="15"/>
      <c r="F1" s="15"/>
    </row>
    <row r="2" spans="1:6" x14ac:dyDescent="0.25">
      <c r="A2" s="15" t="s">
        <v>14</v>
      </c>
      <c r="B2" s="15" t="s">
        <v>3</v>
      </c>
      <c r="C2" s="15" t="s">
        <v>4</v>
      </c>
      <c r="D2" s="15"/>
      <c r="E2" s="15"/>
      <c r="F2" s="15"/>
    </row>
    <row r="3" spans="1:6" x14ac:dyDescent="0.25">
      <c r="A3" s="15"/>
      <c r="B3" s="15" t="s">
        <v>5</v>
      </c>
      <c r="C3" s="16" t="str">
        <f ca="1">TEXT(DATE(YEAR(TODAY()), MONTH(TODAY()), 1) - 1, "yyyy-mm-dd")</f>
        <v>2023-10-31</v>
      </c>
      <c r="D3" s="15"/>
      <c r="E3" s="15"/>
      <c r="F3" s="15"/>
    </row>
    <row r="4" spans="1:6" x14ac:dyDescent="0.25">
      <c r="A4" s="15"/>
      <c r="B4" s="15" t="s">
        <v>9</v>
      </c>
      <c r="C4" s="15"/>
      <c r="D4" s="15"/>
      <c r="E4" s="15"/>
      <c r="F4" s="15"/>
    </row>
    <row r="5" spans="1:6" x14ac:dyDescent="0.25">
      <c r="A5" s="15" t="s">
        <v>16</v>
      </c>
      <c r="B5" s="15" t="s">
        <v>3</v>
      </c>
      <c r="C5" s="15" t="s">
        <v>17</v>
      </c>
      <c r="D5" s="15"/>
      <c r="E5" s="15"/>
      <c r="F5" s="15"/>
    </row>
    <row r="6" spans="1:6" x14ac:dyDescent="0.25">
      <c r="A6" s="15"/>
      <c r="B6" s="15" t="s">
        <v>9</v>
      </c>
      <c r="C6" s="15"/>
      <c r="D6" s="15"/>
      <c r="E6" s="15"/>
      <c r="F6" s="15"/>
    </row>
    <row r="7" spans="1:6" x14ac:dyDescent="0.25">
      <c r="A7" s="15" t="s">
        <v>6</v>
      </c>
      <c r="B7" s="15"/>
      <c r="C7" s="15"/>
      <c r="D7" s="15"/>
      <c r="E7" s="15"/>
      <c r="F7" s="15"/>
    </row>
    <row r="8" spans="1:6" x14ac:dyDescent="0.25">
      <c r="A8" s="15"/>
      <c r="B8" s="15"/>
      <c r="C8" s="15"/>
      <c r="D8" s="15"/>
      <c r="E8" s="15"/>
      <c r="F8" s="15"/>
    </row>
    <row r="9" spans="1:6" x14ac:dyDescent="0.25">
      <c r="A9" s="15"/>
      <c r="B9" s="15"/>
      <c r="C9" s="15"/>
      <c r="D9" s="15"/>
      <c r="E9" s="15"/>
      <c r="F9" s="15"/>
    </row>
    <row r="10" spans="1:6" x14ac:dyDescent="0.25">
      <c r="A10" s="15"/>
      <c r="B10" s="15"/>
      <c r="C10" s="15"/>
      <c r="D10" s="15"/>
      <c r="E10" s="15"/>
      <c r="F10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BDA06-FB60-4F6A-85D5-19A55C1E5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STL Billing Report</vt:lpstr>
      <vt:lpstr>Filter</vt:lpstr>
      <vt:lpstr>STLPricelistVersion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Ted Zheng</cp:lastModifiedBy>
  <cp:lastPrinted>2022-09-19T03:19:04Z</cp:lastPrinted>
  <dcterms:created xsi:type="dcterms:W3CDTF">2021-06-09T23:53:34Z</dcterms:created>
  <dcterms:modified xsi:type="dcterms:W3CDTF">2023-11-07T12:17:10Z</dcterms:modified>
</cp:coreProperties>
</file>
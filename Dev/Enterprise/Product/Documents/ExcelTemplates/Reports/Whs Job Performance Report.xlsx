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2\Enterprise\Product\Documents\ExcelTemplates\Reports\"/>
    </mc:Choice>
  </mc:AlternateContent>
  <xr:revisionPtr revIDLastSave="0" documentId="13_ncr:1_{98472078-3BC9-4831-AC29-F81B23610379}" xr6:coauthVersionLast="47" xr6:coauthVersionMax="47" xr10:uidLastSave="{00000000-0000-0000-0000-000000000000}"/>
  <bookViews>
    <workbookView xWindow="13433" yWindow="-16297" windowWidth="28994" windowHeight="15675" activeTab="1" xr2:uid="{00000000-000D-0000-FFFF-FFFF00000000}"/>
  </bookViews>
  <sheets>
    <sheet name="Metrics with charts" sheetId="5" r:id="rId1"/>
    <sheet name="Metrics without charts" sheetId="1" r:id="rId2"/>
    <sheet name="Filters" sheetId="3" r:id="rId3"/>
    <sheet name="Optional Templates" sheetId="4" r:id="rId4"/>
  </sheets>
  <definedNames>
    <definedName name="_xlnm.Print_Area" localSheetId="1">'Metrics without charts'!$A:$R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5" l="1"/>
  <c r="Q37" i="5"/>
  <c r="P37" i="5"/>
  <c r="O37" i="5"/>
  <c r="N37" i="5"/>
  <c r="M37" i="5"/>
  <c r="L37" i="5"/>
  <c r="K37" i="5"/>
  <c r="J37" i="5"/>
  <c r="I37" i="5"/>
  <c r="H37" i="5"/>
  <c r="G37" i="5"/>
  <c r="R36" i="5"/>
  <c r="Q36" i="5"/>
  <c r="P36" i="5"/>
  <c r="O36" i="5"/>
  <c r="N36" i="5"/>
  <c r="M36" i="5"/>
  <c r="L36" i="5"/>
  <c r="K36" i="5"/>
  <c r="J36" i="5"/>
  <c r="I36" i="5"/>
  <c r="H36" i="5"/>
  <c r="G36" i="5"/>
  <c r="R30" i="1"/>
  <c r="Q30" i="1"/>
  <c r="P30" i="1"/>
  <c r="O30" i="1"/>
  <c r="N30" i="1"/>
  <c r="M30" i="1"/>
  <c r="L30" i="1"/>
  <c r="K30" i="1"/>
  <c r="J30" i="1"/>
  <c r="I30" i="1"/>
  <c r="H30" i="1"/>
  <c r="G30" i="1"/>
  <c r="L24" i="1"/>
  <c r="K24" i="1"/>
  <c r="J24" i="1"/>
  <c r="I24" i="1"/>
  <c r="H24" i="1"/>
  <c r="G24" i="1"/>
  <c r="R24" i="1"/>
  <c r="Q24" i="1"/>
  <c r="P24" i="1"/>
  <c r="O24" i="1"/>
  <c r="N24" i="1"/>
  <c r="M24" i="1"/>
  <c r="R28" i="1"/>
  <c r="Q28" i="1"/>
  <c r="P28" i="1"/>
  <c r="O28" i="1"/>
  <c r="N28" i="1"/>
  <c r="M28" i="1"/>
  <c r="L28" i="1"/>
  <c r="K28" i="1"/>
  <c r="J28" i="1"/>
  <c r="I28" i="1"/>
  <c r="H28" i="1"/>
  <c r="G28" i="1"/>
  <c r="R32" i="5"/>
  <c r="Q32" i="5"/>
  <c r="P32" i="5"/>
  <c r="O32" i="5"/>
  <c r="N32" i="5"/>
  <c r="M32" i="5"/>
  <c r="L32" i="5"/>
  <c r="K32" i="5"/>
  <c r="J32" i="5"/>
  <c r="I32" i="5"/>
  <c r="H32" i="5"/>
  <c r="G32" i="5"/>
  <c r="D32" i="5"/>
  <c r="C32" i="5"/>
  <c r="D28" i="1"/>
  <c r="C28" i="1"/>
</calcChain>
</file>

<file path=xl/sharedStrings.xml><?xml version="1.0" encoding="utf-8"?>
<sst xmlns="http://schemas.openxmlformats.org/spreadsheetml/2006/main" count="174" uniqueCount="97">
  <si>
    <t>#config</t>
  </si>
  <si>
    <t>#endofreport</t>
  </si>
  <si>
    <t>#end</t>
  </si>
  <si>
    <t>Type</t>
  </si>
  <si>
    <t>DataContext=None</t>
  </si>
  <si>
    <t>#SectionBody:Data=ReportData</t>
  </si>
  <si>
    <t>&lt;CompanyName&gt;</t>
  </si>
  <si>
    <t>Required</t>
  </si>
  <si>
    <t>Client</t>
  </si>
  <si>
    <t>Date range</t>
  </si>
  <si>
    <t>Date Range</t>
  </si>
  <si>
    <t>Warehouse</t>
  </si>
  <si>
    <t>warehouse lookup</t>
  </si>
  <si>
    <t>warehouse client lookup</t>
  </si>
  <si>
    <t>PageStyle=Continuous</t>
  </si>
  <si>
    <t>AutoHeightMode=ExpandRow</t>
  </si>
  <si>
    <t>Printed by &lt;Login Full Name&gt;  &lt;DateTimeAsString('&lt;Now&gt;','dd-MMM-yy HH:mm')&gt;</t>
  </si>
  <si>
    <t>#DocumentHeader</t>
  </si>
  <si>
    <t>#SectionPageHeader</t>
  </si>
  <si>
    <t>Name=Performance Metrics Report</t>
  </si>
  <si>
    <t>Show Previous Periods</t>
  </si>
  <si>
    <t>Multiple Choice</t>
  </si>
  <si>
    <t>Style</t>
  </si>
  <si>
    <t>dropdown</t>
  </si>
  <si>
    <t>Option</t>
  </si>
  <si>
    <t>&lt;HideRowIf("&lt;Warehouse&gt;"=="")&gt;</t>
  </si>
  <si>
    <t>&lt;HideRowIf("&lt;Client&gt;"=="")&gt;</t>
  </si>
  <si>
    <t>Inbound</t>
  </si>
  <si>
    <t>Outbound</t>
  </si>
  <si>
    <t>Field</t>
  </si>
  <si>
    <t>metricGroup</t>
  </si>
  <si>
    <t>Inbound Only</t>
  </si>
  <si>
    <t>Outbound Only</t>
  </si>
  <si>
    <t>Inbound &amp; Outbound</t>
  </si>
  <si>
    <t>Show Inbound Metrics Only</t>
  </si>
  <si>
    <t>Show Outbound Metrics Only</t>
  </si>
  <si>
    <t>Show Inbound and Outbound Metrics</t>
  </si>
  <si>
    <t>Metrics to Filter</t>
  </si>
  <si>
    <t>&lt;HideRowIf("&lt;Metrics to Filter&gt;"!="")&gt;</t>
  </si>
  <si>
    <t>&lt;HideRowIf("&lt;Metrics to Filter&gt;"!="Inbound")&gt;</t>
  </si>
  <si>
    <t>&lt;HideRowIf("&lt;Metrics to Filter&gt;"!="Outbound")&gt;</t>
  </si>
  <si>
    <t>&lt;RegistryItemBusinessObject(Enterprise.Registry.Business.Warehouse.WarehouseDataRegistry.Instance.PerformanceReporting, Enterprise.Registry.Business).GetMetricRanking("&lt;ReportData.metricCode&gt;", &lt;ReportData.metricCurrentValue&gt;)&gt;</t>
  </si>
  <si>
    <t>Current Performance</t>
  </si>
  <si>
    <t>Target</t>
  </si>
  <si>
    <t>&lt;RegistryItemBusinessObject(Enterprise.Registry.Business.Warehouse.WarehouseDataRegistry.Instance.PerformanceReporting, Enterprise.Registry.Business).GetMetricTargetRanking("&lt;ReportData.metricCode&gt;")&gt;</t>
  </si>
  <si>
    <t>&lt;HideRowIf("&lt;Show Previous Periods&gt;"=="")&gt;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</si>
  <si>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</si>
  <si>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</si>
  <si>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</si>
  <si>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</si>
  <si>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</si>
  <si>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</si>
  <si>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</si>
  <si>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</si>
  <si>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</si>
  <si>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 10</t>
  </si>
  <si>
    <t>P 11</t>
  </si>
  <si>
    <t>P 12</t>
  </si>
  <si>
    <t>&lt;ReportData.metricGroup&gt; - &lt;ReportData.metricName&gt;</t>
  </si>
  <si>
    <t>Min</t>
  </si>
  <si>
    <t>Max</t>
  </si>
  <si>
    <t>&lt;RegistryItemBusinessObject(Enterprise.Registry.Business.Warehouse.WarehouseDataRegistry.Instance.PerformanceReporting, Enterprise.Registry.Business).GetMetricTargetRangeMin("&lt;ReportData.metricCode&gt;")&gt;</t>
  </si>
  <si>
    <t>&lt;RegistryItemBusinessObject(Enterprise.Registry.Business.Warehouse.WarehouseDataRegistry.Instance.PerformanceReporting, Enterprise.Registry.Business).GetMetricTargetRangeMax("&lt;ReportData.metricCode&gt;")&gt;</t>
  </si>
  <si>
    <t>Warehouse: &lt;ReportData.warehouseName&gt;</t>
  </si>
  <si>
    <t>Client: &lt;ReportData.clientName&gt;</t>
  </si>
  <si>
    <t>&lt;HideRowIf("&lt;ReportData.metricChartType&gt;"!="PERCENTAGE")&gt;</t>
  </si>
  <si>
    <t>&lt;HideRowIf("&lt;ReportData.metricChartType&gt;"=="PERCENTAGE")&gt;</t>
  </si>
  <si>
    <t>&lt;ReportData.metricCurrentValue&gt;</t>
  </si>
  <si>
    <t>Current</t>
  </si>
  <si>
    <t>Job Performance Report</t>
  </si>
  <si>
    <t>Checkbox</t>
  </si>
  <si>
    <t>Options</t>
  </si>
  <si>
    <t>Y</t>
  </si>
  <si>
    <t>Hide metrics with no value</t>
  </si>
  <si>
    <t>Show metrics with no value</t>
  </si>
  <si>
    <t>Performance Metrics with charts</t>
  </si>
  <si>
    <t>&lt;HPageBreak&gt;</t>
  </si>
  <si>
    <t>Metrics with charts</t>
  </si>
  <si>
    <t>Metrics without charts</t>
  </si>
  <si>
    <t>Default</t>
  </si>
  <si>
    <t>No value</t>
  </si>
  <si>
    <t>&lt;HideRowIf("&lt;No value&gt;"!="Y")&gt;</t>
  </si>
  <si>
    <t>&lt;HideRowIf("&lt;No value&gt;"=="Y")&gt;</t>
  </si>
  <si>
    <t>&lt;HideRowIf("&lt;ReportData.metricChartType&gt;"!="PERCENTAGE" || 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))&gt;</t>
  </si>
  <si>
    <t>&lt;HideRowIf("&lt;No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)&gt;</t>
  </si>
  <si>
    <t>&lt;HideRowIf("&lt;ReportData.metricChartType&gt;"=="PERCENTAGE" || 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))&gt;</t>
  </si>
  <si>
    <t>Hide metrics with no value (without charts only)</t>
  </si>
  <si>
    <t>Job Performance Report with Charts</t>
  </si>
  <si>
    <t>DisplayLabel="Performance Warning - All columns", ShowPerformanceWarning</t>
  </si>
  <si>
    <t>ColumnHeadings:</t>
  </si>
  <si>
    <t>&lt;RegistryItemBusinessObject(Enterprise.Registry.Business.Warehouse.WarehouseDataRegistry.Instance.PerformanceReporting, Enterprise.Registry.Business).GetMetricRanking("&lt;ReportData.metricCode&gt;", &lt;ReportData.metricCurrentValue&gt;, true)&gt;</t>
  </si>
  <si>
    <t>RequireBothFromAndToDates</t>
  </si>
  <si>
    <t>DisableCSVExport</t>
  </si>
  <si>
    <t>EmailSubject=&lt;CompanyCode&gt; Performance Metrics Report &lt;Now&gt;</t>
  </si>
  <si>
    <t>Date Range: from &lt;Date Range.FromDate&gt; to  &lt;Date Range.ToDate&gt;</t>
  </si>
  <si>
    <t>Period Calculated: &lt;Show Previous Periods&gt;</t>
  </si>
  <si>
    <t>Data:ReportData=WhsPerfPerformanceMetrics(&lt;Date Range.FromDateForSQLParameter&gt;,  &lt;Date Range.ToDateForSQLParameter&gt;, &lt;Warehouse&gt;, &lt;Client&gt;, &lt;Show Previous Periods&gt;, &lt;Metrics to Filter&gt;)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</si>
</sst>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C09]dd\-mmm\-yy;@"/>
    <numFmt numFmtId="165" formatCode="#,##0.000"/>
    <numFmt numFmtId="166" formatCode="0.000"/>
    <numFmt numFmtId="167" formatCode="0.000%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54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left"/>
    </xf>
    <xf numFmtId="0" fontId="4" fillId="0" borderId="0" xfId="0" applyFont="1"/>
    <xf numFmtId="0" fontId="1" fillId="0" borderId="0" xfId="14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0" fontId="5" fillId="0" borderId="0" xfId="0" applyFont="1"/>
    <xf numFmtId="2" fontId="1" fillId="0" borderId="0" xfId="0" applyNumberFormat="1" applyFont="1"/>
    <xf numFmtId="0" fontId="5" fillId="2" borderId="0" xfId="0" applyFont="1" applyFill="1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/>
    <xf numFmtId="2" fontId="1" fillId="0" borderId="0" xfId="0" applyNumberFormat="1" applyFont="1" applyAlignment="1">
      <alignment horizontal="left"/>
    </xf>
    <xf numFmtId="0" fontId="3" fillId="0" borderId="0" xfId="0" applyFont="1" applyAlignment="1">
      <alignment vertical="top"/>
    </xf>
    <xf numFmtId="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left"/>
    </xf>
    <xf numFmtId="2" fontId="10" fillId="0" borderId="0" xfId="0" applyNumberFormat="1" applyFont="1"/>
    <xf numFmtId="166" fontId="10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left"/>
    </xf>
    <xf numFmtId="167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54">
    <cellStyle name="Normal" xfId="0" builtinId="0"/>
    <cellStyle name="Normal 10 2" xfId="1" xr:uid="{00000000-0005-0000-0000-000001000000}"/>
    <cellStyle name="Normal 10 3" xfId="2" xr:uid="{00000000-0005-0000-0000-000002000000}"/>
    <cellStyle name="Normal 10 4" xfId="3" xr:uid="{00000000-0005-0000-0000-000003000000}"/>
    <cellStyle name="Normal 10 5" xfId="4" xr:uid="{00000000-0005-0000-0000-000004000000}"/>
    <cellStyle name="Normal 11" xfId="5" xr:uid="{00000000-0005-0000-0000-000005000000}"/>
    <cellStyle name="Normal 11 2" xfId="6" xr:uid="{00000000-0005-0000-0000-000006000000}"/>
    <cellStyle name="Normal 11 3" xfId="7" xr:uid="{00000000-0005-0000-0000-000007000000}"/>
    <cellStyle name="Normal 11 4" xfId="8" xr:uid="{00000000-0005-0000-0000-000008000000}"/>
    <cellStyle name="Normal 11 5" xfId="9" xr:uid="{00000000-0005-0000-0000-000009000000}"/>
    <cellStyle name="Normal 13 2" xfId="10" xr:uid="{00000000-0005-0000-0000-00000A000000}"/>
    <cellStyle name="Normal 13 3" xfId="11" xr:uid="{00000000-0005-0000-0000-00000B000000}"/>
    <cellStyle name="Normal 13 4" xfId="12" xr:uid="{00000000-0005-0000-0000-00000C000000}"/>
    <cellStyle name="Normal 13 5" xfId="13" xr:uid="{00000000-0005-0000-0000-00000D000000}"/>
    <cellStyle name="Normal 2" xfId="14" xr:uid="{00000000-0005-0000-0000-00000E000000}"/>
    <cellStyle name="Normal 2 2" xfId="15" xr:uid="{00000000-0005-0000-0000-00000F000000}"/>
    <cellStyle name="Normal 2 3" xfId="16" xr:uid="{00000000-0005-0000-0000-000010000000}"/>
    <cellStyle name="Normal 2 4" xfId="17" xr:uid="{00000000-0005-0000-0000-000011000000}"/>
    <cellStyle name="Normal 2 5" xfId="18" xr:uid="{00000000-0005-0000-0000-000012000000}"/>
    <cellStyle name="Normal 3" xfId="19" xr:uid="{00000000-0005-0000-0000-000013000000}"/>
    <cellStyle name="Normal 3 2" xfId="20" xr:uid="{00000000-0005-0000-0000-000014000000}"/>
    <cellStyle name="Normal 3 3" xfId="21" xr:uid="{00000000-0005-0000-0000-000015000000}"/>
    <cellStyle name="Normal 3 4" xfId="22" xr:uid="{00000000-0005-0000-0000-000016000000}"/>
    <cellStyle name="Normal 3 5" xfId="23" xr:uid="{00000000-0005-0000-0000-000017000000}"/>
    <cellStyle name="Normal 4" xfId="24" xr:uid="{00000000-0005-0000-0000-000018000000}"/>
    <cellStyle name="Normal 4 2" xfId="25" xr:uid="{00000000-0005-0000-0000-000019000000}"/>
    <cellStyle name="Normal 4 3" xfId="26" xr:uid="{00000000-0005-0000-0000-00001A000000}"/>
    <cellStyle name="Normal 4 4" xfId="27" xr:uid="{00000000-0005-0000-0000-00001B000000}"/>
    <cellStyle name="Normal 4 5" xfId="28" xr:uid="{00000000-0005-0000-0000-00001C000000}"/>
    <cellStyle name="Normal 5" xfId="29" xr:uid="{00000000-0005-0000-0000-00001D000000}"/>
    <cellStyle name="Normal 5 2" xfId="30" xr:uid="{00000000-0005-0000-0000-00001E000000}"/>
    <cellStyle name="Normal 5 3" xfId="31" xr:uid="{00000000-0005-0000-0000-00001F000000}"/>
    <cellStyle name="Normal 5 4" xfId="32" xr:uid="{00000000-0005-0000-0000-000020000000}"/>
    <cellStyle name="Normal 5 5" xfId="33" xr:uid="{00000000-0005-0000-0000-000021000000}"/>
    <cellStyle name="Normal 6" xfId="34" xr:uid="{00000000-0005-0000-0000-000022000000}"/>
    <cellStyle name="Normal 6 2" xfId="35" xr:uid="{00000000-0005-0000-0000-000023000000}"/>
    <cellStyle name="Normal 6 3" xfId="36" xr:uid="{00000000-0005-0000-0000-000024000000}"/>
    <cellStyle name="Normal 6 4" xfId="37" xr:uid="{00000000-0005-0000-0000-000025000000}"/>
    <cellStyle name="Normal 6 5" xfId="38" xr:uid="{00000000-0005-0000-0000-000026000000}"/>
    <cellStyle name="Normal 7" xfId="39" xr:uid="{00000000-0005-0000-0000-000027000000}"/>
    <cellStyle name="Normal 7 2" xfId="40" xr:uid="{00000000-0005-0000-0000-000028000000}"/>
    <cellStyle name="Normal 7 3" xfId="41" xr:uid="{00000000-0005-0000-0000-000029000000}"/>
    <cellStyle name="Normal 7 4" xfId="42" xr:uid="{00000000-0005-0000-0000-00002A000000}"/>
    <cellStyle name="Normal 7 5" xfId="43" xr:uid="{00000000-0005-0000-0000-00002B000000}"/>
    <cellStyle name="Normal 8" xfId="44" xr:uid="{00000000-0005-0000-0000-00002C000000}"/>
    <cellStyle name="Normal 8 2" xfId="45" xr:uid="{00000000-0005-0000-0000-00002D000000}"/>
    <cellStyle name="Normal 8 3" xfId="46" xr:uid="{00000000-0005-0000-0000-00002E000000}"/>
    <cellStyle name="Normal 8 4" xfId="47" xr:uid="{00000000-0005-0000-0000-00002F000000}"/>
    <cellStyle name="Normal 8 5" xfId="48" xr:uid="{00000000-0005-0000-0000-000030000000}"/>
    <cellStyle name="Normal 9" xfId="49" xr:uid="{00000000-0005-0000-0000-000031000000}"/>
    <cellStyle name="Normal 9 2" xfId="50" xr:uid="{00000000-0005-0000-0000-000032000000}"/>
    <cellStyle name="Normal 9 3" xfId="51" xr:uid="{00000000-0005-0000-0000-000033000000}"/>
    <cellStyle name="Normal 9 4" xfId="52" xr:uid="{00000000-0005-0000-0000-000034000000}"/>
    <cellStyle name="Normal 9 5" xfId="53" xr:uid="{00000000-0005-0000-0000-000035000000}"/>
  </cellStyles>
  <dxfs count="27"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53019220283155E-2"/>
          <c:y val="3.3567708798304972E-2"/>
          <c:w val="0.8954918363945088"/>
          <c:h val="0.85378922872736152"/>
        </c:manualLayout>
      </c:layout>
      <c:barChart>
        <c:barDir val="col"/>
        <c:grouping val="clustered"/>
        <c:varyColors val="0"/>
        <c:ser>
          <c:idx val="0"/>
          <c:order val="0"/>
          <c:tx>
            <c:v>Performance</c:v>
          </c:tx>
          <c:invertIfNegative val="0"/>
          <c:cat>
            <c:strRef>
              <c:f>('Metrics with charts'!$C$36:$D$36,'Metrics with charts'!$F$36:$R$36)</c:f>
              <c:strCache>
                <c:ptCount val="15"/>
                <c:pt idx="0">
                  <c:v>Min</c:v>
                </c:pt>
                <c:pt idx="1">
                  <c:v>Max</c:v>
                </c:pt>
                <c:pt idx="2">
                  <c:v>Current</c:v>
                </c:pt>
                <c:pt idx="3">
                  <c:v>#VALUE!</c:v>
                </c:pt>
                <c:pt idx="4">
                  <c:v>#VALUE!</c:v>
                </c:pt>
                <c:pt idx="5">
                  <c:v>#VALUE!</c:v>
                </c:pt>
                <c:pt idx="6">
                  <c:v>#VALUE!</c:v>
                </c:pt>
                <c:pt idx="7">
                  <c:v>#VALUE!</c:v>
                </c:pt>
                <c:pt idx="8">
                  <c:v>#VALUE!</c:v>
                </c:pt>
                <c:pt idx="9">
                  <c:v>#VALUE!</c:v>
                </c:pt>
                <c:pt idx="10">
                  <c:v>#VALUE!</c:v>
                </c:pt>
                <c:pt idx="11">
                  <c:v>#VALUE!</c:v>
                </c:pt>
                <c:pt idx="12">
                  <c:v>#VALUE!</c:v>
                </c:pt>
                <c:pt idx="13">
                  <c:v>#VALUE!</c:v>
                </c:pt>
                <c:pt idx="14">
                  <c:v>#VALUE!</c:v>
                </c:pt>
              </c:strCache>
            </c:strRef>
          </c:cat>
          <c:val>
            <c:numRef>
              <c:f>('Metrics with charts'!$C$37:$D$37,'Metrics with charts'!$F$37:$R$37)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1-4E0B-82E9-9505BD42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307472"/>
        <c:axId val="1"/>
      </c:barChart>
      <c:catAx>
        <c:axId val="37730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77307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53019220283155E-2"/>
          <c:y val="3.3567708798304972E-2"/>
          <c:w val="0.8954918363945088"/>
          <c:h val="0.85378922872736152"/>
        </c:manualLayout>
      </c:layout>
      <c:barChart>
        <c:barDir val="col"/>
        <c:grouping val="clustered"/>
        <c:varyColors val="0"/>
        <c:ser>
          <c:idx val="0"/>
          <c:order val="0"/>
          <c:tx>
            <c:v>Performance</c:v>
          </c:tx>
          <c:invertIfNegative val="0"/>
          <c:cat>
            <c:strRef>
              <c:f>('Metrics with charts'!$C$31:$D$31,'Metrics with charts'!$F$31:$R$31)</c:f>
              <c:strCache>
                <c:ptCount val="15"/>
                <c:pt idx="0">
                  <c:v>Min</c:v>
                </c:pt>
                <c:pt idx="1">
                  <c:v>Max</c:v>
                </c:pt>
                <c:pt idx="2">
                  <c:v>Current</c:v>
                </c:pt>
                <c:pt idx="3">
                  <c:v>P 1</c:v>
                </c:pt>
                <c:pt idx="4">
                  <c:v>P 2</c:v>
                </c:pt>
                <c:pt idx="5">
                  <c:v>P 3</c:v>
                </c:pt>
                <c:pt idx="6">
                  <c:v>P 4</c:v>
                </c:pt>
                <c:pt idx="7">
                  <c:v>P 5</c:v>
                </c:pt>
                <c:pt idx="8">
                  <c:v>P 6</c:v>
                </c:pt>
                <c:pt idx="9">
                  <c:v>P 7</c:v>
                </c:pt>
                <c:pt idx="10">
                  <c:v>P 8</c:v>
                </c:pt>
                <c:pt idx="11">
                  <c:v>P 9</c:v>
                </c:pt>
                <c:pt idx="12">
                  <c:v>P 10</c:v>
                </c:pt>
                <c:pt idx="13">
                  <c:v>P 11</c:v>
                </c:pt>
                <c:pt idx="14">
                  <c:v>P 12</c:v>
                </c:pt>
              </c:strCache>
            </c:strRef>
          </c:cat>
          <c:val>
            <c:numRef>
              <c:f>('Metrics with charts'!$C$32:$D$32,'Metrics with charts'!$F$32:$R$32)</c:f>
              <c:numCache>
                <c:formatCode>0.000%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7-4C1D-A77A-940E3E690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301712"/>
        <c:axId val="1"/>
      </c:barChart>
      <c:catAx>
        <c:axId val="37730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377301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47625</xdr:rowOff>
    </xdr:from>
    <xdr:to>
      <xdr:col>17</xdr:col>
      <xdr:colOff>466725</xdr:colOff>
      <xdr:row>33</xdr:row>
      <xdr:rowOff>4248150</xdr:rowOff>
    </xdr:to>
    <xdr:graphicFrame macro="">
      <xdr:nvGraphicFramePr>
        <xdr:cNvPr id="422173" name="Chart 1">
          <a:extLst>
            <a:ext uri="{FF2B5EF4-FFF2-40B4-BE49-F238E27FC236}">
              <a16:creationId xmlns:a16="http://schemas.microsoft.com/office/drawing/2014/main" id="{52745F41-5CE5-14B7-1E69-8A20E44CE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47625</xdr:rowOff>
    </xdr:from>
    <xdr:to>
      <xdr:col>17</xdr:col>
      <xdr:colOff>466725</xdr:colOff>
      <xdr:row>28</xdr:row>
      <xdr:rowOff>4248150</xdr:rowOff>
    </xdr:to>
    <xdr:graphicFrame macro="">
      <xdr:nvGraphicFramePr>
        <xdr:cNvPr id="422174" name="Chart 1">
          <a:extLst>
            <a:ext uri="{FF2B5EF4-FFF2-40B4-BE49-F238E27FC236}">
              <a16:creationId xmlns:a16="http://schemas.microsoft.com/office/drawing/2014/main" id="{D68D70EB-4D34-4EE4-2D78-B8A591DBA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zoomScaleNormal="100" workbookViewId="0">
      <selection activeCell="A8" sqref="A8"/>
    </sheetView>
  </sheetViews>
  <sheetFormatPr defaultColWidth="9.1796875" defaultRowHeight="12.5" x14ac:dyDescent="0.25"/>
  <cols>
    <col min="1" max="1" width="41" style="40" customWidth="1"/>
    <col min="2" max="2" width="10.26953125" style="2" customWidth="1"/>
    <col min="3" max="4" width="6.7265625" style="2" customWidth="1"/>
    <col min="5" max="5" width="17.453125" style="2" customWidth="1"/>
    <col min="6" max="18" width="7.1796875" style="7" customWidth="1"/>
    <col min="19" max="16384" width="9.1796875" style="2"/>
  </cols>
  <sheetData>
    <row r="1" spans="1:16" s="5" customFormat="1" ht="12.75" customHeight="1" x14ac:dyDescent="0.25">
      <c r="A1" s="37" t="s">
        <v>0</v>
      </c>
      <c r="B1" s="4"/>
      <c r="C1" s="4"/>
      <c r="D1" s="21"/>
      <c r="E1" s="4"/>
      <c r="F1" s="4"/>
      <c r="G1" s="7"/>
    </row>
    <row r="2" spans="1:16" s="4" customFormat="1" ht="12.75" customHeight="1" x14ac:dyDescent="0.25">
      <c r="A2" s="37" t="s">
        <v>14</v>
      </c>
      <c r="D2" s="21"/>
    </row>
    <row r="3" spans="1:16" s="4" customFormat="1" ht="12.75" customHeight="1" x14ac:dyDescent="0.25">
      <c r="A3" s="37" t="s">
        <v>4</v>
      </c>
      <c r="D3" s="21"/>
    </row>
    <row r="4" spans="1:16" s="4" customFormat="1" ht="12.75" customHeight="1" x14ac:dyDescent="0.25">
      <c r="A4" s="37" t="s">
        <v>15</v>
      </c>
      <c r="D4" s="21"/>
    </row>
    <row r="5" spans="1:16" s="4" customFormat="1" ht="12.75" customHeight="1" x14ac:dyDescent="0.25">
      <c r="A5" s="37" t="s">
        <v>19</v>
      </c>
      <c r="D5" s="21"/>
    </row>
    <row r="6" spans="1:16" s="4" customFormat="1" ht="12.75" customHeight="1" x14ac:dyDescent="0.25">
      <c r="A6" s="37" t="s">
        <v>92</v>
      </c>
      <c r="D6" s="21"/>
    </row>
    <row r="7" spans="1:16" s="4" customFormat="1" ht="12.75" customHeight="1" x14ac:dyDescent="0.25">
      <c r="A7" s="37" t="s">
        <v>93</v>
      </c>
      <c r="D7" s="21"/>
    </row>
    <row r="8" spans="1:16" s="7" customFormat="1" ht="12.75" customHeight="1" x14ac:dyDescent="0.25">
      <c r="A8" s="38" t="s">
        <v>96</v>
      </c>
      <c r="B8" s="6"/>
      <c r="C8" s="6"/>
      <c r="D8" s="1"/>
      <c r="E8" s="6"/>
      <c r="F8" s="6"/>
    </row>
    <row r="9" spans="1:16" s="7" customFormat="1" ht="12.75" customHeight="1" x14ac:dyDescent="0.25">
      <c r="A9" s="38" t="s">
        <v>89</v>
      </c>
      <c r="B9" s="6" t="s">
        <v>88</v>
      </c>
      <c r="C9" s="6"/>
      <c r="D9" s="1"/>
      <c r="E9" s="6"/>
      <c r="F9" s="6"/>
    </row>
    <row r="10" spans="1:16" s="10" customFormat="1" ht="14.25" customHeight="1" x14ac:dyDescent="0.25">
      <c r="A10" s="37" t="s">
        <v>17</v>
      </c>
      <c r="B10" s="11"/>
      <c r="C10" s="11"/>
      <c r="D10" s="20"/>
      <c r="E10" s="11"/>
      <c r="F10" s="11"/>
    </row>
    <row r="11" spans="1:16" s="10" customFormat="1" ht="14.25" customHeight="1" x14ac:dyDescent="0.25">
      <c r="A11" s="37" t="s">
        <v>18</v>
      </c>
      <c r="B11" s="11"/>
      <c r="C11" s="11"/>
      <c r="D11" s="20"/>
      <c r="E11" s="11"/>
      <c r="F11" s="11"/>
    </row>
    <row r="12" spans="1:16" ht="21" customHeight="1" x14ac:dyDescent="0.25">
      <c r="A12" s="39"/>
      <c r="B12" s="16" t="s">
        <v>6</v>
      </c>
      <c r="C12" s="16"/>
      <c r="D12" s="24"/>
      <c r="E12" s="16"/>
      <c r="F12" s="16"/>
      <c r="G12" s="16"/>
    </row>
    <row r="13" spans="1:16" ht="15" customHeight="1" x14ac:dyDescent="0.35">
      <c r="B13" s="13" t="s">
        <v>87</v>
      </c>
    </row>
    <row r="14" spans="1:16" ht="12.75" customHeight="1" x14ac:dyDescent="0.25">
      <c r="A14" s="41" t="s">
        <v>25</v>
      </c>
      <c r="B14" s="14" t="s">
        <v>63</v>
      </c>
      <c r="C14" s="1"/>
      <c r="D14" s="1"/>
      <c r="E14" s="1"/>
      <c r="F14" s="6"/>
      <c r="G14" s="6"/>
      <c r="H14" s="6"/>
      <c r="K14" s="26"/>
      <c r="L14" s="26"/>
      <c r="M14" s="26"/>
      <c r="N14" s="26"/>
      <c r="O14" s="26"/>
      <c r="P14" s="6"/>
    </row>
    <row r="15" spans="1:16" ht="12.75" customHeight="1" x14ac:dyDescent="0.25">
      <c r="A15" s="41" t="s">
        <v>26</v>
      </c>
      <c r="B15" s="14" t="s">
        <v>64</v>
      </c>
      <c r="C15" s="1"/>
      <c r="D15" s="1"/>
      <c r="E15" s="1"/>
      <c r="F15" s="6"/>
      <c r="G15" s="6"/>
      <c r="H15" s="6"/>
      <c r="K15" s="26"/>
      <c r="L15" s="26"/>
      <c r="M15" s="26"/>
      <c r="N15" s="26"/>
      <c r="O15" s="26"/>
      <c r="P15" s="6"/>
    </row>
    <row r="16" spans="1:16" ht="12.75" customHeight="1" x14ac:dyDescent="0.25">
      <c r="A16" s="41"/>
      <c r="B16" s="14" t="s">
        <v>94</v>
      </c>
      <c r="C16" s="1"/>
      <c r="D16" s="1"/>
      <c r="E16" s="1"/>
      <c r="F16" s="6"/>
      <c r="G16" s="6"/>
      <c r="H16" s="6"/>
      <c r="K16" s="26"/>
      <c r="L16" s="26"/>
      <c r="M16" s="26"/>
      <c r="N16" s="26"/>
      <c r="O16" s="26"/>
      <c r="P16" s="6"/>
    </row>
    <row r="17" spans="1:18" ht="12.75" customHeight="1" x14ac:dyDescent="0.25">
      <c r="A17" s="41" t="s">
        <v>45</v>
      </c>
      <c r="B17" s="14" t="s">
        <v>95</v>
      </c>
      <c r="C17" s="1"/>
      <c r="D17" s="1"/>
      <c r="E17" s="1"/>
      <c r="F17" s="6"/>
      <c r="G17" s="6"/>
      <c r="H17" s="6"/>
      <c r="K17" s="26"/>
      <c r="L17" s="26"/>
      <c r="M17" s="26"/>
      <c r="N17" s="26"/>
      <c r="O17" s="26"/>
      <c r="P17" s="6"/>
    </row>
    <row r="18" spans="1:18" ht="12.75" customHeight="1" x14ac:dyDescent="0.25">
      <c r="A18" s="41" t="s">
        <v>38</v>
      </c>
      <c r="B18" s="14" t="s">
        <v>36</v>
      </c>
      <c r="C18" s="1"/>
      <c r="D18" s="1"/>
      <c r="E18" s="1"/>
      <c r="F18" s="6"/>
      <c r="G18" s="6"/>
      <c r="H18" s="6"/>
      <c r="K18" s="26"/>
      <c r="L18" s="26"/>
      <c r="M18" s="26"/>
      <c r="N18" s="26"/>
      <c r="O18" s="26"/>
      <c r="P18" s="6"/>
    </row>
    <row r="19" spans="1:18" ht="12.75" customHeight="1" x14ac:dyDescent="0.25">
      <c r="A19" s="41" t="s">
        <v>39</v>
      </c>
      <c r="B19" s="14" t="s">
        <v>34</v>
      </c>
      <c r="C19" s="1"/>
      <c r="D19" s="1"/>
      <c r="E19" s="1"/>
      <c r="F19" s="6"/>
      <c r="G19" s="6"/>
      <c r="H19" s="6"/>
      <c r="K19" s="26"/>
      <c r="L19" s="26"/>
      <c r="M19" s="26"/>
      <c r="N19" s="26"/>
      <c r="O19" s="26"/>
      <c r="P19" s="6"/>
    </row>
    <row r="20" spans="1:18" ht="12.75" customHeight="1" x14ac:dyDescent="0.25">
      <c r="A20" s="41" t="s">
        <v>40</v>
      </c>
      <c r="B20" s="14" t="s">
        <v>35</v>
      </c>
      <c r="C20" s="1"/>
      <c r="D20" s="1"/>
      <c r="E20" s="1"/>
      <c r="F20" s="6"/>
      <c r="G20" s="6"/>
      <c r="H20" s="6"/>
      <c r="K20" s="26"/>
      <c r="L20" s="26"/>
      <c r="M20" s="26"/>
      <c r="N20" s="26"/>
      <c r="O20" s="26"/>
      <c r="P20" s="6"/>
    </row>
    <row r="21" spans="1:18" ht="12.75" customHeight="1" x14ac:dyDescent="0.25">
      <c r="A21" s="41"/>
      <c r="B21" s="14" t="s">
        <v>75</v>
      </c>
      <c r="C21" s="1"/>
      <c r="D21" s="1"/>
      <c r="E21" s="1"/>
      <c r="F21" s="6"/>
      <c r="G21" s="6"/>
      <c r="H21" s="6"/>
      <c r="K21" s="26"/>
      <c r="L21" s="26"/>
      <c r="M21" s="26"/>
      <c r="N21" s="26"/>
      <c r="O21" s="26"/>
      <c r="P21" s="6"/>
    </row>
    <row r="22" spans="1:18" ht="12.75" customHeight="1" x14ac:dyDescent="0.25">
      <c r="A22" s="41" t="s">
        <v>81</v>
      </c>
      <c r="B22" s="14" t="s">
        <v>73</v>
      </c>
      <c r="C22" s="1"/>
      <c r="D22" s="1"/>
      <c r="E22" s="1"/>
      <c r="F22" s="6"/>
      <c r="G22" s="6"/>
      <c r="H22" s="6"/>
      <c r="K22" s="26"/>
      <c r="L22" s="26"/>
      <c r="M22" s="26"/>
      <c r="N22" s="26"/>
      <c r="O22" s="26"/>
      <c r="P22" s="6"/>
    </row>
    <row r="23" spans="1:18" ht="12.75" customHeight="1" x14ac:dyDescent="0.25">
      <c r="A23" s="41" t="s">
        <v>82</v>
      </c>
      <c r="B23" s="14" t="s">
        <v>74</v>
      </c>
      <c r="C23" s="1"/>
      <c r="D23" s="1"/>
      <c r="E23" s="1"/>
      <c r="F23" s="6"/>
      <c r="G23" s="6"/>
      <c r="H23" s="6"/>
      <c r="K23" s="26"/>
      <c r="L23" s="26"/>
      <c r="M23" s="26"/>
      <c r="N23" s="26"/>
      <c r="O23" s="26"/>
      <c r="P23" s="6"/>
    </row>
    <row r="24" spans="1:18" ht="12.75" customHeight="1" x14ac:dyDescent="0.25">
      <c r="B24" s="1" t="s">
        <v>16</v>
      </c>
      <c r="C24" s="1"/>
      <c r="D24" s="1"/>
      <c r="E24" s="1"/>
      <c r="F24" s="6"/>
      <c r="G24" s="6"/>
    </row>
    <row r="25" spans="1:18" ht="3.75" customHeight="1" x14ac:dyDescent="0.25">
      <c r="B25" s="1"/>
      <c r="C25" s="1"/>
      <c r="D25" s="1"/>
      <c r="E25" s="1"/>
      <c r="F25" s="6"/>
      <c r="G25" s="6"/>
    </row>
    <row r="26" spans="1:18" ht="12" customHeight="1" x14ac:dyDescent="0.25">
      <c r="A26" s="40" t="s">
        <v>5</v>
      </c>
      <c r="B26" s="1"/>
      <c r="C26" s="1"/>
      <c r="D26" s="1"/>
      <c r="E26" s="1"/>
      <c r="F26" s="6"/>
      <c r="G26" s="9"/>
    </row>
    <row r="27" spans="1:18" ht="15" customHeight="1" x14ac:dyDescent="0.35">
      <c r="B27" s="44" t="s">
        <v>58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7.5" customHeight="1" x14ac:dyDescent="0.35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spans="1:18" ht="337.5" customHeight="1" x14ac:dyDescent="0.35">
      <c r="A29" s="41" t="s">
        <v>65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spans="1:18" ht="7.5" customHeight="1" x14ac:dyDescent="0.25">
      <c r="A30" s="41" t="s">
        <v>65</v>
      </c>
      <c r="B30" s="8"/>
      <c r="C30" s="8"/>
      <c r="D30" s="22"/>
      <c r="E30" s="1"/>
      <c r="F30" s="6"/>
      <c r="G30" s="12"/>
      <c r="H30" s="12"/>
      <c r="I30" s="23"/>
      <c r="J30" s="12"/>
      <c r="K30" s="6"/>
      <c r="L30" s="6"/>
      <c r="M30" s="27"/>
      <c r="N30" s="27"/>
    </row>
    <row r="31" spans="1:18" s="9" customFormat="1" ht="11.25" customHeight="1" x14ac:dyDescent="0.25">
      <c r="A31" s="41" t="s">
        <v>65</v>
      </c>
      <c r="B31" s="15" t="s">
        <v>43</v>
      </c>
      <c r="C31" s="19" t="s">
        <v>59</v>
      </c>
      <c r="D31" s="19" t="s">
        <v>60</v>
      </c>
      <c r="E31" s="19" t="s">
        <v>42</v>
      </c>
      <c r="F31" s="28" t="s">
        <v>68</v>
      </c>
      <c r="G31" s="28" t="s">
        <v>46</v>
      </c>
      <c r="H31" s="28" t="s">
        <v>47</v>
      </c>
      <c r="I31" s="28" t="s">
        <v>48</v>
      </c>
      <c r="J31" s="28" t="s">
        <v>49</v>
      </c>
      <c r="K31" s="28" t="s">
        <v>50</v>
      </c>
      <c r="L31" s="28" t="s">
        <v>51</v>
      </c>
      <c r="M31" s="28" t="s">
        <v>52</v>
      </c>
      <c r="N31" s="28" t="s">
        <v>53</v>
      </c>
      <c r="O31" s="28" t="s">
        <v>54</v>
      </c>
      <c r="P31" s="28" t="s">
        <v>55</v>
      </c>
      <c r="Q31" s="28" t="s">
        <v>56</v>
      </c>
      <c r="R31" s="28" t="s">
        <v>57</v>
      </c>
    </row>
    <row r="32" spans="1:18" ht="12" customHeight="1" x14ac:dyDescent="0.25">
      <c r="A32" s="41" t="s">
        <v>65</v>
      </c>
      <c r="B32" s="6" t="s">
        <v>44</v>
      </c>
      <c r="C32" s="42" t="e">
        <f>C33/100</f>
        <v>#VALUE!</v>
      </c>
      <c r="D32" s="42" t="e">
        <f>D33/100</f>
        <v>#VALUE!</v>
      </c>
      <c r="E32" s="18" t="s">
        <v>41</v>
      </c>
      <c r="F32" s="43" t="s">
        <v>67</v>
      </c>
      <c r="G32" s="43" t="e">
        <f>IF(VALUE("&lt;Show Previous Periods&gt;")&gt;=1,VALUE("&lt;ReportData.metricValueForPeriod1&gt;"),"-")</f>
        <v>#VALUE!</v>
      </c>
      <c r="H32" s="43" t="e">
        <f>IF(VALUE("&lt;Show Previous Periods&gt;")&gt;=2,VALUE("&lt;ReportData.metricValueForPeriod2&gt;"),"-")</f>
        <v>#VALUE!</v>
      </c>
      <c r="I32" s="43" t="e">
        <f>IF(VALUE("&lt;Show Previous Periods&gt;")&gt;=3,VALUE("&lt;ReportData.metricValueForPeriod3&gt;"),"-")</f>
        <v>#VALUE!</v>
      </c>
      <c r="J32" s="43" t="e">
        <f>IF(VALUE("&lt;Show Previous Periods&gt;")&gt;=4,VALUE("&lt;ReportData.metricValueForPeriod4&gt;"),"-")</f>
        <v>#VALUE!</v>
      </c>
      <c r="K32" s="43" t="e">
        <f>IF(VALUE("&lt;Show Previous Periods&gt;")&gt;=5,VALUE("&lt;ReportData.metricValueForPeriod5&gt;"),"-")</f>
        <v>#VALUE!</v>
      </c>
      <c r="L32" s="43" t="e">
        <f>IF(VALUE("&lt;Show Previous Periods&gt;")&gt;=6,VALUE("&lt;ReportData.metricValueForPeriod6&gt;"),"-")</f>
        <v>#VALUE!</v>
      </c>
      <c r="M32" s="43" t="e">
        <f>IF(VALUE("&lt;Show Previous Periods&gt;")&gt;=7,VALUE("&lt;ReportData.metricValueForPeriod7&gt;"),"-")</f>
        <v>#VALUE!</v>
      </c>
      <c r="N32" s="43" t="e">
        <f>IF(VALUE("&lt;Show Previous Periods&gt;")&gt;=8,VALUE("&lt;ReportData.metricValueForPeriod8&gt;"),"-")</f>
        <v>#VALUE!</v>
      </c>
      <c r="O32" s="43" t="e">
        <f>IF(VALUE("&lt;Show Previous Periods&gt;")&gt;=9,VALUE("&lt;ReportData.metricValueForPeriod9&gt;"),"-")</f>
        <v>#VALUE!</v>
      </c>
      <c r="P32" s="43" t="e">
        <f>IF(VALUE("&lt;Show Previous Periods&gt;")&gt;=10,VALUE("&lt;ReportData.metricValueForPeriod10&gt;"),"-")</f>
        <v>#VALUE!</v>
      </c>
      <c r="Q32" s="43" t="e">
        <f>IF(VALUE("&lt;Show Previous Periods&gt;")&gt;=11,VALUE("&lt;ReportData.metricValueForPeriod11&gt;"),"-")</f>
        <v>#VALUE!</v>
      </c>
      <c r="R32" s="43" t="e">
        <f>IF(VALUE("&lt;Show Previous Periods&gt;")&gt;=12,VALUE("&lt;ReportData.metricValueForPeriod12&gt;"),"-")</f>
        <v>#VALUE!</v>
      </c>
    </row>
    <row r="33" spans="1:18" s="31" customFormat="1" ht="3.75" customHeight="1" x14ac:dyDescent="0.25">
      <c r="A33" s="41" t="s">
        <v>65</v>
      </c>
      <c r="B33" s="32"/>
      <c r="C33" s="33" t="s">
        <v>61</v>
      </c>
      <c r="D33" s="33" t="s">
        <v>62</v>
      </c>
      <c r="E33" s="34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spans="1:18" ht="337.5" customHeight="1" x14ac:dyDescent="0.35">
      <c r="A34" s="41" t="s">
        <v>66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spans="1:18" ht="7.5" customHeight="1" x14ac:dyDescent="0.25">
      <c r="A35" s="41" t="s">
        <v>66</v>
      </c>
      <c r="B35" s="8"/>
      <c r="C35" s="8"/>
      <c r="D35" s="22"/>
      <c r="E35" s="1"/>
      <c r="F35" s="6"/>
      <c r="G35" s="12"/>
      <c r="H35" s="12"/>
      <c r="I35" s="23"/>
      <c r="J35" s="12"/>
      <c r="K35" s="6"/>
      <c r="L35" s="6"/>
      <c r="M35" s="27"/>
      <c r="N35" s="27"/>
    </row>
    <row r="36" spans="1:18" s="9" customFormat="1" ht="11.25" customHeight="1" x14ac:dyDescent="0.25">
      <c r="A36" s="41" t="s">
        <v>66</v>
      </c>
      <c r="B36" s="15" t="s">
        <v>43</v>
      </c>
      <c r="C36" s="19" t="s">
        <v>59</v>
      </c>
      <c r="D36" s="19" t="s">
        <v>60</v>
      </c>
      <c r="E36" s="19" t="s">
        <v>42</v>
      </c>
      <c r="F36" s="28" t="s">
        <v>68</v>
      </c>
      <c r="G36" s="28" t="e">
        <f>IF(VALUE("&lt;Show Previous Periods&gt;")&gt;=1,"P 1","")</f>
        <v>#VALUE!</v>
      </c>
      <c r="H36" s="28" t="e">
        <f>IF(VALUE("&lt;Show Previous Periods&gt;")&gt;=2,"P 2","")</f>
        <v>#VALUE!</v>
      </c>
      <c r="I36" s="28" t="e">
        <f>IF(VALUE("&lt;Show Previous Periods&gt;")&gt;=3,"P 3","")</f>
        <v>#VALUE!</v>
      </c>
      <c r="J36" s="28" t="e">
        <f>IF(VALUE("&lt;Show Previous Periods&gt;")&gt;=4,"P 4","")</f>
        <v>#VALUE!</v>
      </c>
      <c r="K36" s="28" t="e">
        <f>IF(VALUE("&lt;Show Previous Periods&gt;")&gt;=5,"P 5","")</f>
        <v>#VALUE!</v>
      </c>
      <c r="L36" s="28" t="e">
        <f>IF(VALUE("&lt;Show Previous Periods&gt;")&gt;=6,"P 6","")</f>
        <v>#VALUE!</v>
      </c>
      <c r="M36" s="28" t="e">
        <f>IF(VALUE("&lt;Show Previous Periods&gt;")&gt;=7,"P 7","")</f>
        <v>#VALUE!</v>
      </c>
      <c r="N36" s="28" t="e">
        <f>IF(VALUE("&lt;Show Previous Periods&gt;")&gt;=8,"P 8","")</f>
        <v>#VALUE!</v>
      </c>
      <c r="O36" s="28" t="e">
        <f>IF(VALUE("&lt;Show Previous Periods&gt;")&gt;=9,"P 9","")</f>
        <v>#VALUE!</v>
      </c>
      <c r="P36" s="28" t="e">
        <f>IF(VALUE("&lt;Show Previous Periods&gt;")&gt;=10,"P 10","")</f>
        <v>#VALUE!</v>
      </c>
      <c r="Q36" s="28" t="e">
        <f>IF(VALUE("&lt;Show Previous Periods&gt;")&gt;=11,"P 11","")</f>
        <v>#VALUE!</v>
      </c>
      <c r="R36" s="28" t="e">
        <f>IF(VALUE("&lt;Show Previous Periods&gt;")&gt;=12,"P 12","")</f>
        <v>#VALUE!</v>
      </c>
    </row>
    <row r="37" spans="1:18" ht="12" customHeight="1" x14ac:dyDescent="0.25">
      <c r="A37" s="41" t="s">
        <v>66</v>
      </c>
      <c r="B37" s="6" t="s">
        <v>44</v>
      </c>
      <c r="C37" s="30" t="s">
        <v>61</v>
      </c>
      <c r="D37" s="30" t="s">
        <v>62</v>
      </c>
      <c r="E37" s="18" t="s">
        <v>41</v>
      </c>
      <c r="F37" s="29" t="s">
        <v>67</v>
      </c>
      <c r="G37" s="29" t="e">
        <f>IF(VALUE("&lt;Show Previous Periods&gt;")&gt;=1,VALUE("&lt;ReportData.metricValueForPeriod1&gt;"),"")</f>
        <v>#VALUE!</v>
      </c>
      <c r="H37" s="29" t="e">
        <f>IF(VALUE("&lt;Show Previous Periods&gt;")&gt;=2,VALUE("&lt;ReportData.metricValueForPeriod2&gt;"),"")</f>
        <v>#VALUE!</v>
      </c>
      <c r="I37" s="29" t="e">
        <f>IF(VALUE("&lt;Show Previous Periods&gt;")&gt;=3,VALUE("&lt;ReportData.metricValueForPeriod3&gt;"),"")</f>
        <v>#VALUE!</v>
      </c>
      <c r="J37" s="29" t="e">
        <f>IF(VALUE("&lt;Show Previous Periods&gt;")&gt;=4,VALUE("&lt;ReportData.metricValueForPeriod4&gt;"),"")</f>
        <v>#VALUE!</v>
      </c>
      <c r="K37" s="29" t="e">
        <f>IF(VALUE("&lt;Show Previous Periods&gt;")&gt;=5,VALUE("&lt;ReportData.metricValueForPeriod5&gt;"),"")</f>
        <v>#VALUE!</v>
      </c>
      <c r="L37" s="29" t="e">
        <f>IF(VALUE("&lt;Show Previous Periods&gt;")&gt;=6,VALUE("&lt;ReportData.metricValueForPeriod6&gt;"),"")</f>
        <v>#VALUE!</v>
      </c>
      <c r="M37" s="29" t="e">
        <f>IF(VALUE("&lt;Show Previous Periods&gt;")&gt;=7,VALUE("&lt;ReportData.metricValueForPeriod7&gt;"),"")</f>
        <v>#VALUE!</v>
      </c>
      <c r="N37" s="29" t="e">
        <f>IF(VALUE("&lt;Show Previous Periods&gt;")&gt;=8,VALUE("&lt;ReportData.metricValueForPeriod8&gt;"),"")</f>
        <v>#VALUE!</v>
      </c>
      <c r="O37" s="29" t="e">
        <f>IF(VALUE("&lt;Show Previous Periods&gt;")&gt;=9,VALUE("&lt;ReportData.metricValueForPeriod9&gt;"),"")</f>
        <v>#VALUE!</v>
      </c>
      <c r="P37" s="29" t="e">
        <f>IF(VALUE("&lt;Show Previous Periods&gt;")&gt;=10,VALUE("&lt;ReportData.metricValueForPeriod10&gt;"),"")</f>
        <v>#VALUE!</v>
      </c>
      <c r="Q37" s="29" t="e">
        <f>IF(VALUE("&lt;Show Previous Periods&gt;")&gt;=11,VALUE("&lt;ReportData.metricValueForPeriod11&gt;"),"")</f>
        <v>#VALUE!</v>
      </c>
      <c r="R37" s="29" t="e">
        <f>IF(VALUE("&lt;Show Previous Periods&gt;")&gt;=12,VALUE("&lt;ReportData.metricValueForPeriod12&gt;"),"")</f>
        <v>#VALUE!</v>
      </c>
    </row>
    <row r="38" spans="1:18" s="31" customFormat="1" ht="3.75" customHeight="1" x14ac:dyDescent="0.25">
      <c r="A38" s="41" t="s">
        <v>66</v>
      </c>
      <c r="B38" s="32"/>
      <c r="C38" s="33"/>
      <c r="D38" s="33"/>
      <c r="E38" s="34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</row>
    <row r="39" spans="1:18" ht="3.75" customHeight="1" x14ac:dyDescent="0.25">
      <c r="B39" s="17" t="s">
        <v>76</v>
      </c>
      <c r="C39" s="8"/>
      <c r="D39" s="22"/>
      <c r="E39" s="17"/>
      <c r="F39" s="6"/>
      <c r="G39" s="12"/>
      <c r="H39" s="12"/>
      <c r="I39" s="23"/>
      <c r="J39" s="12"/>
      <c r="K39" s="6"/>
      <c r="L39" s="6"/>
      <c r="M39" s="27"/>
      <c r="N39" s="27"/>
    </row>
    <row r="40" spans="1:18" x14ac:dyDescent="0.25">
      <c r="A40" s="40" t="s">
        <v>1</v>
      </c>
      <c r="B40" s="3"/>
      <c r="C40" s="3"/>
      <c r="D40" s="3"/>
      <c r="E40" s="3"/>
      <c r="F40" s="25"/>
    </row>
    <row r="41" spans="1:18" x14ac:dyDescent="0.25">
      <c r="B41" s="3"/>
      <c r="C41" s="30"/>
      <c r="D41" s="30"/>
      <c r="E41" s="1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18" x14ac:dyDescent="0.25">
      <c r="C42" s="30"/>
      <c r="D42" s="30"/>
      <c r="E42" s="1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</sheetData>
  <conditionalFormatting sqref="B30:D30 B35:D35 C39:D39">
    <cfRule type="expression" dxfId="26" priority="15" stopIfTrue="1">
      <formula>EXACT(#REF!,"HDR")</formula>
    </cfRule>
    <cfRule type="expression" dxfId="25" priority="16" stopIfTrue="1">
      <formula>EXACT(#REF!,"TTL")</formula>
    </cfRule>
    <cfRule type="expression" dxfId="24" priority="17" stopIfTrue="1">
      <formula>EXACT(#REF!,"CLN")</formula>
    </cfRule>
  </conditionalFormatting>
  <conditionalFormatting sqref="B40:F40 B41">
    <cfRule type="expression" dxfId="23" priority="11" stopIfTrue="1">
      <formula>EXACT(#REF!,"TTL")</formula>
    </cfRule>
    <cfRule type="expression" dxfId="22" priority="12" stopIfTrue="1">
      <formula>EXACT(#REF!,"CLN")</formula>
    </cfRule>
  </conditionalFormatting>
  <conditionalFormatting sqref="F32:R33">
    <cfRule type="cellIs" dxfId="21" priority="3" stopIfTrue="1" operator="greaterThanOrEqual">
      <formula>$D32</formula>
    </cfRule>
    <cfRule type="cellIs" dxfId="20" priority="4" stopIfTrue="1" operator="lessThan">
      <formula>$C32</formula>
    </cfRule>
  </conditionalFormatting>
  <conditionalFormatting sqref="F37:R38">
    <cfRule type="cellIs" dxfId="19" priority="1" stopIfTrue="1" operator="greaterThanOrEqual">
      <formula>$D37</formula>
    </cfRule>
    <cfRule type="cellIs" dxfId="18" priority="2" stopIfTrue="1" operator="lessThan">
      <formula>$C37</formula>
    </cfRule>
  </conditionalFormatting>
  <conditionalFormatting sqref="F41:R42">
    <cfRule type="cellIs" dxfId="17" priority="7" stopIfTrue="1" operator="greaterThanOrEqual">
      <formula>$D41</formula>
    </cfRule>
    <cfRule type="cellIs" dxfId="16" priority="8" stopIfTrue="1" operator="lessThan">
      <formula>$C41</formula>
    </cfRule>
  </conditionalFormatting>
  <conditionalFormatting sqref="G26">
    <cfRule type="expression" dxfId="15" priority="18" stopIfTrue="1">
      <formula>EXACT(#REF!,"HDR")</formula>
    </cfRule>
    <cfRule type="expression" dxfId="14" priority="19" stopIfTrue="1">
      <formula>EXACT(#REF!,"TTL")</formula>
    </cfRule>
    <cfRule type="expression" dxfId="13" priority="20" stopIfTrue="1">
      <formula>EXACT(#REF!,"CLN")</formula>
    </cfRule>
  </conditionalFormatting>
  <conditionalFormatting sqref="G40">
    <cfRule type="expression" dxfId="12" priority="13" stopIfTrue="1">
      <formula>EXACT(#REF!,"TTL")</formula>
    </cfRule>
    <cfRule type="expression" dxfId="11" priority="14" stopIfTrue="1">
      <formula>EXACT(#REF!,"HDR")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tabSelected="1" zoomScaleNormal="100" workbookViewId="0">
      <selection activeCell="H13" sqref="H13"/>
    </sheetView>
  </sheetViews>
  <sheetFormatPr defaultColWidth="9.1796875" defaultRowHeight="12.5" x14ac:dyDescent="0.25"/>
  <cols>
    <col min="1" max="1" width="41" style="40" customWidth="1"/>
    <col min="2" max="2" width="10.26953125" style="2" customWidth="1"/>
    <col min="3" max="4" width="6.7265625" style="2" customWidth="1"/>
    <col min="5" max="5" width="17.453125" style="2" customWidth="1"/>
    <col min="6" max="18" width="7.1796875" style="7" customWidth="1"/>
    <col min="19" max="16384" width="9.1796875" style="2"/>
  </cols>
  <sheetData>
    <row r="1" spans="1:16" s="5" customFormat="1" ht="12.75" customHeight="1" x14ac:dyDescent="0.25">
      <c r="A1" s="37" t="s">
        <v>0</v>
      </c>
      <c r="B1" s="4"/>
      <c r="C1" s="4"/>
      <c r="D1" s="21"/>
      <c r="E1" s="4"/>
      <c r="F1" s="4"/>
      <c r="G1" s="7"/>
    </row>
    <row r="2" spans="1:16" s="4" customFormat="1" ht="12.75" customHeight="1" x14ac:dyDescent="0.25">
      <c r="A2" s="37" t="s">
        <v>14</v>
      </c>
      <c r="D2" s="21"/>
    </row>
    <row r="3" spans="1:16" s="4" customFormat="1" ht="12.75" customHeight="1" x14ac:dyDescent="0.25">
      <c r="A3" s="37" t="s">
        <v>4</v>
      </c>
      <c r="D3" s="21"/>
    </row>
    <row r="4" spans="1:16" s="4" customFormat="1" ht="12.75" customHeight="1" x14ac:dyDescent="0.25">
      <c r="A4" s="37" t="s">
        <v>15</v>
      </c>
      <c r="D4" s="21"/>
    </row>
    <row r="5" spans="1:16" s="4" customFormat="1" ht="12.75" customHeight="1" x14ac:dyDescent="0.25">
      <c r="A5" s="37" t="s">
        <v>19</v>
      </c>
      <c r="D5" s="21"/>
    </row>
    <row r="6" spans="1:16" s="4" customFormat="1" ht="12.75" customHeight="1" x14ac:dyDescent="0.25">
      <c r="A6" s="37" t="s">
        <v>93</v>
      </c>
      <c r="D6" s="21"/>
    </row>
    <row r="7" spans="1:16" s="7" customFormat="1" ht="12.75" customHeight="1" x14ac:dyDescent="0.25">
      <c r="A7" s="38" t="s">
        <v>96</v>
      </c>
      <c r="B7" s="6"/>
      <c r="C7" s="6"/>
      <c r="D7" s="1"/>
      <c r="E7" s="6"/>
      <c r="F7" s="6"/>
    </row>
    <row r="8" spans="1:16" s="7" customFormat="1" ht="12.75" customHeight="1" x14ac:dyDescent="0.25">
      <c r="A8" s="38" t="s">
        <v>89</v>
      </c>
      <c r="B8" s="6" t="s">
        <v>88</v>
      </c>
      <c r="C8" s="6"/>
      <c r="D8" s="1"/>
      <c r="E8" s="6"/>
      <c r="F8" s="6"/>
    </row>
    <row r="9" spans="1:16" s="10" customFormat="1" ht="14.25" customHeight="1" x14ac:dyDescent="0.25">
      <c r="A9" s="37" t="s">
        <v>17</v>
      </c>
      <c r="B9" s="11"/>
      <c r="C9" s="11"/>
      <c r="D9" s="20"/>
      <c r="E9" s="11"/>
      <c r="F9" s="11"/>
    </row>
    <row r="10" spans="1:16" s="10" customFormat="1" ht="14.25" customHeight="1" x14ac:dyDescent="0.25">
      <c r="A10" s="37" t="s">
        <v>18</v>
      </c>
      <c r="B10" s="11"/>
      <c r="C10" s="11"/>
      <c r="D10" s="20"/>
      <c r="E10" s="11"/>
      <c r="F10" s="11"/>
    </row>
    <row r="11" spans="1:16" ht="21" customHeight="1" x14ac:dyDescent="0.25">
      <c r="A11" s="39"/>
      <c r="B11" s="16" t="s">
        <v>6</v>
      </c>
      <c r="C11" s="16"/>
      <c r="D11" s="24"/>
      <c r="E11" s="16"/>
      <c r="F11" s="16"/>
      <c r="G11" s="16"/>
    </row>
    <row r="12" spans="1:16" ht="15" customHeight="1" x14ac:dyDescent="0.35">
      <c r="B12" s="13" t="s">
        <v>69</v>
      </c>
    </row>
    <row r="13" spans="1:16" ht="12.75" customHeight="1" x14ac:dyDescent="0.25">
      <c r="A13" s="41" t="s">
        <v>25</v>
      </c>
      <c r="B13" s="14" t="s">
        <v>63</v>
      </c>
      <c r="C13" s="1"/>
      <c r="D13" s="1"/>
      <c r="E13" s="1"/>
      <c r="F13" s="6"/>
      <c r="G13" s="6"/>
      <c r="H13" s="6"/>
      <c r="K13" s="26"/>
      <c r="L13" s="26"/>
      <c r="M13" s="26"/>
      <c r="N13" s="26"/>
      <c r="O13" s="26"/>
      <c r="P13" s="6"/>
    </row>
    <row r="14" spans="1:16" ht="12.75" customHeight="1" x14ac:dyDescent="0.25">
      <c r="A14" s="41" t="s">
        <v>26</v>
      </c>
      <c r="B14" s="14" t="s">
        <v>64</v>
      </c>
      <c r="C14" s="1"/>
      <c r="D14" s="1"/>
      <c r="E14" s="1"/>
      <c r="F14" s="6"/>
      <c r="G14" s="6"/>
      <c r="H14" s="6"/>
      <c r="K14" s="26"/>
      <c r="L14" s="26"/>
      <c r="M14" s="26"/>
      <c r="N14" s="26"/>
      <c r="O14" s="26"/>
      <c r="P14" s="6"/>
    </row>
    <row r="15" spans="1:16" ht="12.75" customHeight="1" x14ac:dyDescent="0.25">
      <c r="A15" s="41"/>
      <c r="B15" s="14" t="s">
        <v>94</v>
      </c>
      <c r="C15" s="1"/>
      <c r="D15" s="1"/>
      <c r="E15" s="1"/>
      <c r="F15" s="6"/>
      <c r="G15" s="6"/>
      <c r="H15" s="6"/>
      <c r="K15" s="26"/>
      <c r="L15" s="26"/>
      <c r="M15" s="26"/>
      <c r="N15" s="26"/>
      <c r="O15" s="26"/>
      <c r="P15" s="6"/>
    </row>
    <row r="16" spans="1:16" ht="12.75" customHeight="1" x14ac:dyDescent="0.25">
      <c r="A16" s="41" t="s">
        <v>45</v>
      </c>
      <c r="B16" s="14" t="s">
        <v>95</v>
      </c>
      <c r="C16" s="1"/>
      <c r="D16" s="1"/>
      <c r="E16" s="1"/>
      <c r="F16" s="6"/>
      <c r="G16" s="6"/>
      <c r="H16" s="6"/>
      <c r="K16" s="26"/>
      <c r="L16" s="26"/>
      <c r="M16" s="26"/>
      <c r="N16" s="26"/>
      <c r="O16" s="26"/>
      <c r="P16" s="6"/>
    </row>
    <row r="17" spans="1:18" ht="12.75" customHeight="1" x14ac:dyDescent="0.25">
      <c r="A17" s="41" t="s">
        <v>38</v>
      </c>
      <c r="B17" s="14" t="s">
        <v>36</v>
      </c>
      <c r="C17" s="1"/>
      <c r="D17" s="1"/>
      <c r="E17" s="1"/>
      <c r="F17" s="6"/>
      <c r="G17" s="6"/>
      <c r="H17" s="6"/>
      <c r="K17" s="26"/>
      <c r="L17" s="26"/>
      <c r="M17" s="26"/>
      <c r="N17" s="26"/>
      <c r="O17" s="26"/>
      <c r="P17" s="6"/>
    </row>
    <row r="18" spans="1:18" ht="12.75" customHeight="1" x14ac:dyDescent="0.25">
      <c r="A18" s="41" t="s">
        <v>39</v>
      </c>
      <c r="B18" s="14" t="s">
        <v>34</v>
      </c>
      <c r="C18" s="1"/>
      <c r="D18" s="1"/>
      <c r="E18" s="1"/>
      <c r="F18" s="6"/>
      <c r="G18" s="6"/>
      <c r="H18" s="6"/>
      <c r="K18" s="26"/>
      <c r="L18" s="26"/>
      <c r="M18" s="26"/>
      <c r="N18" s="26"/>
      <c r="O18" s="26"/>
      <c r="P18" s="6"/>
    </row>
    <row r="19" spans="1:18" ht="12.75" customHeight="1" x14ac:dyDescent="0.25">
      <c r="A19" s="41" t="s">
        <v>40</v>
      </c>
      <c r="B19" s="14" t="s">
        <v>35</v>
      </c>
      <c r="C19" s="1"/>
      <c r="D19" s="1"/>
      <c r="E19" s="1"/>
      <c r="F19" s="6"/>
      <c r="G19" s="6"/>
      <c r="H19" s="6"/>
      <c r="K19" s="26"/>
      <c r="L19" s="26"/>
      <c r="M19" s="26"/>
      <c r="N19" s="26"/>
      <c r="O19" s="26"/>
      <c r="P19" s="6"/>
    </row>
    <row r="20" spans="1:18" ht="12.75" customHeight="1" x14ac:dyDescent="0.25">
      <c r="A20" s="41" t="s">
        <v>81</v>
      </c>
      <c r="B20" s="14" t="s">
        <v>73</v>
      </c>
      <c r="C20" s="1"/>
      <c r="D20" s="1"/>
      <c r="E20" s="1"/>
      <c r="F20" s="6"/>
      <c r="G20" s="6"/>
      <c r="H20" s="6"/>
      <c r="K20" s="26"/>
      <c r="L20" s="26"/>
      <c r="M20" s="26"/>
      <c r="N20" s="26"/>
      <c r="O20" s="26"/>
      <c r="P20" s="6"/>
    </row>
    <row r="21" spans="1:18" ht="12.75" customHeight="1" x14ac:dyDescent="0.25">
      <c r="A21" s="41" t="s">
        <v>82</v>
      </c>
      <c r="B21" s="14" t="s">
        <v>74</v>
      </c>
      <c r="C21" s="1"/>
      <c r="D21" s="1"/>
      <c r="E21" s="1"/>
      <c r="F21" s="6"/>
      <c r="G21" s="6"/>
      <c r="H21" s="6"/>
      <c r="K21" s="26"/>
      <c r="L21" s="26"/>
      <c r="M21" s="26"/>
      <c r="N21" s="26"/>
      <c r="O21" s="26"/>
      <c r="P21" s="6"/>
    </row>
    <row r="22" spans="1:18" ht="12.75" customHeight="1" x14ac:dyDescent="0.25">
      <c r="B22" s="1" t="s">
        <v>16</v>
      </c>
      <c r="C22" s="1"/>
      <c r="D22" s="1"/>
      <c r="E22" s="1"/>
      <c r="F22" s="6"/>
      <c r="G22" s="6"/>
    </row>
    <row r="23" spans="1:18" ht="3.75" customHeight="1" x14ac:dyDescent="0.25">
      <c r="B23" s="1"/>
      <c r="C23" s="1"/>
      <c r="D23" s="1"/>
      <c r="E23" s="1"/>
      <c r="F23" s="6"/>
      <c r="G23" s="6"/>
    </row>
    <row r="24" spans="1:18" s="9" customFormat="1" ht="11.25" customHeight="1" x14ac:dyDescent="0.25">
      <c r="A24" s="41"/>
      <c r="B24" s="15" t="s">
        <v>43</v>
      </c>
      <c r="C24" s="19" t="s">
        <v>59</v>
      </c>
      <c r="D24" s="19" t="s">
        <v>60</v>
      </c>
      <c r="E24" s="19" t="s">
        <v>42</v>
      </c>
      <c r="F24" s="28" t="s">
        <v>68</v>
      </c>
      <c r="G24" s="28" t="e">
        <f>IF(VALUE("&lt;Show Previous Periods&gt;")&gt;=1,"P 1","")</f>
        <v>#VALUE!</v>
      </c>
      <c r="H24" s="28" t="e">
        <f>IF(VALUE("&lt;Show Previous Periods&gt;")&gt;=2,"P 2","")</f>
        <v>#VALUE!</v>
      </c>
      <c r="I24" s="28" t="e">
        <f>IF(VALUE("&lt;Show Previous Periods&gt;")&gt;=3,"P 3","")</f>
        <v>#VALUE!</v>
      </c>
      <c r="J24" s="28" t="e">
        <f>IF(VALUE("&lt;Show Previous Periods&gt;")&gt;=4,"P 4","")</f>
        <v>#VALUE!</v>
      </c>
      <c r="K24" s="28" t="e">
        <f>IF(VALUE("&lt;Show Previous Periods&gt;")&gt;=5,"P 5","")</f>
        <v>#VALUE!</v>
      </c>
      <c r="L24" s="28" t="e">
        <f>IF(VALUE("&lt;Show Previous Periods&gt;")&gt;=6,"P 6","")</f>
        <v>#VALUE!</v>
      </c>
      <c r="M24" s="28" t="e">
        <f>IF(VALUE("&lt;Show Previous Periods&gt;")&gt;=7,"P 7","")</f>
        <v>#VALUE!</v>
      </c>
      <c r="N24" s="28" t="e">
        <f>IF(VALUE("&lt;Show Previous Periods&gt;")&gt;=8,"P 8","")</f>
        <v>#VALUE!</v>
      </c>
      <c r="O24" s="28" t="e">
        <f>IF(VALUE("&lt;Show Previous Periods&gt;")&gt;=9,"P 9","")</f>
        <v>#VALUE!</v>
      </c>
      <c r="P24" s="28" t="e">
        <f>IF(VALUE("&lt;Show Previous Periods&gt;")&gt;=10,"P 10","")</f>
        <v>#VALUE!</v>
      </c>
      <c r="Q24" s="28" t="e">
        <f>IF(VALUE("&lt;Show Previous Periods&gt;")&gt;=11,"P 11","")</f>
        <v>#VALUE!</v>
      </c>
      <c r="R24" s="28" t="e">
        <f>IF(VALUE("&lt;Show Previous Periods&gt;")&gt;=12,"P 12","")</f>
        <v>#VALUE!</v>
      </c>
    </row>
    <row r="25" spans="1:18" s="9" customFormat="1" ht="1.5" customHeight="1" x14ac:dyDescent="0.25">
      <c r="A25" s="41"/>
      <c r="B25" s="46"/>
      <c r="C25" s="47"/>
      <c r="D25" s="47"/>
      <c r="E25" s="47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</row>
    <row r="26" spans="1:18" ht="12" customHeight="1" x14ac:dyDescent="0.25">
      <c r="A26" s="40" t="s">
        <v>5</v>
      </c>
      <c r="B26" s="1"/>
      <c r="C26" s="1"/>
      <c r="D26" s="1"/>
      <c r="E26" s="1"/>
      <c r="F26" s="6"/>
      <c r="G26" s="9"/>
    </row>
    <row r="27" spans="1:18" s="9" customFormat="1" ht="10.5" customHeight="1" x14ac:dyDescent="0.3">
      <c r="A27" s="41" t="s">
        <v>84</v>
      </c>
      <c r="B27" s="45" t="s">
        <v>58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0.5" customHeight="1" x14ac:dyDescent="0.25">
      <c r="A28" s="41" t="s">
        <v>83</v>
      </c>
      <c r="B28" s="6" t="s">
        <v>44</v>
      </c>
      <c r="C28" s="42" t="e">
        <f>C29/100</f>
        <v>#VALUE!</v>
      </c>
      <c r="D28" s="42" t="e">
        <f>D29/100</f>
        <v>#VALUE!</v>
      </c>
      <c r="E28" s="18" t="s">
        <v>90</v>
      </c>
      <c r="F28" s="43" t="s">
        <v>67</v>
      </c>
      <c r="G28" s="43" t="e">
        <f>IF(VALUE("&lt;Show Previous Periods&gt;")&gt;=1,VALUE("&lt;ReportData.metricValueForPeriod1&gt;"),"")</f>
        <v>#VALUE!</v>
      </c>
      <c r="H28" s="43" t="e">
        <f>IF(VALUE("&lt;Show Previous Periods&gt;")&gt;=2,VALUE("&lt;ReportData.metricValueForPeriod2&gt;"),"")</f>
        <v>#VALUE!</v>
      </c>
      <c r="I28" s="43" t="e">
        <f>IF(VALUE("&lt;Show Previous Periods&gt;")&gt;=3,VALUE("&lt;ReportData.metricValueForPeriod3&gt;"),"")</f>
        <v>#VALUE!</v>
      </c>
      <c r="J28" s="43" t="e">
        <f>IF(VALUE("&lt;Show Previous Periods&gt;")&gt;=4,VALUE("&lt;ReportData.metricValueForPeriod4&gt;"),"")</f>
        <v>#VALUE!</v>
      </c>
      <c r="K28" s="43" t="e">
        <f>IF(VALUE("&lt;Show Previous Periods&gt;")&gt;=5,VALUE("&lt;ReportData.metricValueForPeriod5&gt;"),"")</f>
        <v>#VALUE!</v>
      </c>
      <c r="L28" s="43" t="e">
        <f>IF(VALUE("&lt;Show Previous Periods&gt;")&gt;=6,VALUE("&lt;ReportData.metricValueForPeriod6&gt;"),"")</f>
        <v>#VALUE!</v>
      </c>
      <c r="M28" s="43" t="e">
        <f>IF(VALUE("&lt;Show Previous Periods&gt;")&gt;=7,VALUE("&lt;ReportData.metricValueForPeriod7&gt;"),"")</f>
        <v>#VALUE!</v>
      </c>
      <c r="N28" s="43" t="e">
        <f>IF(VALUE("&lt;Show Previous Periods&gt;")&gt;=8,VALUE("&lt;ReportData.metricValueForPeriod8&gt;"),"")</f>
        <v>#VALUE!</v>
      </c>
      <c r="O28" s="43" t="e">
        <f>IF(VALUE("&lt;Show Previous Periods&gt;")&gt;=9,VALUE("&lt;ReportData.metricValueForPeriod9&gt;"),"")</f>
        <v>#VALUE!</v>
      </c>
      <c r="P28" s="43" t="e">
        <f>IF(VALUE("&lt;Show Previous Periods&gt;")&gt;=10,VALUE("&lt;ReportData.metricValueForPeriod10&gt;"),"")</f>
        <v>#VALUE!</v>
      </c>
      <c r="Q28" s="43" t="e">
        <f>IF(VALUE("&lt;Show Previous Periods&gt;")&gt;=11,VALUE("&lt;ReportData.metricValueForPeriod11&gt;"),"")</f>
        <v>#VALUE!</v>
      </c>
      <c r="R28" s="43" t="e">
        <f>IF(VALUE("&lt;Show Previous Periods&gt;")&gt;=12,VALUE("&lt;ReportData.metricValueForPeriod12&gt;"),"")</f>
        <v>#VALUE!</v>
      </c>
    </row>
    <row r="29" spans="1:18" s="31" customFormat="1" ht="2.25" customHeight="1" x14ac:dyDescent="0.25">
      <c r="A29" s="41" t="s">
        <v>83</v>
      </c>
      <c r="B29" s="32"/>
      <c r="C29" s="33" t="s">
        <v>61</v>
      </c>
      <c r="D29" s="33" t="s">
        <v>62</v>
      </c>
      <c r="E29" s="34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18" ht="10.5" customHeight="1" x14ac:dyDescent="0.25">
      <c r="A30" s="41" t="s">
        <v>85</v>
      </c>
      <c r="B30" s="6" t="s">
        <v>44</v>
      </c>
      <c r="C30" s="30" t="s">
        <v>61</v>
      </c>
      <c r="D30" s="30" t="s">
        <v>62</v>
      </c>
      <c r="E30" s="18" t="s">
        <v>41</v>
      </c>
      <c r="F30" s="29" t="s">
        <v>67</v>
      </c>
      <c r="G30" s="29" t="e">
        <f>IF(VALUE("&lt;Show Previous Periods&gt;")&gt;=1,VALUE("&lt;ReportData.metricValueForPeriod1&gt;"),"")</f>
        <v>#VALUE!</v>
      </c>
      <c r="H30" s="29" t="e">
        <f>IF(VALUE("&lt;Show Previous Periods&gt;")&gt;=2,VALUE("&lt;ReportData.metricValueForPeriod2&gt;"),"")</f>
        <v>#VALUE!</v>
      </c>
      <c r="I30" s="29" t="e">
        <f>IF(VALUE("&lt;Show Previous Periods&gt;")&gt;=3,VALUE("&lt;ReportData.metricValueForPeriod3&gt;"),"")</f>
        <v>#VALUE!</v>
      </c>
      <c r="J30" s="29" t="e">
        <f>IF(VALUE("&lt;Show Previous Periods&gt;")&gt;=4,VALUE("&lt;ReportData.metricValueForPeriod4&gt;"),"")</f>
        <v>#VALUE!</v>
      </c>
      <c r="K30" s="29" t="e">
        <f>IF(VALUE("&lt;Show Previous Periods&gt;")&gt;=5,VALUE("&lt;ReportData.metricValueForPeriod5&gt;"),"")</f>
        <v>#VALUE!</v>
      </c>
      <c r="L30" s="29" t="e">
        <f>IF(VALUE("&lt;Show Previous Periods&gt;")&gt;=6,VALUE("&lt;ReportData.metricValueForPeriod6&gt;"),"")</f>
        <v>#VALUE!</v>
      </c>
      <c r="M30" s="29" t="e">
        <f>IF(VALUE("&lt;Show Previous Periods&gt;")&gt;=7,VALUE("&lt;ReportData.metricValueForPeriod7&gt;"),"")</f>
        <v>#VALUE!</v>
      </c>
      <c r="N30" s="29" t="e">
        <f>IF(VALUE("&lt;Show Previous Periods&gt;")&gt;=8,VALUE("&lt;ReportData.metricValueForPeriod8&gt;"),"")</f>
        <v>#VALUE!</v>
      </c>
      <c r="O30" s="29" t="e">
        <f>IF(VALUE("&lt;Show Previous Periods&gt;")&gt;=9,VALUE("&lt;ReportData.metricValueForPeriod9&gt;"),"")</f>
        <v>#VALUE!</v>
      </c>
      <c r="P30" s="29" t="e">
        <f>IF(VALUE("&lt;Show Previous Periods&gt;")&gt;=10,VALUE("&lt;ReportData.metricValueForPeriod10&gt;"),"")</f>
        <v>#VALUE!</v>
      </c>
      <c r="Q30" s="29" t="e">
        <f>IF(VALUE("&lt;Show Previous Periods&gt;")&gt;=11,VALUE("&lt;ReportData.metricValueForPeriod11&gt;"),"")</f>
        <v>#VALUE!</v>
      </c>
      <c r="R30" s="29" t="e">
        <f>IF(VALUE("&lt;Show Previous Periods&gt;")&gt;=12,VALUE("&lt;ReportData.metricValueForPeriod12&gt;"),"")</f>
        <v>#VALUE!</v>
      </c>
    </row>
    <row r="31" spans="1:18" s="31" customFormat="1" ht="2.25" customHeight="1" x14ac:dyDescent="0.25">
      <c r="A31" s="41" t="s">
        <v>85</v>
      </c>
      <c r="B31" s="32"/>
      <c r="C31" s="33"/>
      <c r="D31" s="33"/>
      <c r="E31" s="34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 x14ac:dyDescent="0.25">
      <c r="A32" s="40" t="s">
        <v>1</v>
      </c>
      <c r="B32" s="3"/>
      <c r="C32" s="3"/>
      <c r="D32" s="3"/>
      <c r="E32" s="3"/>
      <c r="F32" s="25"/>
    </row>
    <row r="33" spans="2:18" x14ac:dyDescent="0.25">
      <c r="B33" s="3"/>
      <c r="C33" s="30"/>
      <c r="D33" s="30"/>
      <c r="E33" s="1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2:18" x14ac:dyDescent="0.25">
      <c r="C34" s="30"/>
      <c r="D34" s="30"/>
      <c r="E34" s="1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</sheetData>
  <phoneticPr fontId="0" type="noConversion"/>
  <conditionalFormatting sqref="B32:F32 B33">
    <cfRule type="expression" dxfId="10" priority="90" stopIfTrue="1">
      <formula>EXACT(#REF!,"TTL")</formula>
    </cfRule>
    <cfRule type="expression" dxfId="9" priority="91" stopIfTrue="1">
      <formula>EXACT(#REF!,"CLN")</formula>
    </cfRule>
  </conditionalFormatting>
  <conditionalFormatting sqref="F28:R31">
    <cfRule type="cellIs" dxfId="8" priority="1" stopIfTrue="1" operator="greaterThanOrEqual">
      <formula>$D28</formula>
    </cfRule>
    <cfRule type="cellIs" dxfId="7" priority="2" stopIfTrue="1" operator="lessThan">
      <formula>$C28</formula>
    </cfRule>
  </conditionalFormatting>
  <conditionalFormatting sqref="F33:R34">
    <cfRule type="cellIs" dxfId="6" priority="34" stopIfTrue="1" operator="greaterThanOrEqual">
      <formula>$D33</formula>
    </cfRule>
    <cfRule type="cellIs" dxfId="5" priority="35" stopIfTrue="1" operator="lessThan">
      <formula>$C33</formula>
    </cfRule>
  </conditionalFormatting>
  <conditionalFormatting sqref="G26">
    <cfRule type="expression" dxfId="4" priority="97" stopIfTrue="1">
      <formula>EXACT(#REF!,"HDR")</formula>
    </cfRule>
    <cfRule type="expression" dxfId="3" priority="98" stopIfTrue="1">
      <formula>EXACT(#REF!,"TTL")</formula>
    </cfRule>
    <cfRule type="expression" dxfId="2" priority="99" stopIfTrue="1">
      <formula>EXACT(#REF!,"CLN")</formula>
    </cfRule>
  </conditionalFormatting>
  <conditionalFormatting sqref="G32">
    <cfRule type="expression" dxfId="1" priority="92" stopIfTrue="1">
      <formula>EXACT(#REF!,"TTL")</formula>
    </cfRule>
    <cfRule type="expression" dxfId="0" priority="93" stopIfTrue="1">
      <formula>EXACT(#REF!,"HDR")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selection activeCell="C3" sqref="C3"/>
    </sheetView>
  </sheetViews>
  <sheetFormatPr defaultRowHeight="12.5" x14ac:dyDescent="0.25"/>
  <cols>
    <col min="1" max="1" width="18.7265625" customWidth="1"/>
    <col min="2" max="2" width="11.453125" bestFit="1" customWidth="1"/>
  </cols>
  <sheetData>
    <row r="1" spans="1:4" x14ac:dyDescent="0.25">
      <c r="A1" t="s">
        <v>11</v>
      </c>
      <c r="B1" t="s">
        <v>3</v>
      </c>
      <c r="C1" t="s">
        <v>12</v>
      </c>
    </row>
    <row r="2" spans="1:4" x14ac:dyDescent="0.25">
      <c r="A2" t="s">
        <v>8</v>
      </c>
      <c r="B2" t="s">
        <v>3</v>
      </c>
      <c r="C2" t="s">
        <v>13</v>
      </c>
    </row>
    <row r="3" spans="1:4" x14ac:dyDescent="0.25">
      <c r="A3" t="s">
        <v>10</v>
      </c>
      <c r="B3" t="s">
        <v>3</v>
      </c>
      <c r="C3" t="s">
        <v>9</v>
      </c>
    </row>
    <row r="4" spans="1:4" x14ac:dyDescent="0.25">
      <c r="B4" t="s">
        <v>91</v>
      </c>
    </row>
    <row r="5" spans="1:4" x14ac:dyDescent="0.25">
      <c r="A5" t="s">
        <v>37</v>
      </c>
      <c r="B5" t="s">
        <v>3</v>
      </c>
      <c r="C5" t="s">
        <v>21</v>
      </c>
    </row>
    <row r="6" spans="1:4" x14ac:dyDescent="0.25">
      <c r="B6" t="s">
        <v>29</v>
      </c>
      <c r="C6" t="s">
        <v>30</v>
      </c>
    </row>
    <row r="7" spans="1:4" x14ac:dyDescent="0.25">
      <c r="B7" t="s">
        <v>22</v>
      </c>
      <c r="C7" t="s">
        <v>23</v>
      </c>
    </row>
    <row r="8" spans="1:4" x14ac:dyDescent="0.25">
      <c r="B8" t="s">
        <v>24</v>
      </c>
      <c r="D8" t="s">
        <v>33</v>
      </c>
    </row>
    <row r="9" spans="1:4" x14ac:dyDescent="0.25">
      <c r="C9" t="s">
        <v>27</v>
      </c>
      <c r="D9" t="s">
        <v>31</v>
      </c>
    </row>
    <row r="10" spans="1:4" x14ac:dyDescent="0.25">
      <c r="C10" t="s">
        <v>28</v>
      </c>
      <c r="D10" t="s">
        <v>32</v>
      </c>
    </row>
    <row r="11" spans="1:4" x14ac:dyDescent="0.25">
      <c r="A11" t="s">
        <v>20</v>
      </c>
      <c r="B11" t="s">
        <v>3</v>
      </c>
      <c r="C11" t="s">
        <v>21</v>
      </c>
    </row>
    <row r="12" spans="1:4" x14ac:dyDescent="0.25">
      <c r="B12" t="s">
        <v>22</v>
      </c>
      <c r="C12" t="s">
        <v>23</v>
      </c>
    </row>
    <row r="13" spans="1:4" x14ac:dyDescent="0.25">
      <c r="B13" t="s">
        <v>7</v>
      </c>
    </row>
    <row r="14" spans="1:4" x14ac:dyDescent="0.25">
      <c r="B14" t="s">
        <v>79</v>
      </c>
      <c r="C14">
        <v>0</v>
      </c>
    </row>
    <row r="15" spans="1:4" x14ac:dyDescent="0.25">
      <c r="B15" t="s">
        <v>24</v>
      </c>
      <c r="C15">
        <v>0</v>
      </c>
      <c r="D15">
        <v>0</v>
      </c>
    </row>
    <row r="16" spans="1:4" x14ac:dyDescent="0.25">
      <c r="C16">
        <v>1</v>
      </c>
      <c r="D16">
        <v>1</v>
      </c>
    </row>
    <row r="17" spans="1:4" x14ac:dyDescent="0.25">
      <c r="C17">
        <v>2</v>
      </c>
      <c r="D17">
        <v>2</v>
      </c>
    </row>
    <row r="18" spans="1:4" x14ac:dyDescent="0.25">
      <c r="C18">
        <v>3</v>
      </c>
      <c r="D18">
        <v>3</v>
      </c>
    </row>
    <row r="19" spans="1:4" x14ac:dyDescent="0.25">
      <c r="C19">
        <v>4</v>
      </c>
      <c r="D19">
        <v>4</v>
      </c>
    </row>
    <row r="20" spans="1:4" x14ac:dyDescent="0.25">
      <c r="C20">
        <v>5</v>
      </c>
      <c r="D20">
        <v>5</v>
      </c>
    </row>
    <row r="21" spans="1:4" x14ac:dyDescent="0.25">
      <c r="C21">
        <v>6</v>
      </c>
      <c r="D21">
        <v>6</v>
      </c>
    </row>
    <row r="22" spans="1:4" x14ac:dyDescent="0.25">
      <c r="C22">
        <v>7</v>
      </c>
      <c r="D22">
        <v>7</v>
      </c>
    </row>
    <row r="23" spans="1:4" x14ac:dyDescent="0.25">
      <c r="C23">
        <v>8</v>
      </c>
      <c r="D23">
        <v>8</v>
      </c>
    </row>
    <row r="24" spans="1:4" x14ac:dyDescent="0.25">
      <c r="C24">
        <v>9</v>
      </c>
      <c r="D24">
        <v>9</v>
      </c>
    </row>
    <row r="25" spans="1:4" x14ac:dyDescent="0.25">
      <c r="C25">
        <v>10</v>
      </c>
      <c r="D25">
        <v>10</v>
      </c>
    </row>
    <row r="26" spans="1:4" x14ac:dyDescent="0.25">
      <c r="C26">
        <v>11</v>
      </c>
      <c r="D26">
        <v>11</v>
      </c>
    </row>
    <row r="27" spans="1:4" x14ac:dyDescent="0.25">
      <c r="C27">
        <v>12</v>
      </c>
      <c r="D27">
        <v>12</v>
      </c>
    </row>
    <row r="28" spans="1:4" x14ac:dyDescent="0.25">
      <c r="A28" t="s">
        <v>80</v>
      </c>
      <c r="B28" t="s">
        <v>3</v>
      </c>
      <c r="C28" t="s">
        <v>70</v>
      </c>
    </row>
    <row r="29" spans="1:4" x14ac:dyDescent="0.25">
      <c r="B29" t="s">
        <v>71</v>
      </c>
      <c r="C29" t="s">
        <v>72</v>
      </c>
      <c r="D29" t="s">
        <v>86</v>
      </c>
    </row>
    <row r="30" spans="1:4" x14ac:dyDescent="0.25">
      <c r="A30" t="s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A2" sqref="A2"/>
    </sheetView>
  </sheetViews>
  <sheetFormatPr defaultRowHeight="12.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Metrics with charts</vt:lpstr>
      <vt:lpstr>Metrics without charts</vt:lpstr>
      <vt:lpstr>Filters</vt:lpstr>
      <vt:lpstr>Optional Templates</vt:lpstr>
      <vt:lpstr>'Metrics without charts'!Print_Area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Richmond Zhou</cp:lastModifiedBy>
  <cp:lastPrinted>2012-08-28T20:59:04Z</cp:lastPrinted>
  <dcterms:created xsi:type="dcterms:W3CDTF">2003-08-15T04:17:34Z</dcterms:created>
  <dcterms:modified xsi:type="dcterms:W3CDTF">2024-07-24T05:45:42Z</dcterms:modified>
</cp:coreProperties>
</file>
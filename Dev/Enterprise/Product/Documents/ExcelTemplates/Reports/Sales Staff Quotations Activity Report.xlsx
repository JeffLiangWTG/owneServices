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6.xml" ContentType="application/vnd.openxmlformats-officedocument.drawing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wtg\CargoWise\Dev\Enterprise\Product\Documents\ExcelTemplates\Reports\"/>
    </mc:Choice>
  </mc:AlternateContent>
  <xr:revisionPtr revIDLastSave="0" documentId="13_ncr:1_{302B0DC0-8A2B-4BE3-8782-52E218DAD661}" xr6:coauthVersionLast="47" xr6:coauthVersionMax="47" xr10:uidLastSave="{00000000-0000-0000-0000-000000000000}"/>
  <bookViews>
    <workbookView xWindow="1560" yWindow="1560" windowWidth="28800" windowHeight="15345" tabRatio="753" firstSheet="2" activeTab="8" xr2:uid="{00000000-000D-0000-FFFF-FFFF00000000}"/>
  </bookViews>
  <sheets>
    <sheet name="Quote Detail by Sales Rep" sheetId="7" r:id="rId1"/>
    <sheet name="Quote Detail by Customer Svc." sheetId="9" r:id="rId2"/>
    <sheet name="Quote Summary by Sales Rep" sheetId="3" r:id="rId3"/>
    <sheet name="Quote Summary by Customer Svc." sheetId="8" r:id="rId4"/>
    <sheet name="Quote Conversion Analysis" sheetId="10" r:id="rId5"/>
    <sheet name="Quote Cancellation Analysis" sheetId="11" r:id="rId6"/>
    <sheet name="Filter" sheetId="4" r:id="rId7"/>
    <sheet name="Sort" sheetId="5" r:id="rId8"/>
    <sheet name="Optional Templates" sheetId="6" r:id="rId9"/>
  </sheets>
  <definedNames>
    <definedName name="_xlnm._FilterDatabase" localSheetId="2" hidden="1">'Quote Summary by Sales Rep'!#REF!</definedName>
    <definedName name="_xlnm.Print_Area" localSheetId="5">'Quote Cancellation Analysis'!$A$1:$K$50</definedName>
    <definedName name="_xlnm.Print_Area" localSheetId="4">'Quote Conversion Analysis'!$A$1:$H$94</definedName>
    <definedName name="_xlnm.Print_Area" localSheetId="1">'Quote Detail by Customer Svc.'!$A$1:$L$23</definedName>
    <definedName name="_xlnm.Print_Titles" localSheetId="1">'Quote Detail by Customer Svc.'!$8:$16</definedName>
    <definedName name="_xlnm.Print_Titles" localSheetId="0">'Quote Detail by Sales Rep'!$8:$16</definedName>
    <definedName name="ShipmentHeadings" localSheetId="5">#REF!,#REF!,#REF!,#REF!,#REF!,#REF!,#REF!,#REF!,#REF!,#REF!,#REF!,#REF!,#REF!,#REF!,#REF!,#REF!,#REF!,#REF!</definedName>
    <definedName name="ShipmentHeadings">#REF!,#REF!,#REF!,#REF!,#REF!,#REF!,#REF!,#REF!,#REF!,#REF!,#REF!,#REF!,#REF!,#REF!,#REF!,#REF!,#REF!,#REF!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1" l="1"/>
  <c r="I21" i="11"/>
  <c r="D18" i="11"/>
  <c r="C18" i="11"/>
  <c r="B10" i="11"/>
  <c r="G19" i="10"/>
  <c r="H19" i="10"/>
  <c r="F19" i="10"/>
  <c r="B13" i="10"/>
  <c r="B10" i="10"/>
  <c r="B11" i="9"/>
  <c r="B11" i="7"/>
  <c r="B10" i="8"/>
  <c r="B10" i="3"/>
  <c r="B10" i="7"/>
  <c r="B10" i="9"/>
  <c r="B14" i="9"/>
  <c r="B14" i="7"/>
  <c r="B13" i="3"/>
  <c r="B13" i="8"/>
  <c r="H23" i="8"/>
  <c r="G23" i="8"/>
  <c r="F23" i="8"/>
  <c r="E23" i="8"/>
  <c r="D23" i="8"/>
  <c r="E23" i="3"/>
  <c r="F23" i="3"/>
  <c r="G23" i="3"/>
  <c r="H23" i="3"/>
  <c r="D23" i="3"/>
</calcChain>
</file>

<file path=xl/sharedStrings.xml><?xml version="1.0" encoding="utf-8"?>
<sst xmlns="http://schemas.openxmlformats.org/spreadsheetml/2006/main" count="268" uniqueCount="124">
  <si>
    <t>Sales Rep: &lt;ReportData.SalesRep&gt;</t>
  </si>
  <si>
    <t>#GroupBy:ReportData.TH_SystemCreateUser:GroupTitle</t>
  </si>
  <si>
    <t>&lt;ReportData.SalesRepInitials&gt;</t>
  </si>
  <si>
    <t>Customer Service: &lt;ReportData.CustomerSvcOp&gt;</t>
  </si>
  <si>
    <t>&lt;SummaryData.CustomerSvcOp&gt;</t>
  </si>
  <si>
    <t>&lt;SummaryData.CustomerSvcOpHomeBranch&gt;</t>
  </si>
  <si>
    <t>&lt;SummaryData.SalesRepHomeBranch&gt;</t>
  </si>
  <si>
    <t>Sales Staff Quotation Activity Report - Summary by Customer Service Operator</t>
  </si>
  <si>
    <t>SUMMARY  - Quotation Activity by Staff Member Creating / Issuing the Quote</t>
  </si>
  <si>
    <t>Customer Service Staff Member</t>
  </si>
  <si>
    <t>Rep's Home Branch</t>
  </si>
  <si>
    <t>SUMMARY  - Quotation Activity by Client's Sales Representative</t>
  </si>
  <si>
    <t>Sales Staff Quotation Activity Report - Summary by Sales Representative</t>
  </si>
  <si>
    <t>#config</t>
  </si>
  <si>
    <t>#SectionBody:Data=ReportData</t>
  </si>
  <si>
    <t>DataContext=None</t>
  </si>
  <si>
    <t>#DocumentHeader</t>
  </si>
  <si>
    <t>&lt;CompanyName&gt; (&lt;CompanyCode&gt;)</t>
  </si>
  <si>
    <t>PageStyle=Continuous</t>
  </si>
  <si>
    <t>#SectionFooter</t>
  </si>
  <si>
    <t>#SectionHeader</t>
  </si>
  <si>
    <t>Type</t>
  </si>
  <si>
    <t>#end</t>
  </si>
  <si>
    <t>#EndOfReport</t>
  </si>
  <si>
    <t>Field</t>
  </si>
  <si>
    <t>Sales Rep</t>
  </si>
  <si>
    <t>&lt;ReportData.ClientName&gt;</t>
  </si>
  <si>
    <t>&lt;ReportData.QuoteNumber&gt;</t>
  </si>
  <si>
    <t>Name=Sales Staff Quotations Details Report</t>
  </si>
  <si>
    <t>#GroupBy:ReportData.SalesRep:GroupTitle</t>
  </si>
  <si>
    <t>Status</t>
  </si>
  <si>
    <t>QuoteStatus</t>
  </si>
  <si>
    <t>Active</t>
  </si>
  <si>
    <t>Accepted</t>
  </si>
  <si>
    <t>Expired</t>
  </si>
  <si>
    <t>&lt;ReportData.QuoteStatus&gt;</t>
  </si>
  <si>
    <t>OrganisationPK</t>
  </si>
  <si>
    <t>BranchPK</t>
  </si>
  <si>
    <t>&lt;ReportData.ExpiryDate&gt;</t>
  </si>
  <si>
    <t>Client Name</t>
  </si>
  <si>
    <t>Sales Representative</t>
  </si>
  <si>
    <t>#SectionBody:Data=SummaryData</t>
  </si>
  <si>
    <t>&lt;SummaryData.SalesRep&gt;</t>
  </si>
  <si>
    <t>Total</t>
  </si>
  <si>
    <t>&lt;SummaryData.Active&gt;</t>
  </si>
  <si>
    <t>&lt;SummaryData.Accepted&gt;</t>
  </si>
  <si>
    <t>&lt;SummaryData.Cancelled&gt;</t>
  </si>
  <si>
    <t>&lt;SummaryData.Expired&gt;</t>
  </si>
  <si>
    <t>&lt;SummaryData.Total&gt;</t>
  </si>
  <si>
    <t>&lt;HPageBreak&gt;</t>
  </si>
  <si>
    <t>Quote No.</t>
  </si>
  <si>
    <t>Expiry</t>
  </si>
  <si>
    <t>QuoteDateTime</t>
  </si>
  <si>
    <t>date range</t>
  </si>
  <si>
    <t>Quote Detail by Sales Rep</t>
  </si>
  <si>
    <t>Sales Staff Quotation Activity Report - Quotation Details by Sales Representative</t>
  </si>
  <si>
    <t>Issued by</t>
  </si>
  <si>
    <t>Issue Date</t>
  </si>
  <si>
    <t>&lt;ReportData.TH_SystemCreateUser&gt;</t>
  </si>
  <si>
    <t>Quote Status</t>
  </si>
  <si>
    <t>Quotes Created by</t>
  </si>
  <si>
    <t>organisation multiple selection lookup</t>
  </si>
  <si>
    <t>branch multiple selection lookup</t>
  </si>
  <si>
    <t>staff lookup Code</t>
  </si>
  <si>
    <t>HIDECOLUMNIF</t>
  </si>
  <si>
    <t>Checkbox</t>
  </si>
  <si>
    <t>Options</t>
  </si>
  <si>
    <t>TH_SystemCreateUser</t>
  </si>
  <si>
    <t>ExpiryDate</t>
  </si>
  <si>
    <t>Quote Start Date</t>
  </si>
  <si>
    <t>Quote Expiry Date</t>
  </si>
  <si>
    <t>&lt;HideRowIf("&lt;Quote Start Date.FromDate&gt;&lt;Quote Start Date.ToDate&gt;&lt;Quote Expiry Date.ToDate&gt;&lt;Quote Expiry Date.FromDate&gt;"=="")&gt;</t>
  </si>
  <si>
    <t>&lt;HideRowIf("&lt;Quote Start Date.FromDate&gt;&lt;Quote Start Date.ToDate&gt;&lt;Quote Expiry Date.ToDate&gt;&lt;Quote Expiry Date.FromDate&gt;&lt;Quote Status&gt;&lt;Sales Rep&gt;&lt;Quotes Created by&gt;&lt;Issue Date.FromDate&gt;&lt;Issue Date.ToDate&gt;"=="")&gt;</t>
  </si>
  <si>
    <t>quotecancellationreason codelistmultipleselect</t>
  </si>
  <si>
    <t>Cancel Reason</t>
  </si>
  <si>
    <t>QuoteCancellationReason</t>
  </si>
  <si>
    <t>Sales Staff Quotation Activity Report - Quotation Details by Customer Service Operator</t>
  </si>
  <si>
    <t>&lt;HideRowIf("&lt;Quote Status&gt;&lt;Cancel Reason&gt;&lt;Sales Rep&gt;&lt;Quotes Created by&gt;&lt;Issue Date.FromDate&gt;&lt;Issue Date.ToDate&gt;"=="")&gt;</t>
  </si>
  <si>
    <t xml:space="preserve">&lt;Autoheight&gt;&lt;CodePairValue(quotecancellationreason, Description, &lt;ReportData.QuoteCancellationReason&gt;)&gt; </t>
  </si>
  <si>
    <t>Quotation</t>
  </si>
  <si>
    <t>Spot Quote</t>
  </si>
  <si>
    <t>Converted</t>
  </si>
  <si>
    <t>Not Converted</t>
  </si>
  <si>
    <t>&lt;SummaryData.QuotationConverted&gt;</t>
  </si>
  <si>
    <t>&lt;SummaryData.QuotationNotConverted&gt;</t>
  </si>
  <si>
    <t>&lt;SummaryData.SpotQuoteConverted&gt;</t>
  </si>
  <si>
    <t>&lt;SummaryData.SpotQuoteNOtConverted&gt;</t>
  </si>
  <si>
    <t>Quote Conversion Analysis</t>
  </si>
  <si>
    <t>Total Converted</t>
  </si>
  <si>
    <t>Total Not Converted</t>
  </si>
  <si>
    <t>Conversion Analysis</t>
  </si>
  <si>
    <t>Sales Quotation Conversion Analysis Report</t>
  </si>
  <si>
    <t>Quote Type</t>
  </si>
  <si>
    <t>&lt;ReportData.QuoteType&gt;</t>
  </si>
  <si>
    <t>&lt;ReportData.ConversionStatus&gt;</t>
  </si>
  <si>
    <t>Quote Summary by Sales Rep</t>
  </si>
  <si>
    <t>Quote Number</t>
  </si>
  <si>
    <t>QuoteNumber</t>
  </si>
  <si>
    <t>SalesRepPK</t>
  </si>
  <si>
    <t>staff lookup</t>
  </si>
  <si>
    <t>Canceled</t>
  </si>
  <si>
    <t>Count</t>
  </si>
  <si>
    <t>&lt;SummaryData.QuoteCount&gt;</t>
  </si>
  <si>
    <t>Cancellation Analysis</t>
  </si>
  <si>
    <t>Cancellation Reason</t>
  </si>
  <si>
    <t>Sales Quotation Cancellation Analysis Report</t>
  </si>
  <si>
    <t>Quote Cancellation Analysis</t>
  </si>
  <si>
    <t>&lt;ReportData.TH_SystemCreateTimeUtc&gt;</t>
  </si>
  <si>
    <t>TH_SystemCreateTimeUtc</t>
  </si>
  <si>
    <t>ConvertToUtc</t>
  </si>
  <si>
    <t>Organization</t>
  </si>
  <si>
    <t>Organization Branch</t>
  </si>
  <si>
    <t>&lt;AutoHeight&gt;Organization Branch: &lt;Organization Branch&gt;</t>
  </si>
  <si>
    <t>&lt;HideRowIf("&lt;Organization Branch&gt;"=="")&gt;</t>
  </si>
  <si>
    <t>&lt;AutoHeight&gt;Organization: &lt;Organization&gt;</t>
  </si>
  <si>
    <t>&lt;HideRowIf("&lt;Organization&gt;"=="")&gt;</t>
  </si>
  <si>
    <t>Data:SummaryData=Report_SalesQuotationActivitySummaryByCustomerSvcOpV2(&lt;CurrentCompany&gt;, &lt;Issue Date.FromDate&gt;, &lt;Issue Date.ToDate&gt;, &lt;Quote Start Date.FromDate&gt;, &lt;Quote Start Date.ToDate&gt;, &lt;Quote Expiry Date.FromDate&gt;,&lt;Quote Expiry Date.ToDate&gt;,&lt;Sales Rep&gt;, &lt;Quotes Created by&gt;, &lt;Organization.PKs&gt;, &lt;Organization Branch.PKs&gt;)
:NOWHERECLAUSE</t>
  </si>
  <si>
    <t>Quote Detail by Customer Svc.</t>
  </si>
  <si>
    <t>Quote Summary by Customer Svc.</t>
  </si>
  <si>
    <t>Data:SummaryData=Report_SalesQuotationActivitySummaryBySalesRepV2(&lt;CurrentCompany&gt;, &lt;Issue Date.FromDate&gt;, &lt;Issue Date.ToDate&gt;, &lt;Quote Start Date.FromDate&gt;, &lt;Quote Start Date.ToDate&gt; ,&lt;Quote Expiry Date.FromDate&gt;,&lt;Quote Expiry Date.ToDate&gt;,  &lt;Sales Rep&gt;, &lt;Quotes Created by&gt;, &lt;Organization.PKs&gt;, &lt;Organization Branch.PKs&gt;)
:NOWHERECLAUSE</t>
  </si>
  <si>
    <t>Data:ReportData=select &lt;ReportData.SelectList&gt; from vw_Report_SalesQuotationActivity where CompanyPK = &lt;CurrentCompany&gt;</t>
  </si>
  <si>
    <t>Data:SummaryData=select &lt;ReportData.SelectList&gt; from Report_SalesQuotationConversionSummary (&lt;CurrentCompany&gt;, &lt;Issue Date.FromDate&gt;, &lt;Issue Date.ToDate&gt;, &lt;Quote Start Date.FromDate&gt;, &lt;Quote Start Date.ToDate&gt; ,&lt;Quote Expiry Date.FromDate&gt;,&lt;Quote Expiry Date.ToDate&gt;,  &lt;Sales Rep&gt;, &lt;Quotes Created by&gt;, &lt;Organization.PKs&gt;, &lt;Organization Branch.PKs&gt;)
:NOWHERECLAUSE</t>
  </si>
  <si>
    <t>Data:SummaryData=select &lt;ReportData.SelectList&gt; from Report_SalesQuotationCancellationSummary (&lt;CurrentCompany&gt;, &lt;Issue Date.FromDate&gt;, &lt;Issue Date.ToDate&gt;, &lt;Quote Start Date.FromDate&gt;, &lt;Quote Start Date.ToDate&gt; ,&lt;Quote Expiry Date.FromDate&gt;,&lt;Quote Expiry Date.ToDate&gt;,  &lt;Sales Rep&gt;, &lt;Quotes Created by&gt;, &lt;Organization.PKs&gt;, &lt;Organization Branch.PKs&gt;)
:NOWHERECLAUSE</t>
  </si>
  <si>
    <t>SerialisedByPK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</si>
</sst>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;@"/>
  </numFmts>
  <fonts count="16" x14ac:knownFonts="1">
    <font>
      <sz val="10"/>
      <name val="Arial"/>
    </font>
    <font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6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b/>
      <u/>
      <sz val="10"/>
      <name val="Arial"/>
      <family val="2"/>
      <charset val="204"/>
    </font>
    <font>
      <sz val="8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9"/>
      <color indexed="18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5" fillId="0" borderId="0" xfId="0" applyFont="1" applyAlignment="1">
      <alignment horizontal="centerContinuous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/>
    </xf>
    <xf numFmtId="0" fontId="4" fillId="0" borderId="0" xfId="0" applyFont="1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wrapText="1"/>
    </xf>
    <xf numFmtId="0" fontId="3" fillId="0" borderId="1" xfId="0" applyFont="1" applyBorder="1"/>
    <xf numFmtId="0" fontId="0" fillId="0" borderId="2" xfId="0" applyBorder="1"/>
    <xf numFmtId="0" fontId="8" fillId="2" borderId="1" xfId="0" applyFont="1" applyFill="1" applyBorder="1"/>
    <xf numFmtId="0" fontId="3" fillId="2" borderId="0" xfId="0" applyFont="1" applyFill="1"/>
    <xf numFmtId="0" fontId="0" fillId="2" borderId="0" xfId="0" applyFill="1"/>
    <xf numFmtId="0" fontId="0" fillId="2" borderId="2" xfId="0" applyFill="1" applyBorder="1"/>
    <xf numFmtId="0" fontId="2" fillId="0" borderId="0" xfId="0" applyFont="1" applyAlignment="1">
      <alignment horizontal="right" vertical="top"/>
    </xf>
    <xf numFmtId="0" fontId="2" fillId="0" borderId="2" xfId="0" applyFont="1" applyBorder="1" applyAlignment="1">
      <alignment horizontal="right" vertical="top"/>
    </xf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8" fillId="0" borderId="3" xfId="0" applyFont="1" applyBorder="1" applyAlignment="1">
      <alignment horizontal="right" vertical="top"/>
    </xf>
    <xf numFmtId="0" fontId="8" fillId="0" borderId="4" xfId="0" applyFont="1" applyBorder="1" applyAlignment="1">
      <alignment horizontal="right" vertical="top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7" fillId="0" borderId="3" xfId="0" applyFont="1" applyBorder="1" applyAlignment="1">
      <alignment horizontal="right"/>
    </xf>
    <xf numFmtId="0" fontId="7" fillId="0" borderId="4" xfId="0" applyFont="1" applyBorder="1" applyAlignment="1">
      <alignment horizontal="right"/>
    </xf>
    <xf numFmtId="0" fontId="7" fillId="0" borderId="5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2" fillId="0" borderId="0" xfId="0" applyFont="1" applyAlignment="1">
      <alignment horizontal="left" vertical="top" wrapText="1"/>
    </xf>
    <xf numFmtId="0" fontId="2" fillId="0" borderId="0" xfId="0" quotePrefix="1" applyFont="1" applyAlignment="1">
      <alignment horizontal="right"/>
    </xf>
    <xf numFmtId="0" fontId="2" fillId="0" borderId="0" xfId="0" applyFont="1" applyAlignment="1">
      <alignment horizontal="right"/>
    </xf>
    <xf numFmtId="22" fontId="2" fillId="0" borderId="0" xfId="0" applyNumberFormat="1" applyFont="1"/>
    <xf numFmtId="0" fontId="6" fillId="0" borderId="0" xfId="0" applyFont="1" applyAlignment="1">
      <alignment horizontal="centerContinuous"/>
    </xf>
    <xf numFmtId="0" fontId="9" fillId="2" borderId="6" xfId="0" applyFont="1" applyFill="1" applyBorder="1" applyAlignment="1">
      <alignment horizontal="centerContinuous"/>
    </xf>
    <xf numFmtId="0" fontId="9" fillId="2" borderId="7" xfId="0" applyFont="1" applyFill="1" applyBorder="1" applyAlignment="1">
      <alignment horizontal="centerContinuous"/>
    </xf>
    <xf numFmtId="0" fontId="9" fillId="2" borderId="8" xfId="0" applyFont="1" applyFill="1" applyBorder="1" applyAlignment="1">
      <alignment horizontal="centerContinuous"/>
    </xf>
    <xf numFmtId="0" fontId="0" fillId="0" borderId="0" xfId="0" applyAlignment="1">
      <alignment vertical="top"/>
    </xf>
    <xf numFmtId="0" fontId="2" fillId="0" borderId="0" xfId="0" quotePrefix="1" applyFont="1"/>
    <xf numFmtId="164" fontId="2" fillId="0" borderId="0" xfId="0" applyNumberFormat="1" applyFont="1" applyAlignment="1">
      <alignment horizontal="left" vertical="top"/>
    </xf>
    <xf numFmtId="0" fontId="11" fillId="0" borderId="0" xfId="0" applyFont="1" applyAlignment="1">
      <alignment vertical="center"/>
    </xf>
    <xf numFmtId="0" fontId="11" fillId="0" borderId="0" xfId="0" applyFont="1"/>
    <xf numFmtId="0" fontId="11" fillId="0" borderId="0" xfId="0" applyFont="1" applyAlignment="1">
      <alignment horizontal="left"/>
    </xf>
    <xf numFmtId="0" fontId="12" fillId="0" borderId="0" xfId="0" applyFont="1"/>
    <xf numFmtId="0" fontId="13" fillId="0" borderId="0" xfId="0" applyFont="1"/>
    <xf numFmtId="0" fontId="11" fillId="0" borderId="0" xfId="0" applyFont="1" applyAlignment="1">
      <alignment vertical="top"/>
    </xf>
    <xf numFmtId="0" fontId="14" fillId="0" borderId="0" xfId="0" applyFont="1"/>
    <xf numFmtId="0" fontId="11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12" fillId="0" borderId="0" xfId="0" applyFont="1" applyAlignment="1">
      <alignment vertical="center"/>
    </xf>
    <xf numFmtId="0" fontId="7" fillId="2" borderId="9" xfId="0" applyFont="1" applyFill="1" applyBorder="1" applyAlignment="1">
      <alignment vertical="center"/>
    </xf>
    <xf numFmtId="0" fontId="1" fillId="0" borderId="0" xfId="0" applyFont="1" applyAlignment="1">
      <alignment horizontal="left"/>
    </xf>
    <xf numFmtId="0" fontId="10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6" fillId="0" borderId="0" xfId="0" applyFont="1"/>
    <xf numFmtId="0" fontId="5" fillId="0" borderId="0" xfId="0" applyFont="1"/>
    <xf numFmtId="0" fontId="1" fillId="0" borderId="0" xfId="0" applyFont="1" applyAlignment="1">
      <alignment horizontal="left" vertical="top"/>
    </xf>
    <xf numFmtId="0" fontId="3" fillId="0" borderId="2" xfId="0" applyFont="1" applyBorder="1"/>
    <xf numFmtId="0" fontId="8" fillId="0" borderId="8" xfId="0" applyFont="1" applyBorder="1" applyAlignment="1">
      <alignment horizontal="right" vertical="center"/>
    </xf>
    <xf numFmtId="0" fontId="4" fillId="0" borderId="2" xfId="0" applyFont="1" applyBorder="1" applyAlignment="1">
      <alignment horizontal="right" vertical="center"/>
    </xf>
    <xf numFmtId="0" fontId="15" fillId="0" borderId="4" xfId="0" applyFont="1" applyBorder="1"/>
    <xf numFmtId="0" fontId="8" fillId="0" borderId="3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9" fillId="2" borderId="10" xfId="0" applyFont="1" applyFill="1" applyBorder="1" applyAlignment="1">
      <alignment horizontal="center"/>
    </xf>
    <xf numFmtId="0" fontId="9" fillId="2" borderId="12" xfId="0" applyFont="1" applyFill="1" applyBorder="1" applyAlignment="1">
      <alignment horizontal="center"/>
    </xf>
    <xf numFmtId="0" fontId="4" fillId="0" borderId="0" xfId="0" applyFont="1" applyAlignment="1">
      <alignment horizontal="right" vertical="center"/>
    </xf>
    <xf numFmtId="0" fontId="8" fillId="0" borderId="7" xfId="0" applyFont="1" applyBorder="1" applyAlignment="1">
      <alignment horizontal="right" vertical="center"/>
    </xf>
    <xf numFmtId="0" fontId="15" fillId="0" borderId="3" xfId="0" applyFont="1" applyBorder="1"/>
    <xf numFmtId="0" fontId="4" fillId="0" borderId="0" xfId="0" applyFont="1" applyAlignment="1">
      <alignment horizontal="left" vertical="center"/>
    </xf>
    <xf numFmtId="0" fontId="14" fillId="0" borderId="1" xfId="0" applyFont="1" applyBorder="1"/>
    <xf numFmtId="0" fontId="11" fillId="0" borderId="1" xfId="0" applyFont="1" applyBorder="1"/>
    <xf numFmtId="0" fontId="11" fillId="0" borderId="1" xfId="0" applyFont="1" applyBorder="1" applyAlignment="1">
      <alignment horizontal="left" vertical="top"/>
    </xf>
    <xf numFmtId="0" fontId="11" fillId="0" borderId="5" xfId="0" applyFont="1" applyBorder="1"/>
    <xf numFmtId="0" fontId="2" fillId="0" borderId="0" xfId="0" applyFont="1" applyAlignment="1">
      <alignment vertical="top" wrapText="1"/>
    </xf>
    <xf numFmtId="0" fontId="11" fillId="0" borderId="0" xfId="0" applyFont="1" applyAlignment="1">
      <alignment wrapText="1"/>
    </xf>
    <xf numFmtId="0" fontId="10" fillId="0" borderId="0" xfId="0" applyFont="1" applyAlignment="1">
      <alignment horizontal="left" vertical="top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8" fillId="0" borderId="5" xfId="0" applyFont="1" applyBorder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8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1" fillId="0" borderId="0" xfId="0" applyFont="1" applyAlignment="1">
      <alignment horizontal="left" vertical="top"/>
    </xf>
    <xf numFmtId="0" fontId="8" fillId="0" borderId="3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9" fillId="2" borderId="11" xfId="0" applyFont="1" applyFill="1" applyBorder="1" applyAlignment="1">
      <alignment horizontal="center"/>
    </xf>
    <xf numFmtId="0" fontId="4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AU"/>
              <a:t>Quotations Summary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hPercent val="6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'Quote Summary by Sales Rep'!$D$18</c:f>
              <c:strCache>
                <c:ptCount val="1"/>
                <c:pt idx="0">
                  <c:v>Active</c:v>
                </c:pt>
              </c:strCache>
            </c:strRef>
          </c:tx>
          <c:spPr>
            <a:solidFill>
              <a:srgbClr val="00FF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'Quote Summary by Sales Rep'!$B$20:$B$21</c:f>
              <c:strCache>
                <c:ptCount val="1"/>
                <c:pt idx="0">
                  <c:v>&lt;SummaryData.SalesRep&gt;</c:v>
                </c:pt>
              </c:strCache>
            </c:strRef>
          </c:cat>
          <c:val>
            <c:numRef>
              <c:f>'Quote Summary by Sales Rep'!$D$20:$D$21</c:f>
              <c:numCache>
                <c:formatCode>General</c:formatCode>
                <c:ptCount val="2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D1-40F7-AF0A-25B6A89A5E96}"/>
            </c:ext>
          </c:extLst>
        </c:ser>
        <c:ser>
          <c:idx val="1"/>
          <c:order val="1"/>
          <c:tx>
            <c:strRef>
              <c:f>'Quote Summary by Sales Rep'!$E$18</c:f>
              <c:strCache>
                <c:ptCount val="1"/>
                <c:pt idx="0">
                  <c:v>Accepted</c:v>
                </c:pt>
              </c:strCache>
            </c:strRef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'Quote Summary by Sales Rep'!$B$20:$B$21</c:f>
              <c:strCache>
                <c:ptCount val="1"/>
                <c:pt idx="0">
                  <c:v>&lt;SummaryData.SalesRep&gt;</c:v>
                </c:pt>
              </c:strCache>
            </c:strRef>
          </c:cat>
          <c:val>
            <c:numRef>
              <c:f>'Quote Summary by Sales Rep'!$E$20:$E$21</c:f>
              <c:numCache>
                <c:formatCode>General</c:formatCode>
                <c:ptCount val="2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D1-40F7-AF0A-25B6A89A5E96}"/>
            </c:ext>
          </c:extLst>
        </c:ser>
        <c:ser>
          <c:idx val="2"/>
          <c:order val="2"/>
          <c:tx>
            <c:strRef>
              <c:f>'Quote Summary by Sales Rep'!$F$18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rgbClr val="000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'Quote Summary by Sales Rep'!$B$20:$B$21</c:f>
              <c:strCache>
                <c:ptCount val="1"/>
                <c:pt idx="0">
                  <c:v>&lt;SummaryData.SalesRep&gt;</c:v>
                </c:pt>
              </c:strCache>
            </c:strRef>
          </c:cat>
          <c:val>
            <c:numRef>
              <c:f>'Quote Summary by Sales Rep'!$F$20:$F$21</c:f>
              <c:numCache>
                <c:formatCode>General</c:formatCode>
                <c:ptCount val="2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D1-40F7-AF0A-25B6A89A5E96}"/>
            </c:ext>
          </c:extLst>
        </c:ser>
        <c:ser>
          <c:idx val="4"/>
          <c:order val="3"/>
          <c:tx>
            <c:strRef>
              <c:f>'Quote Summary by Sales Rep'!$H$18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66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FF99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FD1-40F7-AF0A-25B6A89A5E96}"/>
              </c:ext>
            </c:extLst>
          </c:dPt>
          <c:cat>
            <c:strRef>
              <c:f>'Quote Summary by Sales Rep'!$B$20:$B$21</c:f>
              <c:strCache>
                <c:ptCount val="1"/>
                <c:pt idx="0">
                  <c:v>&lt;SummaryData.SalesRep&gt;</c:v>
                </c:pt>
              </c:strCache>
            </c:strRef>
          </c:cat>
          <c:val>
            <c:numRef>
              <c:f>'Quote Summary by Sales Rep'!$H$20:$H$21</c:f>
              <c:numCache>
                <c:formatCode>General</c:formatCode>
                <c:ptCount val="2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FD1-40F7-AF0A-25B6A89A5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46040991"/>
        <c:axId val="1"/>
        <c:axId val="0"/>
      </c:bar3DChart>
      <c:catAx>
        <c:axId val="13460409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10000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60409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AU"/>
              <a:t>Quotations Summary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hPercent val="6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'Quote Summary by Sales Rep'!$D$18</c:f>
              <c:strCache>
                <c:ptCount val="1"/>
                <c:pt idx="0">
                  <c:v>Active</c:v>
                </c:pt>
              </c:strCache>
            </c:strRef>
          </c:tx>
          <c:spPr>
            <a:solidFill>
              <a:srgbClr val="00FF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'Quote Summary by Sales Rep'!$B$20:$B$21</c:f>
              <c:strCache>
                <c:ptCount val="1"/>
                <c:pt idx="0">
                  <c:v>&lt;SummaryData.SalesRep&gt;</c:v>
                </c:pt>
              </c:strCache>
            </c:strRef>
          </c:cat>
          <c:val>
            <c:numRef>
              <c:f>'Quote Summary by Sales Rep'!$D$20:$D$21</c:f>
              <c:numCache>
                <c:formatCode>General</c:formatCode>
                <c:ptCount val="2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AA-46A0-9894-DB21ACD0647A}"/>
            </c:ext>
          </c:extLst>
        </c:ser>
        <c:ser>
          <c:idx val="1"/>
          <c:order val="1"/>
          <c:tx>
            <c:strRef>
              <c:f>'Quote Summary by Sales Rep'!$E$18</c:f>
              <c:strCache>
                <c:ptCount val="1"/>
                <c:pt idx="0">
                  <c:v>Accepted</c:v>
                </c:pt>
              </c:strCache>
            </c:strRef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'Quote Summary by Sales Rep'!$B$20:$B$21</c:f>
              <c:strCache>
                <c:ptCount val="1"/>
                <c:pt idx="0">
                  <c:v>&lt;SummaryData.SalesRep&gt;</c:v>
                </c:pt>
              </c:strCache>
            </c:strRef>
          </c:cat>
          <c:val>
            <c:numRef>
              <c:f>'Quote Summary by Sales Rep'!$E$20:$E$21</c:f>
              <c:numCache>
                <c:formatCode>General</c:formatCode>
                <c:ptCount val="2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AA-46A0-9894-DB21ACD0647A}"/>
            </c:ext>
          </c:extLst>
        </c:ser>
        <c:ser>
          <c:idx val="2"/>
          <c:order val="2"/>
          <c:tx>
            <c:strRef>
              <c:f>'Quote Summary by Sales Rep'!$F$18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rgbClr val="000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'Quote Summary by Sales Rep'!$B$20:$B$21</c:f>
              <c:strCache>
                <c:ptCount val="1"/>
                <c:pt idx="0">
                  <c:v>&lt;SummaryData.SalesRep&gt;</c:v>
                </c:pt>
              </c:strCache>
            </c:strRef>
          </c:cat>
          <c:val>
            <c:numRef>
              <c:f>'Quote Summary by Sales Rep'!$F$20:$F$21</c:f>
              <c:numCache>
                <c:formatCode>General</c:formatCode>
                <c:ptCount val="2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AA-46A0-9894-DB21ACD0647A}"/>
            </c:ext>
          </c:extLst>
        </c:ser>
        <c:ser>
          <c:idx val="4"/>
          <c:order val="3"/>
          <c:tx>
            <c:strRef>
              <c:f>'Quote Summary by Sales Rep'!$H$18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66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FF99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3AA-46A0-9894-DB21ACD0647A}"/>
              </c:ext>
            </c:extLst>
          </c:dPt>
          <c:cat>
            <c:strRef>
              <c:f>'Quote Summary by Sales Rep'!$B$20:$B$21</c:f>
              <c:strCache>
                <c:ptCount val="1"/>
                <c:pt idx="0">
                  <c:v>&lt;SummaryData.SalesRep&gt;</c:v>
                </c:pt>
              </c:strCache>
            </c:strRef>
          </c:cat>
          <c:val>
            <c:numRef>
              <c:f>'Quote Summary by Sales Rep'!$H$20:$H$21</c:f>
              <c:numCache>
                <c:formatCode>General</c:formatCode>
                <c:ptCount val="2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3AA-46A0-9894-DB21ACD06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46029951"/>
        <c:axId val="1"/>
        <c:axId val="0"/>
      </c:bar3DChart>
      <c:catAx>
        <c:axId val="13460299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10000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60299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AU"/>
              <a:t>Quotations Summary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hPercent val="6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'Quote Summary by Sales Rep'!$D$18</c:f>
              <c:strCache>
                <c:ptCount val="1"/>
                <c:pt idx="0">
                  <c:v>Active</c:v>
                </c:pt>
              </c:strCache>
            </c:strRef>
          </c:tx>
          <c:spPr>
            <a:solidFill>
              <a:srgbClr val="00FF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'Quote Summary by Sales Rep'!$B$20:$B$21</c:f>
              <c:strCache>
                <c:ptCount val="1"/>
                <c:pt idx="0">
                  <c:v>&lt;SummaryData.SalesRep&gt;</c:v>
                </c:pt>
              </c:strCache>
            </c:strRef>
          </c:cat>
          <c:val>
            <c:numRef>
              <c:f>'Quote Summary by Sales Rep'!$D$20:$D$21</c:f>
              <c:numCache>
                <c:formatCode>General</c:formatCode>
                <c:ptCount val="2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19-481D-8EB2-1923C3303B9D}"/>
            </c:ext>
          </c:extLst>
        </c:ser>
        <c:ser>
          <c:idx val="1"/>
          <c:order val="1"/>
          <c:tx>
            <c:strRef>
              <c:f>'Quote Summary by Sales Rep'!$E$18</c:f>
              <c:strCache>
                <c:ptCount val="1"/>
                <c:pt idx="0">
                  <c:v>Accepted</c:v>
                </c:pt>
              </c:strCache>
            </c:strRef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'Quote Summary by Sales Rep'!$B$20:$B$21</c:f>
              <c:strCache>
                <c:ptCount val="1"/>
                <c:pt idx="0">
                  <c:v>&lt;SummaryData.SalesRep&gt;</c:v>
                </c:pt>
              </c:strCache>
            </c:strRef>
          </c:cat>
          <c:val>
            <c:numRef>
              <c:f>'Quote Summary by Sales Rep'!$E$20:$E$21</c:f>
              <c:numCache>
                <c:formatCode>General</c:formatCode>
                <c:ptCount val="2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19-481D-8EB2-1923C3303B9D}"/>
            </c:ext>
          </c:extLst>
        </c:ser>
        <c:ser>
          <c:idx val="2"/>
          <c:order val="2"/>
          <c:tx>
            <c:strRef>
              <c:f>'Quote Summary by Sales Rep'!$F$18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rgbClr val="000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'Quote Summary by Sales Rep'!$B$20:$B$21</c:f>
              <c:strCache>
                <c:ptCount val="1"/>
                <c:pt idx="0">
                  <c:v>&lt;SummaryData.SalesRep&gt;</c:v>
                </c:pt>
              </c:strCache>
            </c:strRef>
          </c:cat>
          <c:val>
            <c:numRef>
              <c:f>'Quote Summary by Sales Rep'!$F$20:$F$21</c:f>
              <c:numCache>
                <c:formatCode>General</c:formatCode>
                <c:ptCount val="2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19-481D-8EB2-1923C3303B9D}"/>
            </c:ext>
          </c:extLst>
        </c:ser>
        <c:ser>
          <c:idx val="4"/>
          <c:order val="3"/>
          <c:tx>
            <c:strRef>
              <c:f>'Quote Summary by Sales Rep'!$H$18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66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FF99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A19-481D-8EB2-1923C3303B9D}"/>
              </c:ext>
            </c:extLst>
          </c:dPt>
          <c:cat>
            <c:strRef>
              <c:f>'Quote Summary by Sales Rep'!$B$20:$B$21</c:f>
              <c:strCache>
                <c:ptCount val="1"/>
                <c:pt idx="0">
                  <c:v>&lt;SummaryData.SalesRep&gt;</c:v>
                </c:pt>
              </c:strCache>
            </c:strRef>
          </c:cat>
          <c:val>
            <c:numRef>
              <c:f>'Quote Summary by Sales Rep'!$H$20:$H$21</c:f>
              <c:numCache>
                <c:formatCode>General</c:formatCode>
                <c:ptCount val="2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A19-481D-8EB2-1923C3303B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46028991"/>
        <c:axId val="1"/>
        <c:axId val="0"/>
      </c:bar3DChart>
      <c:catAx>
        <c:axId val="13460289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10000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60289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AU"/>
              <a:t>Quotations Summary</a:t>
            </a:r>
          </a:p>
        </c:rich>
      </c:tx>
      <c:layout>
        <c:manualLayout>
          <c:xMode val="edge"/>
          <c:yMode val="edge"/>
          <c:x val="0.44106460049509799"/>
          <c:y val="2.6595744680851064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68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>
        <c:manualLayout>
          <c:layoutTarget val="inner"/>
          <c:xMode val="edge"/>
          <c:yMode val="edge"/>
          <c:x val="0.16920152091254753"/>
          <c:y val="5.6062581486310298E-2"/>
          <c:w val="0.8184410646387833"/>
          <c:h val="0.72881355932203384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'Quote Summary by Sales Rep'!$D$18</c:f>
              <c:strCache>
                <c:ptCount val="1"/>
                <c:pt idx="0">
                  <c:v>Active</c:v>
                </c:pt>
              </c:strCache>
            </c:strRef>
          </c:tx>
          <c:spPr>
            <a:solidFill>
              <a:srgbClr val="00FF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'Quote Summary by Sales Rep'!$B$20:$B$21</c:f>
              <c:strCache>
                <c:ptCount val="1"/>
                <c:pt idx="0">
                  <c:v>&lt;SummaryData.SalesRep&gt;</c:v>
                </c:pt>
              </c:strCache>
            </c:strRef>
          </c:cat>
          <c:val>
            <c:numRef>
              <c:f>'Quote Summary by Sales Rep'!$D$20:$D$21</c:f>
              <c:numCache>
                <c:formatCode>General</c:formatCode>
                <c:ptCount val="2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6C-4F88-89B6-4B569AA54A05}"/>
            </c:ext>
          </c:extLst>
        </c:ser>
        <c:ser>
          <c:idx val="1"/>
          <c:order val="1"/>
          <c:tx>
            <c:strRef>
              <c:f>'Quote Summary by Sales Rep'!$E$18</c:f>
              <c:strCache>
                <c:ptCount val="1"/>
                <c:pt idx="0">
                  <c:v>Accepted</c:v>
                </c:pt>
              </c:strCache>
            </c:strRef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'Quote Summary by Sales Rep'!$B$20:$B$21</c:f>
              <c:strCache>
                <c:ptCount val="1"/>
                <c:pt idx="0">
                  <c:v>&lt;SummaryData.SalesRep&gt;</c:v>
                </c:pt>
              </c:strCache>
            </c:strRef>
          </c:cat>
          <c:val>
            <c:numRef>
              <c:f>'Quote Summary by Sales Rep'!$E$20:$E$21</c:f>
              <c:numCache>
                <c:formatCode>General</c:formatCode>
                <c:ptCount val="2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6C-4F88-89B6-4B569AA54A05}"/>
            </c:ext>
          </c:extLst>
        </c:ser>
        <c:ser>
          <c:idx val="2"/>
          <c:order val="2"/>
          <c:tx>
            <c:strRef>
              <c:f>'Quote Summary by Sales Rep'!$F$18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rgbClr val="000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'Quote Summary by Sales Rep'!$B$20:$B$21</c:f>
              <c:strCache>
                <c:ptCount val="1"/>
                <c:pt idx="0">
                  <c:v>&lt;SummaryData.SalesRep&gt;</c:v>
                </c:pt>
              </c:strCache>
            </c:strRef>
          </c:cat>
          <c:val>
            <c:numRef>
              <c:f>'Quote Summary by Sales Rep'!$F$20:$F$21</c:f>
              <c:numCache>
                <c:formatCode>General</c:formatCode>
                <c:ptCount val="2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6C-4F88-89B6-4B569AA54A05}"/>
            </c:ext>
          </c:extLst>
        </c:ser>
        <c:ser>
          <c:idx val="4"/>
          <c:order val="3"/>
          <c:tx>
            <c:strRef>
              <c:f>'Quote Summary by Sales Rep'!$H$18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66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FF99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46C-4F88-89B6-4B569AA54A05}"/>
              </c:ext>
            </c:extLst>
          </c:dPt>
          <c:cat>
            <c:strRef>
              <c:f>'Quote Summary by Sales Rep'!$B$20:$B$21</c:f>
              <c:strCache>
                <c:ptCount val="1"/>
                <c:pt idx="0">
                  <c:v>&lt;SummaryData.SalesRep&gt;</c:v>
                </c:pt>
              </c:strCache>
            </c:strRef>
          </c:cat>
          <c:val>
            <c:numRef>
              <c:f>'Quote Summary by Sales Rep'!$H$20:$H$21</c:f>
              <c:numCache>
                <c:formatCode>General</c:formatCode>
                <c:ptCount val="2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46C-4F88-89B6-4B569AA54A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46040031"/>
        <c:axId val="1"/>
        <c:axId val="0"/>
      </c:bar3DChart>
      <c:catAx>
        <c:axId val="13460400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10000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604003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8500806535804266"/>
          <c:y val="6.6491414244730339E-3"/>
          <c:w val="9.9812939702034892E-2"/>
          <c:h val="0.1343126567743552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8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AU"/>
              <a:t>Quotations Summary</a:t>
            </a:r>
          </a:p>
        </c:rich>
      </c:tx>
      <c:layout>
        <c:manualLayout>
          <c:xMode val="edge"/>
          <c:yMode val="edge"/>
          <c:x val="0.48954372623574144"/>
          <c:y val="0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5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'Quote Summary by Sales Rep'!$D$18</c:f>
              <c:strCache>
                <c:ptCount val="1"/>
                <c:pt idx="0">
                  <c:v>Active</c:v>
                </c:pt>
              </c:strCache>
            </c:strRef>
          </c:tx>
          <c:spPr>
            <a:solidFill>
              <a:srgbClr val="00FF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'Quote Summary by Sales Rep'!$B$20:$B$21</c:f>
              <c:strCache>
                <c:ptCount val="1"/>
                <c:pt idx="0">
                  <c:v>&lt;SummaryData.SalesRep&gt;</c:v>
                </c:pt>
              </c:strCache>
            </c:strRef>
          </c:cat>
          <c:val>
            <c:numRef>
              <c:f>'Quote Summary by Sales Rep'!$D$20:$D$21</c:f>
              <c:numCache>
                <c:formatCode>General</c:formatCode>
                <c:ptCount val="2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F1-43A3-AC7D-2E7861009610}"/>
            </c:ext>
          </c:extLst>
        </c:ser>
        <c:ser>
          <c:idx val="1"/>
          <c:order val="1"/>
          <c:tx>
            <c:strRef>
              <c:f>'Quote Summary by Sales Rep'!$E$18</c:f>
              <c:strCache>
                <c:ptCount val="1"/>
                <c:pt idx="0">
                  <c:v>Accepted</c:v>
                </c:pt>
              </c:strCache>
            </c:strRef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'Quote Summary by Sales Rep'!$B$20:$B$21</c:f>
              <c:strCache>
                <c:ptCount val="1"/>
                <c:pt idx="0">
                  <c:v>&lt;SummaryData.SalesRep&gt;</c:v>
                </c:pt>
              </c:strCache>
            </c:strRef>
          </c:cat>
          <c:val>
            <c:numRef>
              <c:f>'Quote Summary by Sales Rep'!$E$20:$E$21</c:f>
              <c:numCache>
                <c:formatCode>General</c:formatCode>
                <c:ptCount val="2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F1-43A3-AC7D-2E7861009610}"/>
            </c:ext>
          </c:extLst>
        </c:ser>
        <c:ser>
          <c:idx val="2"/>
          <c:order val="2"/>
          <c:tx>
            <c:strRef>
              <c:f>'Quote Summary by Sales Rep'!$F$18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rgbClr val="000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'Quote Summary by Sales Rep'!$B$20:$B$21</c:f>
              <c:strCache>
                <c:ptCount val="1"/>
                <c:pt idx="0">
                  <c:v>&lt;SummaryData.SalesRep&gt;</c:v>
                </c:pt>
              </c:strCache>
            </c:strRef>
          </c:cat>
          <c:val>
            <c:numRef>
              <c:f>'Quote Summary by Sales Rep'!$F$20:$F$21</c:f>
              <c:numCache>
                <c:formatCode>General</c:formatCode>
                <c:ptCount val="2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F1-43A3-AC7D-2E7861009610}"/>
            </c:ext>
          </c:extLst>
        </c:ser>
        <c:ser>
          <c:idx val="4"/>
          <c:order val="3"/>
          <c:tx>
            <c:strRef>
              <c:f>'Quote Summary by Sales Rep'!$H$18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66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FF99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FF1-43A3-AC7D-2E7861009610}"/>
              </c:ext>
            </c:extLst>
          </c:dPt>
          <c:cat>
            <c:strRef>
              <c:f>'Quote Summary by Sales Rep'!$B$20:$B$21</c:f>
              <c:strCache>
                <c:ptCount val="1"/>
                <c:pt idx="0">
                  <c:v>&lt;SummaryData.SalesRep&gt;</c:v>
                </c:pt>
              </c:strCache>
            </c:strRef>
          </c:cat>
          <c:val>
            <c:numRef>
              <c:f>'Quote Summary by Sales Rep'!$H$20:$H$21</c:f>
              <c:numCache>
                <c:formatCode>General</c:formatCode>
                <c:ptCount val="2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FF1-43A3-AC7D-2E7861009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46030431"/>
        <c:axId val="1"/>
        <c:axId val="0"/>
      </c:bar3DChart>
      <c:catAx>
        <c:axId val="13460304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10000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603043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AU"/>
              <a:t>Quotations Summary</a:t>
            </a:r>
          </a:p>
        </c:rich>
      </c:tx>
      <c:layout>
        <c:manualLayout>
          <c:xMode val="edge"/>
          <c:yMode val="edge"/>
          <c:x val="0.44106460049509799"/>
          <c:y val="2.6631158455392809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68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>
        <c:manualLayout>
          <c:layoutTarget val="inner"/>
          <c:xMode val="edge"/>
          <c:yMode val="edge"/>
          <c:x val="0.20785804816223066"/>
          <c:y val="5.0736341046583561E-2"/>
          <c:w val="0.78231939163498099"/>
          <c:h val="0.69491525423728817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'Quote Summary by Customer Svc.'!$D$18</c:f>
              <c:strCache>
                <c:ptCount val="1"/>
                <c:pt idx="0">
                  <c:v>Active</c:v>
                </c:pt>
              </c:strCache>
            </c:strRef>
          </c:tx>
          <c:spPr>
            <a:solidFill>
              <a:srgbClr val="00FF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'Quote Summary by Customer Svc.'!$B$20:$B$21</c:f>
              <c:strCache>
                <c:ptCount val="1"/>
                <c:pt idx="0">
                  <c:v>&lt;SummaryData.CustomerSvcOp&gt;</c:v>
                </c:pt>
              </c:strCache>
            </c:strRef>
          </c:cat>
          <c:val>
            <c:numRef>
              <c:f>'Quote Summary by Customer Svc.'!$D$20:$D$21</c:f>
              <c:numCache>
                <c:formatCode>General</c:formatCode>
                <c:ptCount val="2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F9-4CDE-8101-1A62F965EBF3}"/>
            </c:ext>
          </c:extLst>
        </c:ser>
        <c:ser>
          <c:idx val="1"/>
          <c:order val="1"/>
          <c:tx>
            <c:strRef>
              <c:f>'Quote Summary by Customer Svc.'!$E$18</c:f>
              <c:strCache>
                <c:ptCount val="1"/>
                <c:pt idx="0">
                  <c:v>Accepted</c:v>
                </c:pt>
              </c:strCache>
            </c:strRef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'Quote Summary by Customer Svc.'!$B$20:$B$21</c:f>
              <c:strCache>
                <c:ptCount val="1"/>
                <c:pt idx="0">
                  <c:v>&lt;SummaryData.CustomerSvcOp&gt;</c:v>
                </c:pt>
              </c:strCache>
            </c:strRef>
          </c:cat>
          <c:val>
            <c:numRef>
              <c:f>'Quote Summary by Customer Svc.'!$E$20:$E$21</c:f>
              <c:numCache>
                <c:formatCode>General</c:formatCode>
                <c:ptCount val="2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F9-4CDE-8101-1A62F965EBF3}"/>
            </c:ext>
          </c:extLst>
        </c:ser>
        <c:ser>
          <c:idx val="2"/>
          <c:order val="2"/>
          <c:tx>
            <c:strRef>
              <c:f>'Quote Summary by Customer Svc.'!$F$18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rgbClr val="000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'Quote Summary by Customer Svc.'!$B$20:$B$21</c:f>
              <c:strCache>
                <c:ptCount val="1"/>
                <c:pt idx="0">
                  <c:v>&lt;SummaryData.CustomerSvcOp&gt;</c:v>
                </c:pt>
              </c:strCache>
            </c:strRef>
          </c:cat>
          <c:val>
            <c:numRef>
              <c:f>'Quote Summary by Customer Svc.'!$F$20:$F$21</c:f>
              <c:numCache>
                <c:formatCode>General</c:formatCode>
                <c:ptCount val="2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F9-4CDE-8101-1A62F965EBF3}"/>
            </c:ext>
          </c:extLst>
        </c:ser>
        <c:ser>
          <c:idx val="4"/>
          <c:order val="3"/>
          <c:tx>
            <c:strRef>
              <c:f>'Quote Summary by Customer Svc.'!$H$18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66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FF99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2F9-4CDE-8101-1A62F965EBF3}"/>
              </c:ext>
            </c:extLst>
          </c:dPt>
          <c:cat>
            <c:strRef>
              <c:f>'Quote Summary by Customer Svc.'!$B$20:$B$21</c:f>
              <c:strCache>
                <c:ptCount val="1"/>
                <c:pt idx="0">
                  <c:v>&lt;SummaryData.CustomerSvcOp&gt;</c:v>
                </c:pt>
              </c:strCache>
            </c:strRef>
          </c:cat>
          <c:val>
            <c:numRef>
              <c:f>'Quote Summary by Customer Svc.'!$H$20:$H$21</c:f>
              <c:numCache>
                <c:formatCode>General</c:formatCode>
                <c:ptCount val="2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2F9-4CDE-8101-1A62F965E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46032351"/>
        <c:axId val="1"/>
        <c:axId val="0"/>
      </c:bar3DChart>
      <c:catAx>
        <c:axId val="13460323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10000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60323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8500806535804266"/>
          <c:y val="6.6579995637189738E-3"/>
          <c:w val="9.7911740850567558E-2"/>
          <c:h val="0.1291651915361480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8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AU"/>
              <a:t>Quotations Summary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hPercent val="6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'Quote Summary by Sales Rep'!$D$18</c:f>
              <c:strCache>
                <c:ptCount val="1"/>
                <c:pt idx="0">
                  <c:v>Active</c:v>
                </c:pt>
              </c:strCache>
            </c:strRef>
          </c:tx>
          <c:spPr>
            <a:solidFill>
              <a:srgbClr val="00FF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'Quote Summary by Sales Rep'!$B$20:$B$21</c:f>
              <c:strCache>
                <c:ptCount val="1"/>
                <c:pt idx="0">
                  <c:v>&lt;SummaryData.SalesRep&gt;</c:v>
                </c:pt>
              </c:strCache>
            </c:strRef>
          </c:cat>
          <c:val>
            <c:numRef>
              <c:f>'Quote Summary by Sales Rep'!$D$20:$D$21</c:f>
              <c:numCache>
                <c:formatCode>General</c:formatCode>
                <c:ptCount val="2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74-43DD-863E-9FFC383AC475}"/>
            </c:ext>
          </c:extLst>
        </c:ser>
        <c:ser>
          <c:idx val="1"/>
          <c:order val="1"/>
          <c:tx>
            <c:strRef>
              <c:f>'Quote Summary by Sales Rep'!$E$18</c:f>
              <c:strCache>
                <c:ptCount val="1"/>
                <c:pt idx="0">
                  <c:v>Accepted</c:v>
                </c:pt>
              </c:strCache>
            </c:strRef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'Quote Summary by Sales Rep'!$B$20:$B$21</c:f>
              <c:strCache>
                <c:ptCount val="1"/>
                <c:pt idx="0">
                  <c:v>&lt;SummaryData.SalesRep&gt;</c:v>
                </c:pt>
              </c:strCache>
            </c:strRef>
          </c:cat>
          <c:val>
            <c:numRef>
              <c:f>'Quote Summary by Sales Rep'!$E$20:$E$21</c:f>
              <c:numCache>
                <c:formatCode>General</c:formatCode>
                <c:ptCount val="2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74-43DD-863E-9FFC383AC475}"/>
            </c:ext>
          </c:extLst>
        </c:ser>
        <c:ser>
          <c:idx val="2"/>
          <c:order val="2"/>
          <c:tx>
            <c:strRef>
              <c:f>'Quote Summary by Sales Rep'!$F$18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rgbClr val="000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'Quote Summary by Sales Rep'!$B$20:$B$21</c:f>
              <c:strCache>
                <c:ptCount val="1"/>
                <c:pt idx="0">
                  <c:v>&lt;SummaryData.SalesRep&gt;</c:v>
                </c:pt>
              </c:strCache>
            </c:strRef>
          </c:cat>
          <c:val>
            <c:numRef>
              <c:f>'Quote Summary by Sales Rep'!$F$20:$F$21</c:f>
              <c:numCache>
                <c:formatCode>General</c:formatCode>
                <c:ptCount val="2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74-43DD-863E-9FFC383AC475}"/>
            </c:ext>
          </c:extLst>
        </c:ser>
        <c:ser>
          <c:idx val="4"/>
          <c:order val="3"/>
          <c:tx>
            <c:strRef>
              <c:f>'Quote Summary by Sales Rep'!$H$18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66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FF99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B74-43DD-863E-9FFC383AC475}"/>
              </c:ext>
            </c:extLst>
          </c:dPt>
          <c:cat>
            <c:strRef>
              <c:f>'Quote Summary by Sales Rep'!$B$20:$B$21</c:f>
              <c:strCache>
                <c:ptCount val="1"/>
                <c:pt idx="0">
                  <c:v>&lt;SummaryData.SalesRep&gt;</c:v>
                </c:pt>
              </c:strCache>
            </c:strRef>
          </c:cat>
          <c:val>
            <c:numRef>
              <c:f>'Quote Summary by Sales Rep'!$H$20:$H$21</c:f>
              <c:numCache>
                <c:formatCode>General</c:formatCode>
                <c:ptCount val="2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B74-43DD-863E-9FFC383AC4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45553999"/>
        <c:axId val="1"/>
        <c:axId val="0"/>
      </c:bar3DChart>
      <c:catAx>
        <c:axId val="13455539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10000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555399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1" i="0" baseline="0">
                <a:effectLst/>
              </a:rPr>
              <a:t>Summary - Conversion Analysis</a:t>
            </a:r>
            <a:endParaRPr lang="en-US">
              <a:effectLst/>
            </a:endParaRP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'Quote Conversion Analysis'!$F$17</c:f>
              <c:strCache>
                <c:ptCount val="1"/>
                <c:pt idx="0">
                  <c:v>Total Converted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dLbls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'Quote Conversion Analysis'!$G$17</c:f>
              <c:strCache>
                <c:ptCount val="1"/>
                <c:pt idx="0">
                  <c:v>Total Not Converted</c:v>
                </c:pt>
              </c:strCache>
            </c:strRef>
          </c:cat>
          <c:val>
            <c:numRef>
              <c:f>'Quote Conversion Analysis'!$F$19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FA-4158-85EB-3ED81E10D59B}"/>
            </c:ext>
          </c:extLst>
        </c:ser>
        <c:ser>
          <c:idx val="0"/>
          <c:order val="1"/>
          <c:tx>
            <c:strRef>
              <c:f>'Quote Conversion Analysis'!$G$17</c:f>
              <c:strCache>
                <c:ptCount val="1"/>
                <c:pt idx="0">
                  <c:v>Total Not Converted</c:v>
                </c:pt>
              </c:strCache>
            </c:strRef>
          </c:tx>
          <c:spPr>
            <a:solidFill>
              <a:schemeClr val="accent2"/>
            </a:solidFill>
          </c:spPr>
          <c:invertIfNegative val="0"/>
          <c:dLbls>
            <c:spPr>
              <a:noFill/>
              <a:ln w="25400">
                <a:noFill/>
              </a:ln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'Quote Conversion Analysis'!$G$17</c:f>
              <c:strCache>
                <c:ptCount val="1"/>
                <c:pt idx="0">
                  <c:v>Total Not Converted</c:v>
                </c:pt>
              </c:strCache>
            </c:strRef>
          </c:cat>
          <c:val>
            <c:numRef>
              <c:f>'Quote Conversion Analysis'!$G$19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FA-4158-85EB-3ED81E10D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5"/>
        <c:axId val="1345548719"/>
        <c:axId val="1"/>
      </c:barChart>
      <c:catAx>
        <c:axId val="1345548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345548719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9599729026148072"/>
          <c:y val="0.91179297799761272"/>
          <c:w val="0.60358256432796897"/>
          <c:h val="6.4173112820946343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pieChart>
        <c:varyColors val="1"/>
        <c:ser>
          <c:idx val="1"/>
          <c:order val="0"/>
          <c:tx>
            <c:strRef>
              <c:f>'Quote Conversion Analysis'!$B$16:$H$16</c:f>
              <c:strCache>
                <c:ptCount val="7"/>
                <c:pt idx="0">
                  <c:v>Conversion Analysis</c:v>
                </c:pt>
              </c:strCache>
            </c:strRef>
          </c:tx>
          <c:explosion val="25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EF39-4915-AF89-ED35FB933998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EF39-4915-AF89-ED35FB933998}"/>
              </c:ext>
            </c:extLst>
          </c:dPt>
          <c:dLbls>
            <c:numFmt formatCode="0.00%" sourceLinked="0"/>
            <c:spPr>
              <a:noFill/>
              <a:ln w="25400">
                <a:noFill/>
              </a:ln>
            </c:sp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'Quote Conversion Analysis'!$F$17:$G$17</c:f>
              <c:strCache>
                <c:ptCount val="2"/>
                <c:pt idx="0">
                  <c:v>Total Converted</c:v>
                </c:pt>
                <c:pt idx="1">
                  <c:v>Total Not Converted</c:v>
                </c:pt>
              </c:strCache>
            </c:strRef>
          </c:cat>
          <c:val>
            <c:numRef>
              <c:f>'Quote Conversion Analysis'!$F$19:$G$19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39-4915-AF89-ED35FB933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7778378203148409"/>
          <c:y val="0.85831538398015739"/>
          <c:w val="0.60224256163165235"/>
          <c:h val="6.4173112820946343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Quotation - Conversion Analysis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'Quote Conversion Analysis'!$B$18</c:f>
              <c:strCache>
                <c:ptCount val="1"/>
                <c:pt idx="0">
                  <c:v>Converted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dLbls>
            <c:spPr>
              <a:noFill/>
              <a:ln w="25400">
                <a:noFill/>
              </a:ln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'Quote Conversion Analysis'!$B$19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55-4DD1-BD2C-3C7662774678}"/>
            </c:ext>
          </c:extLst>
        </c:ser>
        <c:ser>
          <c:idx val="1"/>
          <c:order val="1"/>
          <c:tx>
            <c:strRef>
              <c:f>'Quote Conversion Analysis'!$C$18</c:f>
              <c:strCache>
                <c:ptCount val="1"/>
                <c:pt idx="0">
                  <c:v>Not Converted</c:v>
                </c:pt>
              </c:strCache>
            </c:strRef>
          </c:tx>
          <c:spPr>
            <a:solidFill>
              <a:schemeClr val="accent2"/>
            </a:solidFill>
          </c:spPr>
          <c:invertIfNegative val="0"/>
          <c:dLbls>
            <c:spPr>
              <a:noFill/>
              <a:ln w="25400">
                <a:noFill/>
              </a:ln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'Quote Conversion Analysis'!$C$19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55-4DD1-BD2C-3C7662774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5"/>
        <c:axId val="1345552079"/>
        <c:axId val="1"/>
      </c:barChart>
      <c:catAx>
        <c:axId val="1345552079"/>
        <c:scaling>
          <c:orientation val="minMax"/>
        </c:scaling>
        <c:delete val="0"/>
        <c:axPos val="b"/>
        <c:majorTickMark val="none"/>
        <c:minorTickMark val="none"/>
        <c:tickLblPos val="none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345552079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27778715942419385"/>
          <c:y val="0.91179297799761272"/>
          <c:w val="0.44223715780331663"/>
          <c:h val="6.4173112820946343E-2"/>
        </c:manualLayout>
      </c:layout>
      <c:overlay val="0"/>
    </c:legend>
    <c:plotVisOnly val="0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Spot Quote - Conversion Analysis</a:t>
            </a:r>
          </a:p>
        </c:rich>
      </c:tx>
      <c:overlay val="0"/>
    </c:title>
    <c:autoTitleDeleted val="0"/>
    <c:plotArea>
      <c:layout/>
      <c:pieChart>
        <c:varyColors val="1"/>
        <c:ser>
          <c:idx val="1"/>
          <c:order val="0"/>
          <c:tx>
            <c:strRef>
              <c:f>'Quote Conversion Analysis'!$D$17:$E$17</c:f>
              <c:strCache>
                <c:ptCount val="2"/>
                <c:pt idx="0">
                  <c:v>Spot Quote</c:v>
                </c:pt>
              </c:strCache>
            </c:strRef>
          </c:tx>
          <c:explosion val="25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1224-4443-93C0-5F056E665AAC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1224-4443-93C0-5F056E665AAC}"/>
              </c:ext>
            </c:extLst>
          </c:dPt>
          <c:dLbls>
            <c:numFmt formatCode="0.00%" sourceLinked="0"/>
            <c:spPr>
              <a:noFill/>
              <a:ln w="25400">
                <a:noFill/>
              </a:ln>
            </c:sp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('Quote Conversion Analysis'!$D$18,'Quote Conversion Analysis'!$E$18)</c:f>
              <c:strCache>
                <c:ptCount val="2"/>
                <c:pt idx="0">
                  <c:v>Converted</c:v>
                </c:pt>
                <c:pt idx="1">
                  <c:v>Not Converted</c:v>
                </c:pt>
              </c:strCache>
            </c:strRef>
          </c:cat>
          <c:val>
            <c:numRef>
              <c:f>('Quote Conversion Analysis'!$D$19,'Quote Conversion Analysis'!$E$19)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24-4443-93C0-5F056E665A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6223107849643901"/>
          <c:y val="0.86366314338190298"/>
          <c:w val="0.44223715780331663"/>
          <c:h val="6.4173112820946343E-2"/>
        </c:manualLayout>
      </c:layout>
      <c:overlay val="0"/>
    </c:legend>
    <c:plotVisOnly val="0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Spot Quote - Conversion Analysis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'Quote Conversion Analysis'!$D$18</c:f>
              <c:strCache>
                <c:ptCount val="1"/>
                <c:pt idx="0">
                  <c:v>Converted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dLbls>
            <c:spPr>
              <a:noFill/>
              <a:ln w="25400">
                <a:noFill/>
              </a:ln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('Quote Conversion Analysis'!$D$18,'Quote Conversion Analysis'!$E$18)</c:f>
              <c:strCache>
                <c:ptCount val="2"/>
                <c:pt idx="0">
                  <c:v>Converted</c:v>
                </c:pt>
                <c:pt idx="1">
                  <c:v>Not Converted</c:v>
                </c:pt>
              </c:strCache>
            </c:strRef>
          </c:cat>
          <c:val>
            <c:numRef>
              <c:f>'Quote Conversion Analysis'!$D$19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4B-40F1-9B6D-313602216CE3}"/>
            </c:ext>
          </c:extLst>
        </c:ser>
        <c:ser>
          <c:idx val="1"/>
          <c:order val="1"/>
          <c:tx>
            <c:strRef>
              <c:f>'Quote Conversion Analysis'!$E$18</c:f>
              <c:strCache>
                <c:ptCount val="1"/>
                <c:pt idx="0">
                  <c:v>Not Converted</c:v>
                </c:pt>
              </c:strCache>
            </c:strRef>
          </c:tx>
          <c:spPr>
            <a:solidFill>
              <a:schemeClr val="accent2"/>
            </a:solidFill>
          </c:spPr>
          <c:invertIfNegative val="0"/>
          <c:dLbls>
            <c:spPr>
              <a:noFill/>
              <a:ln w="25400">
                <a:noFill/>
              </a:ln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'Quote Conversion Analysis'!$E$19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4B-40F1-9B6D-313602216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5"/>
        <c:axId val="1345548239"/>
        <c:axId val="1"/>
      </c:barChart>
      <c:catAx>
        <c:axId val="1345548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345548239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27778715942419385"/>
          <c:y val="0.91179297799761272"/>
          <c:w val="0.44223715780331663"/>
          <c:h val="6.4173112820946343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Quotation - Conversion Analysis</a:t>
            </a:r>
          </a:p>
        </c:rich>
      </c:tx>
      <c:overlay val="0"/>
    </c:title>
    <c:autoTitleDeleted val="0"/>
    <c:plotArea>
      <c:layout/>
      <c:pieChart>
        <c:varyColors val="1"/>
        <c:ser>
          <c:idx val="1"/>
          <c:order val="0"/>
          <c:tx>
            <c:strRef>
              <c:f>'Quote Conversion Analysis'!$B$17:$C$17</c:f>
              <c:strCache>
                <c:ptCount val="2"/>
                <c:pt idx="0">
                  <c:v>Quotation</c:v>
                </c:pt>
              </c:strCache>
            </c:strRef>
          </c:tx>
          <c:explosion val="25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D564-44B2-B2FE-D2139204F544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D564-44B2-B2FE-D2139204F544}"/>
              </c:ext>
            </c:extLst>
          </c:dPt>
          <c:dLbls>
            <c:numFmt formatCode="0.00%" sourceLinked="0"/>
            <c:spPr>
              <a:noFill/>
              <a:ln w="25400">
                <a:noFill/>
              </a:ln>
            </c:sp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'Quote Conversion Analysis'!$B$18:$C$18</c:f>
              <c:strCache>
                <c:ptCount val="2"/>
                <c:pt idx="0">
                  <c:v>Converted</c:v>
                </c:pt>
                <c:pt idx="1">
                  <c:v>Not Converted</c:v>
                </c:pt>
              </c:strCache>
            </c:strRef>
          </c:cat>
          <c:val>
            <c:numRef>
              <c:f>'Quote Conversion Analysis'!$B$19:$C$19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64-44B2-B2FE-D2139204F5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6223107849643901"/>
          <c:y val="0.86098926368103013"/>
          <c:w val="0.44223715780331663"/>
          <c:h val="6.4173112820946343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054241684701693"/>
          <c:y val="0.1821539353035416"/>
          <c:w val="0.82706755359826001"/>
          <c:h val="0.631915502087662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'Quote Cancellation Analysis'!$C$15:$I$15</c:f>
              <c:strCache>
                <c:ptCount val="1"/>
                <c:pt idx="0">
                  <c:v>Cancellation Analysis</c:v>
                </c:pt>
              </c:strCache>
            </c:strRef>
          </c:tx>
          <c:invertIfNegative val="0"/>
          <c:cat>
            <c:strRef>
              <c:f>'Quote Cancellation Analysis'!$C$18:$C$19</c:f>
              <c:strCache>
                <c:ptCount val="1"/>
                <c:pt idx="0">
                  <c:v>&lt;SummaryData.QuoteCancellationReason&gt;</c:v>
                </c:pt>
              </c:strCache>
            </c:strRef>
          </c:cat>
          <c:val>
            <c:numRef>
              <c:f>'Quote Cancellation Analysis'!$I$18:$I$19</c:f>
              <c:numCache>
                <c:formatCode>General</c:formatCode>
                <c:ptCount val="2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E3-4BBC-A7C5-14FE727046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4561679"/>
        <c:axId val="1"/>
      </c:barChart>
      <c:catAx>
        <c:axId val="13445616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44561679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14</xdr:row>
      <xdr:rowOff>0</xdr:rowOff>
    </xdr:from>
    <xdr:to>
      <xdr:col>8</xdr:col>
      <xdr:colOff>695325</xdr:colOff>
      <xdr:row>14</xdr:row>
      <xdr:rowOff>0</xdr:rowOff>
    </xdr:to>
    <xdr:graphicFrame macro="">
      <xdr:nvGraphicFramePr>
        <xdr:cNvPr id="3325" name="Chart 1">
          <a:extLst>
            <a:ext uri="{FF2B5EF4-FFF2-40B4-BE49-F238E27FC236}">
              <a16:creationId xmlns:a16="http://schemas.microsoft.com/office/drawing/2014/main" id="{4B743949-E216-C17A-B374-F27DDC9FD0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12</xdr:row>
      <xdr:rowOff>0</xdr:rowOff>
    </xdr:from>
    <xdr:to>
      <xdr:col>9</xdr:col>
      <xdr:colOff>695325</xdr:colOff>
      <xdr:row>12</xdr:row>
      <xdr:rowOff>0</xdr:rowOff>
    </xdr:to>
    <xdr:graphicFrame macro="">
      <xdr:nvGraphicFramePr>
        <xdr:cNvPr id="5787" name="Chart 1">
          <a:extLst>
            <a:ext uri="{FF2B5EF4-FFF2-40B4-BE49-F238E27FC236}">
              <a16:creationId xmlns:a16="http://schemas.microsoft.com/office/drawing/2014/main" id="{88E25DD0-E3B6-C94D-A311-A50846D235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14</xdr:row>
      <xdr:rowOff>0</xdr:rowOff>
    </xdr:from>
    <xdr:to>
      <xdr:col>9</xdr:col>
      <xdr:colOff>695325</xdr:colOff>
      <xdr:row>14</xdr:row>
      <xdr:rowOff>0</xdr:rowOff>
    </xdr:to>
    <xdr:graphicFrame macro="">
      <xdr:nvGraphicFramePr>
        <xdr:cNvPr id="5788" name="Chart 1">
          <a:extLst>
            <a:ext uri="{FF2B5EF4-FFF2-40B4-BE49-F238E27FC236}">
              <a16:creationId xmlns:a16="http://schemas.microsoft.com/office/drawing/2014/main" id="{8EB0CD16-E55C-4A57-5AEA-B2E6318A32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26</xdr:row>
      <xdr:rowOff>142875</xdr:rowOff>
    </xdr:from>
    <xdr:to>
      <xdr:col>7</xdr:col>
      <xdr:colOff>695325</xdr:colOff>
      <xdr:row>71</xdr:row>
      <xdr:rowOff>19050</xdr:rowOff>
    </xdr:to>
    <xdr:graphicFrame macro="">
      <xdr:nvGraphicFramePr>
        <xdr:cNvPr id="1294" name="Chart 18">
          <a:extLst>
            <a:ext uri="{FF2B5EF4-FFF2-40B4-BE49-F238E27FC236}">
              <a16:creationId xmlns:a16="http://schemas.microsoft.com/office/drawing/2014/main" id="{DA8F3AA5-AB18-0CA5-3C89-953DE595E6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15</xdr:row>
      <xdr:rowOff>0</xdr:rowOff>
    </xdr:from>
    <xdr:to>
      <xdr:col>7</xdr:col>
      <xdr:colOff>695325</xdr:colOff>
      <xdr:row>15</xdr:row>
      <xdr:rowOff>0</xdr:rowOff>
    </xdr:to>
    <xdr:graphicFrame macro="">
      <xdr:nvGraphicFramePr>
        <xdr:cNvPr id="4601" name="Chart 1">
          <a:extLst>
            <a:ext uri="{FF2B5EF4-FFF2-40B4-BE49-F238E27FC236}">
              <a16:creationId xmlns:a16="http://schemas.microsoft.com/office/drawing/2014/main" id="{A00C2993-CBAE-6DCE-B6B2-2A0D74F29C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26</xdr:row>
      <xdr:rowOff>152400</xdr:rowOff>
    </xdr:from>
    <xdr:to>
      <xdr:col>7</xdr:col>
      <xdr:colOff>695325</xdr:colOff>
      <xdr:row>71</xdr:row>
      <xdr:rowOff>19050</xdr:rowOff>
    </xdr:to>
    <xdr:graphicFrame macro="">
      <xdr:nvGraphicFramePr>
        <xdr:cNvPr id="4602" name="Chart 2">
          <a:extLst>
            <a:ext uri="{FF2B5EF4-FFF2-40B4-BE49-F238E27FC236}">
              <a16:creationId xmlns:a16="http://schemas.microsoft.com/office/drawing/2014/main" id="{7708407D-DEEF-7E2C-E75C-0BF0C0A1EB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9</xdr:row>
      <xdr:rowOff>0</xdr:rowOff>
    </xdr:from>
    <xdr:to>
      <xdr:col>7</xdr:col>
      <xdr:colOff>695325</xdr:colOff>
      <xdr:row>23</xdr:row>
      <xdr:rowOff>0</xdr:rowOff>
    </xdr:to>
    <xdr:graphicFrame macro="">
      <xdr:nvGraphicFramePr>
        <xdr:cNvPr id="2758764" name="Chart 1">
          <a:extLst>
            <a:ext uri="{FF2B5EF4-FFF2-40B4-BE49-F238E27FC236}">
              <a16:creationId xmlns:a16="http://schemas.microsoft.com/office/drawing/2014/main" id="{D32B3F30-56F9-5A47-EF0C-72939261F5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1447800</xdr:colOff>
      <xdr:row>20</xdr:row>
      <xdr:rowOff>152400</xdr:rowOff>
    </xdr:from>
    <xdr:to>
      <xdr:col>4</xdr:col>
      <xdr:colOff>200025</xdr:colOff>
      <xdr:row>42</xdr:row>
      <xdr:rowOff>152400</xdr:rowOff>
    </xdr:to>
    <xdr:graphicFrame macro="">
      <xdr:nvGraphicFramePr>
        <xdr:cNvPr id="2758765" name="Chart 1">
          <a:extLst>
            <a:ext uri="{FF2B5EF4-FFF2-40B4-BE49-F238E27FC236}">
              <a16:creationId xmlns:a16="http://schemas.microsoft.com/office/drawing/2014/main" id="{A307B853-66D2-0CE5-0A68-AA86825BBF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819150</xdr:colOff>
      <xdr:row>20</xdr:row>
      <xdr:rowOff>142875</xdr:rowOff>
    </xdr:from>
    <xdr:to>
      <xdr:col>7</xdr:col>
      <xdr:colOff>1104900</xdr:colOff>
      <xdr:row>42</xdr:row>
      <xdr:rowOff>142875</xdr:rowOff>
    </xdr:to>
    <xdr:graphicFrame macro="">
      <xdr:nvGraphicFramePr>
        <xdr:cNvPr id="2758766" name="Chart 1">
          <a:extLst>
            <a:ext uri="{FF2B5EF4-FFF2-40B4-BE49-F238E27FC236}">
              <a16:creationId xmlns:a16="http://schemas.microsoft.com/office/drawing/2014/main" id="{C0CDA490-1446-F3BF-157A-6BAA8E9387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46</xdr:row>
      <xdr:rowOff>0</xdr:rowOff>
    </xdr:from>
    <xdr:to>
      <xdr:col>4</xdr:col>
      <xdr:colOff>209550</xdr:colOff>
      <xdr:row>68</xdr:row>
      <xdr:rowOff>0</xdr:rowOff>
    </xdr:to>
    <xdr:graphicFrame macro="">
      <xdr:nvGraphicFramePr>
        <xdr:cNvPr id="2758767" name="Chart 1">
          <a:extLst>
            <a:ext uri="{FF2B5EF4-FFF2-40B4-BE49-F238E27FC236}">
              <a16:creationId xmlns:a16="http://schemas.microsoft.com/office/drawing/2014/main" id="{A9607CED-BFD7-1C45-0537-4707916AB2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809625</xdr:colOff>
      <xdr:row>70</xdr:row>
      <xdr:rowOff>133350</xdr:rowOff>
    </xdr:from>
    <xdr:to>
      <xdr:col>7</xdr:col>
      <xdr:colOff>1095375</xdr:colOff>
      <xdr:row>92</xdr:row>
      <xdr:rowOff>133350</xdr:rowOff>
    </xdr:to>
    <xdr:graphicFrame macro="">
      <xdr:nvGraphicFramePr>
        <xdr:cNvPr id="2758768" name="Chart 1">
          <a:extLst>
            <a:ext uri="{FF2B5EF4-FFF2-40B4-BE49-F238E27FC236}">
              <a16:creationId xmlns:a16="http://schemas.microsoft.com/office/drawing/2014/main" id="{C71DA30E-348B-FD56-3014-95E9D1ACD1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9525</xdr:colOff>
      <xdr:row>70</xdr:row>
      <xdr:rowOff>133350</xdr:rowOff>
    </xdr:from>
    <xdr:to>
      <xdr:col>4</xdr:col>
      <xdr:colOff>219075</xdr:colOff>
      <xdr:row>92</xdr:row>
      <xdr:rowOff>133350</xdr:rowOff>
    </xdr:to>
    <xdr:graphicFrame macro="">
      <xdr:nvGraphicFramePr>
        <xdr:cNvPr id="2758769" name="Chart 1">
          <a:extLst>
            <a:ext uri="{FF2B5EF4-FFF2-40B4-BE49-F238E27FC236}">
              <a16:creationId xmlns:a16="http://schemas.microsoft.com/office/drawing/2014/main" id="{954E66A2-B9F4-CFE7-E349-A1FB13D001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819150</xdr:colOff>
      <xdr:row>46</xdr:row>
      <xdr:rowOff>0</xdr:rowOff>
    </xdr:from>
    <xdr:to>
      <xdr:col>7</xdr:col>
      <xdr:colOff>1104900</xdr:colOff>
      <xdr:row>68</xdr:row>
      <xdr:rowOff>0</xdr:rowOff>
    </xdr:to>
    <xdr:graphicFrame macro="">
      <xdr:nvGraphicFramePr>
        <xdr:cNvPr id="2758770" name="Chart 1">
          <a:extLst>
            <a:ext uri="{FF2B5EF4-FFF2-40B4-BE49-F238E27FC236}">
              <a16:creationId xmlns:a16="http://schemas.microsoft.com/office/drawing/2014/main" id="{5B4209EA-32AC-B64D-20D9-8D833F1FE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23</xdr:row>
      <xdr:rowOff>9525</xdr:rowOff>
    </xdr:from>
    <xdr:to>
      <xdr:col>10</xdr:col>
      <xdr:colOff>9525</xdr:colOff>
      <xdr:row>47</xdr:row>
      <xdr:rowOff>133350</xdr:rowOff>
    </xdr:to>
    <xdr:graphicFrame macro="">
      <xdr:nvGraphicFramePr>
        <xdr:cNvPr id="1750110" name="Chart 1">
          <a:extLst>
            <a:ext uri="{FF2B5EF4-FFF2-40B4-BE49-F238E27FC236}">
              <a16:creationId xmlns:a16="http://schemas.microsoft.com/office/drawing/2014/main" id="{D821E450-0873-5D5F-1114-EECA88CFBC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5"/>
  <sheetViews>
    <sheetView zoomScaleNormal="100" workbookViewId="0">
      <selection activeCell="A7" sqref="A7:XFD7"/>
    </sheetView>
  </sheetViews>
  <sheetFormatPr defaultRowHeight="12.75" x14ac:dyDescent="0.2"/>
  <cols>
    <col min="1" max="1" width="20.7109375" style="41" customWidth="1"/>
    <col min="2" max="2" width="3.28515625" style="3" customWidth="1"/>
    <col min="3" max="3" width="50.140625" style="3" customWidth="1"/>
    <col min="4" max="4" width="9.85546875" style="3" customWidth="1"/>
    <col min="5" max="5" width="10.7109375" style="3" customWidth="1"/>
    <col min="6" max="6" width="11.42578125" style="3" customWidth="1"/>
    <col min="7" max="7" width="12.42578125" style="3" customWidth="1"/>
    <col min="8" max="9" width="11" style="3" customWidth="1"/>
    <col min="10" max="10" width="10.85546875" style="3" customWidth="1"/>
    <col min="11" max="11" width="22.7109375" style="3" customWidth="1"/>
  </cols>
  <sheetData>
    <row r="1" spans="1:11" x14ac:dyDescent="0.2">
      <c r="A1" s="38" t="s">
        <v>13</v>
      </c>
    </row>
    <row r="2" spans="1:11" x14ac:dyDescent="0.2">
      <c r="A2" s="38" t="s">
        <v>18</v>
      </c>
    </row>
    <row r="3" spans="1:11" x14ac:dyDescent="0.2">
      <c r="A3" s="38" t="s">
        <v>15</v>
      </c>
    </row>
    <row r="4" spans="1:11" ht="12.75" customHeight="1" x14ac:dyDescent="0.2">
      <c r="A4" s="38" t="s">
        <v>28</v>
      </c>
    </row>
    <row r="5" spans="1:11" ht="10.5" customHeight="1" x14ac:dyDescent="0.2">
      <c r="A5" s="39" t="s">
        <v>120</v>
      </c>
      <c r="B5" s="7"/>
      <c r="C5" s="7"/>
      <c r="D5" s="4"/>
      <c r="E5" s="4"/>
      <c r="F5" s="4"/>
      <c r="G5" s="4"/>
      <c r="H5" s="4"/>
      <c r="I5" s="4"/>
      <c r="J5" s="4"/>
      <c r="K5" s="4"/>
    </row>
    <row r="6" spans="1:11" ht="10.5" customHeight="1" x14ac:dyDescent="0.2">
      <c r="A6" s="40" t="s">
        <v>64</v>
      </c>
      <c r="B6" s="7"/>
      <c r="C6" s="7"/>
      <c r="D6" s="4"/>
      <c r="E6" s="4"/>
      <c r="F6" s="4"/>
      <c r="G6" s="49"/>
      <c r="H6" s="4"/>
      <c r="I6" s="4"/>
      <c r="J6" s="49"/>
      <c r="K6" s="49"/>
    </row>
    <row r="7" spans="1:11" ht="12.75" customHeight="1" x14ac:dyDescent="0.2">
      <c r="A7" s="39" t="s">
        <v>16</v>
      </c>
    </row>
    <row r="8" spans="1:11" ht="20.25" x14ac:dyDescent="0.3">
      <c r="B8" s="82" t="s">
        <v>17</v>
      </c>
      <c r="C8" s="82"/>
      <c r="D8" s="82"/>
      <c r="E8" s="82"/>
      <c r="F8" s="82"/>
      <c r="G8" s="82"/>
      <c r="H8" s="82"/>
      <c r="I8" s="82"/>
      <c r="J8" s="82"/>
      <c r="K8" s="82"/>
    </row>
    <row r="9" spans="1:11" ht="18" x14ac:dyDescent="0.25">
      <c r="A9" s="42"/>
      <c r="B9" s="81" t="s">
        <v>55</v>
      </c>
      <c r="C9" s="81"/>
      <c r="D9" s="81"/>
      <c r="E9" s="81"/>
      <c r="F9" s="81"/>
      <c r="G9" s="81"/>
      <c r="H9" s="81"/>
      <c r="I9" s="81"/>
      <c r="J9" s="81"/>
      <c r="K9" s="81"/>
    </row>
    <row r="10" spans="1:11" s="35" customFormat="1" ht="11.25" customHeight="1" x14ac:dyDescent="0.2">
      <c r="A10" s="43" t="s">
        <v>71</v>
      </c>
      <c r="B10" s="83" t="str">
        <f>IF("&lt;Quote Start Date.ToDate&gt;&lt;Quote Start Date.FromDate&gt;"="", "","Quote Start Date:&lt;Quote Start Date&gt; ,  ") &amp;IF("&lt;Quote Expiry Date.ToDate&gt;&lt;Quote Expiry Date.FromDate&gt;"="", "","Expiry Date Range:&lt;Quote Expiry Date&gt;")</f>
        <v>Quote Start Date:&lt;Quote Start Date&gt; ,  Expiry Date Range:&lt;Quote Expiry Date&gt;</v>
      </c>
      <c r="C10" s="83"/>
      <c r="D10" s="83"/>
      <c r="E10" s="83"/>
      <c r="F10" s="83"/>
      <c r="G10" s="83"/>
      <c r="H10" s="83"/>
      <c r="I10" s="83"/>
      <c r="J10" s="83"/>
      <c r="K10" s="83"/>
    </row>
    <row r="11" spans="1:11" s="35" customFormat="1" ht="11.25" customHeight="1" x14ac:dyDescent="0.2">
      <c r="A11" s="43" t="s">
        <v>77</v>
      </c>
      <c r="B11" s="83" t="str">
        <f>IF("&lt;Quote Status&gt;"="", "","Quote Status:&lt;Quote Status&gt; ,  ") &amp;IF("&lt;Cancel Reason&gt;"="", "","Cancel Reason:&lt;Cancel Reason&gt; ,  ") &amp;IF("&lt;Sales Rep&gt;"="", "","Sales Rep:&lt;Sales Rep.Code&gt; ,  ") &amp;IF("&lt;Quotes Created by&gt;"="", "","Quotes Created by:&lt;Quotes Created by&gt;,  ") &amp;IF("&lt;Issue Date.FromDate&gt;&lt;Issue Date.ToDate&gt;"="", "","Issue Date Range:&lt;Issue Date&gt;")</f>
        <v>Quote Status:&lt;Quote Status&gt; ,  Cancel Reason:&lt;Cancel Reason&gt; ,  Sales Rep:&lt;Sales Rep.Code&gt; ,  Quotes Created by:&lt;Quotes Created by&gt;,  Issue Date Range:&lt;Issue Date&gt;</v>
      </c>
      <c r="C11" s="83"/>
      <c r="D11" s="83"/>
      <c r="E11" s="83"/>
      <c r="F11" s="83"/>
      <c r="G11" s="83"/>
      <c r="H11" s="83"/>
      <c r="I11" s="83"/>
      <c r="J11" s="83"/>
      <c r="K11" s="83"/>
    </row>
    <row r="12" spans="1:11" s="35" customFormat="1" ht="11.25" customHeight="1" x14ac:dyDescent="0.2">
      <c r="A12" s="43" t="s">
        <v>115</v>
      </c>
      <c r="B12" s="84" t="s">
        <v>114</v>
      </c>
      <c r="C12" s="83"/>
      <c r="D12" s="83"/>
      <c r="E12" s="83"/>
      <c r="F12" s="83"/>
      <c r="G12" s="83"/>
      <c r="H12" s="83"/>
      <c r="I12" s="83"/>
      <c r="J12" s="83"/>
      <c r="K12" s="83"/>
    </row>
    <row r="13" spans="1:11" s="35" customFormat="1" ht="11.25" customHeight="1" x14ac:dyDescent="0.2">
      <c r="A13" s="43" t="s">
        <v>113</v>
      </c>
      <c r="B13" s="84" t="s">
        <v>112</v>
      </c>
      <c r="C13" s="83"/>
      <c r="D13" s="83"/>
      <c r="E13" s="83"/>
      <c r="F13" s="83"/>
      <c r="G13" s="83"/>
      <c r="H13" s="83"/>
      <c r="I13" s="83"/>
      <c r="J13" s="83"/>
      <c r="K13" s="83"/>
    </row>
    <row r="14" spans="1:11" ht="11.25" customHeight="1" x14ac:dyDescent="0.2">
      <c r="A14" s="44"/>
      <c r="B14" s="2" t="str">
        <f>"Printed by &lt;Login Full Name&gt;  &lt;DateTimeAsString('&lt;Now&gt;','dd-MMM-yy hh:mm tt')&gt;"</f>
        <v>Printed by &lt;Login Full Name&gt;  &lt;DateTimeAsString('&lt;Now&gt;','dd-MMM-yy hh:mm tt')&gt;</v>
      </c>
      <c r="C14" s="2"/>
      <c r="D14" s="30"/>
      <c r="E14"/>
      <c r="F14" s="36"/>
      <c r="G14" s="2"/>
      <c r="H14" s="2"/>
      <c r="I14" s="2"/>
      <c r="J14" s="2"/>
      <c r="K14" s="2"/>
    </row>
    <row r="15" spans="1:11" ht="3" customHeight="1" x14ac:dyDescent="0.2">
      <c r="A15" s="44"/>
      <c r="B15" s="2"/>
      <c r="C15" s="2"/>
      <c r="D15" s="30"/>
      <c r="E15"/>
      <c r="F15" s="28"/>
      <c r="G15" s="29"/>
      <c r="H15" s="29"/>
      <c r="I15" s="29"/>
      <c r="J15" s="29"/>
      <c r="K15" s="29"/>
    </row>
    <row r="16" spans="1:11" s="46" customFormat="1" x14ac:dyDescent="0.2">
      <c r="A16" s="47"/>
      <c r="B16" s="48" t="s">
        <v>39</v>
      </c>
      <c r="C16" s="48"/>
      <c r="D16" s="48" t="s">
        <v>56</v>
      </c>
      <c r="E16" s="48" t="s">
        <v>57</v>
      </c>
      <c r="F16" s="48" t="s">
        <v>50</v>
      </c>
      <c r="G16" s="48" t="s">
        <v>92</v>
      </c>
      <c r="H16" s="48" t="s">
        <v>30</v>
      </c>
      <c r="I16" s="48" t="s">
        <v>51</v>
      </c>
      <c r="J16" s="48" t="s">
        <v>81</v>
      </c>
      <c r="K16" s="48" t="s">
        <v>74</v>
      </c>
    </row>
    <row r="17" spans="1:11" x14ac:dyDescent="0.2">
      <c r="A17" s="39" t="s">
        <v>14</v>
      </c>
      <c r="B17" s="2"/>
      <c r="C17" s="2"/>
      <c r="D17" s="2"/>
      <c r="E17" s="2"/>
      <c r="F17" s="2"/>
      <c r="G17"/>
      <c r="H17" s="2"/>
      <c r="I17"/>
      <c r="J17"/>
      <c r="K17"/>
    </row>
    <row r="18" spans="1:11" x14ac:dyDescent="0.2">
      <c r="A18" s="45"/>
      <c r="B18" s="27"/>
      <c r="C18" s="27" t="s">
        <v>26</v>
      </c>
      <c r="D18" s="6" t="s">
        <v>58</v>
      </c>
      <c r="E18" s="51" t="s">
        <v>107</v>
      </c>
      <c r="F18" s="6" t="s">
        <v>27</v>
      </c>
      <c r="G18" s="59" t="s">
        <v>93</v>
      </c>
      <c r="H18" s="6" t="s">
        <v>35</v>
      </c>
      <c r="I18" s="37" t="s">
        <v>38</v>
      </c>
      <c r="J18" s="59" t="s">
        <v>94</v>
      </c>
      <c r="K18" s="51" t="s">
        <v>78</v>
      </c>
    </row>
    <row r="19" spans="1:11" x14ac:dyDescent="0.2">
      <c r="A19" s="39" t="s">
        <v>29</v>
      </c>
      <c r="B19" s="2"/>
      <c r="C19" s="2"/>
      <c r="D19" s="2"/>
      <c r="E19" s="2"/>
      <c r="F19"/>
      <c r="G19"/>
      <c r="H19"/>
      <c r="I19"/>
      <c r="J19"/>
      <c r="K19"/>
    </row>
    <row r="20" spans="1:11" ht="5.25" customHeight="1" x14ac:dyDescent="0.2">
      <c r="A20" s="39"/>
      <c r="B20" s="2"/>
      <c r="C20" s="2"/>
      <c r="D20" s="2"/>
      <c r="E20" s="2"/>
      <c r="F20"/>
      <c r="G20"/>
      <c r="H20"/>
      <c r="I20"/>
      <c r="J20"/>
      <c r="K20"/>
    </row>
    <row r="21" spans="1:11" ht="12.75" customHeight="1" x14ac:dyDescent="0.2">
      <c r="A21" s="45"/>
      <c r="B21" s="80" t="s">
        <v>0</v>
      </c>
      <c r="C21" s="80"/>
      <c r="D21" s="80"/>
      <c r="E21" s="80"/>
      <c r="F21" s="80"/>
      <c r="G21" s="80"/>
      <c r="H21" s="80"/>
      <c r="I21" s="80"/>
      <c r="J21" s="50"/>
      <c r="K21" s="50"/>
    </row>
    <row r="22" spans="1:11" x14ac:dyDescent="0.2">
      <c r="A22" s="45" t="s">
        <v>19</v>
      </c>
      <c r="B22" s="6"/>
      <c r="C22" s="6"/>
      <c r="D22" s="6"/>
      <c r="E22" s="6"/>
      <c r="F22"/>
      <c r="G22"/>
      <c r="H22"/>
      <c r="I22"/>
      <c r="J22"/>
      <c r="K22"/>
    </row>
    <row r="23" spans="1:11" x14ac:dyDescent="0.2">
      <c r="A23" s="39" t="s">
        <v>23</v>
      </c>
      <c r="F23"/>
      <c r="H23"/>
      <c r="I23"/>
    </row>
    <row r="24" spans="1:11" x14ac:dyDescent="0.2">
      <c r="F24"/>
      <c r="H24"/>
      <c r="I24"/>
    </row>
    <row r="25" spans="1:11" x14ac:dyDescent="0.2">
      <c r="F25"/>
      <c r="H25"/>
      <c r="I25"/>
    </row>
  </sheetData>
  <mergeCells count="7">
    <mergeCell ref="B21:I21"/>
    <mergeCell ref="B9:K9"/>
    <mergeCell ref="B8:K8"/>
    <mergeCell ref="B10:K10"/>
    <mergeCell ref="B11:K11"/>
    <mergeCell ref="B12:K12"/>
    <mergeCell ref="B13:K13"/>
  </mergeCells>
  <phoneticPr fontId="1" type="noConversion"/>
  <printOptions horizontalCentered="1"/>
  <pageMargins left="0.39370078740157499" right="0.39370078740157499" top="0.39370078740157499" bottom="0.39370078740157499" header="0.511811023622047" footer="0.31496062992126"/>
  <pageSetup paperSize="9" scale="42" fitToHeight="0" orientation="portrait" r:id="rId1"/>
  <headerFooter alignWithMargins="0">
    <oddHeader>&amp;R&amp;8&amp;P / &amp;N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23"/>
  <sheetViews>
    <sheetView zoomScaleNormal="100" workbookViewId="0">
      <selection activeCell="A7" sqref="A7:XFD7"/>
    </sheetView>
  </sheetViews>
  <sheetFormatPr defaultRowHeight="12.75" x14ac:dyDescent="0.2"/>
  <cols>
    <col min="1" max="1" width="20.7109375" style="41" customWidth="1"/>
    <col min="2" max="2" width="3.28515625" style="3" customWidth="1"/>
    <col min="3" max="3" width="50.140625" style="3" customWidth="1"/>
    <col min="4" max="4" width="9.85546875" style="3" customWidth="1"/>
    <col min="5" max="5" width="10.7109375" style="3" customWidth="1"/>
    <col min="6" max="6" width="11.42578125" style="3" customWidth="1"/>
    <col min="7" max="7" width="12.42578125" style="3" customWidth="1"/>
    <col min="8" max="9" width="11" style="3" customWidth="1"/>
    <col min="10" max="10" width="10.85546875" style="3" customWidth="1"/>
    <col min="11" max="11" width="22.7109375" customWidth="1"/>
  </cols>
  <sheetData>
    <row r="1" spans="1:11" x14ac:dyDescent="0.2">
      <c r="A1" s="38" t="s">
        <v>13</v>
      </c>
    </row>
    <row r="2" spans="1:11" x14ac:dyDescent="0.2">
      <c r="A2" s="38" t="s">
        <v>18</v>
      </c>
    </row>
    <row r="3" spans="1:11" x14ac:dyDescent="0.2">
      <c r="A3" s="38" t="s">
        <v>15</v>
      </c>
    </row>
    <row r="4" spans="1:11" ht="12.75" customHeight="1" x14ac:dyDescent="0.2">
      <c r="A4" s="38" t="s">
        <v>28</v>
      </c>
    </row>
    <row r="5" spans="1:11" ht="10.5" customHeight="1" x14ac:dyDescent="0.2">
      <c r="A5" s="39" t="s">
        <v>120</v>
      </c>
      <c r="B5" s="7"/>
      <c r="C5" s="7"/>
      <c r="D5" s="4"/>
      <c r="E5" s="4"/>
      <c r="F5" s="4"/>
      <c r="G5" s="4"/>
      <c r="H5" s="4"/>
      <c r="I5" s="4"/>
      <c r="J5" s="4"/>
    </row>
    <row r="6" spans="1:11" ht="10.5" customHeight="1" x14ac:dyDescent="0.2">
      <c r="A6" s="40" t="s">
        <v>64</v>
      </c>
      <c r="B6" s="7"/>
      <c r="C6" s="7"/>
      <c r="D6" s="4"/>
      <c r="E6" s="4"/>
      <c r="F6" s="4"/>
      <c r="G6" s="49"/>
      <c r="H6" s="4"/>
      <c r="I6" s="4"/>
      <c r="J6" s="49"/>
      <c r="K6" s="2"/>
    </row>
    <row r="7" spans="1:11" ht="12.75" customHeight="1" x14ac:dyDescent="0.2">
      <c r="A7" s="39" t="s">
        <v>16</v>
      </c>
    </row>
    <row r="8" spans="1:11" ht="20.25" x14ac:dyDescent="0.3">
      <c r="B8" s="82" t="s">
        <v>17</v>
      </c>
      <c r="C8" s="82"/>
      <c r="D8" s="82"/>
      <c r="E8" s="82"/>
      <c r="F8" s="82"/>
      <c r="G8" s="82"/>
      <c r="H8" s="82"/>
      <c r="I8" s="82"/>
      <c r="J8" s="82"/>
      <c r="K8" s="82"/>
    </row>
    <row r="9" spans="1:11" ht="18" x14ac:dyDescent="0.25">
      <c r="A9" s="42"/>
      <c r="B9" s="81" t="s">
        <v>76</v>
      </c>
      <c r="C9" s="81"/>
      <c r="D9" s="81"/>
      <c r="E9" s="81"/>
      <c r="F9" s="81"/>
      <c r="G9" s="81"/>
      <c r="H9" s="81"/>
      <c r="I9" s="81"/>
      <c r="J9" s="81"/>
      <c r="K9" s="81"/>
    </row>
    <row r="10" spans="1:11" ht="11.25" customHeight="1" x14ac:dyDescent="0.2">
      <c r="A10" s="43" t="s">
        <v>71</v>
      </c>
      <c r="B10" s="83" t="str">
        <f>IF("&lt;Quote Start Date.ToDate&gt;&lt;Quote Start Date.FromDate&gt;"="", "","Quote Start Date:&lt;Quote Start Date&gt; ,  ") &amp;IF("&lt;Quote Expiry Date.ToDate&gt;&lt;Quote Expiry Date.FromDate&gt;"="", "","Expiry Date Range:&lt;Quote Expiry Date&gt;")</f>
        <v>Quote Start Date:&lt;Quote Start Date&gt; ,  Expiry Date Range:&lt;Quote Expiry Date&gt;</v>
      </c>
      <c r="C10" s="83"/>
      <c r="D10" s="83"/>
      <c r="E10" s="83"/>
      <c r="F10" s="83"/>
      <c r="G10" s="83"/>
      <c r="H10" s="83"/>
      <c r="I10" s="83"/>
      <c r="J10" s="83"/>
      <c r="K10" s="83"/>
    </row>
    <row r="11" spans="1:11" s="35" customFormat="1" ht="11.25" customHeight="1" x14ac:dyDescent="0.2">
      <c r="A11" s="43" t="s">
        <v>77</v>
      </c>
      <c r="B11" s="83" t="str">
        <f>IF("&lt;Quote Status&gt;"="", "","Quote Status:&lt;Quote Status&gt; ,  ") &amp;IF("&lt;Cancel Reason&gt;"="", "","Cancel Reason:&lt;Cancel Reason&gt; ,  ") &amp;IF("&lt;Sales Rep&gt;"="", "","Sales Rep:&lt;Sales Rep.Code&gt; ,  ") &amp;IF("&lt;Quotes Created by&gt;"="", "","Quotes Created by:&lt;Quotes Created by&gt;,  ") &amp;IF("&lt;Issue Date.FromDate&gt;&lt;Issue Date.ToDate&gt;"="", "","Issue Date Range:&lt;Issue Date&gt;")</f>
        <v>Quote Status:&lt;Quote Status&gt; ,  Cancel Reason:&lt;Cancel Reason&gt; ,  Sales Rep:&lt;Sales Rep.Code&gt; ,  Quotes Created by:&lt;Quotes Created by&gt;,  Issue Date Range:&lt;Issue Date&gt;</v>
      </c>
      <c r="C11" s="83"/>
      <c r="D11" s="83"/>
      <c r="E11" s="83"/>
      <c r="F11" s="83"/>
      <c r="G11" s="83"/>
      <c r="H11" s="83"/>
      <c r="I11" s="83"/>
      <c r="J11" s="83"/>
      <c r="K11" s="83"/>
    </row>
    <row r="12" spans="1:11" ht="11.25" customHeight="1" x14ac:dyDescent="0.2">
      <c r="A12" s="43" t="s">
        <v>115</v>
      </c>
      <c r="B12" s="84" t="s">
        <v>114</v>
      </c>
      <c r="C12" s="83"/>
      <c r="D12" s="83"/>
      <c r="E12" s="83"/>
      <c r="F12" s="83"/>
      <c r="G12" s="83"/>
      <c r="H12" s="83"/>
      <c r="I12" s="83"/>
      <c r="J12" s="83"/>
      <c r="K12" s="83"/>
    </row>
    <row r="13" spans="1:11" ht="11.25" customHeight="1" x14ac:dyDescent="0.2">
      <c r="A13" s="43" t="s">
        <v>113</v>
      </c>
      <c r="B13" s="84" t="s">
        <v>112</v>
      </c>
      <c r="C13" s="83"/>
      <c r="D13" s="83"/>
      <c r="E13" s="83"/>
      <c r="F13" s="83"/>
      <c r="G13" s="83"/>
      <c r="H13" s="83"/>
      <c r="I13" s="83"/>
      <c r="J13" s="83"/>
      <c r="K13" s="83"/>
    </row>
    <row r="14" spans="1:11" ht="11.25" customHeight="1" x14ac:dyDescent="0.2">
      <c r="A14" s="44"/>
      <c r="B14" s="2" t="str">
        <f>"Printed by &lt;Login Full Name&gt;  &lt;DateTimeAsString('&lt;Now&gt;','dd-MMM-yy hh:mm tt')&gt;"</f>
        <v>Printed by &lt;Login Full Name&gt;  &lt;DateTimeAsString('&lt;Now&gt;','dd-MMM-yy hh:mm tt')&gt;</v>
      </c>
      <c r="C14" s="2"/>
      <c r="D14" s="30"/>
      <c r="E14"/>
      <c r="F14" s="36"/>
      <c r="G14" s="2"/>
      <c r="H14" s="2"/>
      <c r="I14" s="2"/>
      <c r="J14" s="2"/>
    </row>
    <row r="15" spans="1:11" ht="3" customHeight="1" x14ac:dyDescent="0.2">
      <c r="A15" s="44"/>
      <c r="B15" s="2"/>
      <c r="C15" s="2"/>
      <c r="D15" s="30"/>
      <c r="E15"/>
      <c r="F15" s="28"/>
      <c r="G15" s="29"/>
      <c r="H15" s="29"/>
      <c r="I15" s="29"/>
      <c r="J15" s="29"/>
    </row>
    <row r="16" spans="1:11" s="46" customFormat="1" x14ac:dyDescent="0.2">
      <c r="A16" s="38"/>
      <c r="B16" s="48" t="s">
        <v>39</v>
      </c>
      <c r="C16" s="48"/>
      <c r="D16" s="48" t="s">
        <v>25</v>
      </c>
      <c r="E16" s="48" t="s">
        <v>57</v>
      </c>
      <c r="F16" s="48" t="s">
        <v>50</v>
      </c>
      <c r="G16" s="48" t="s">
        <v>92</v>
      </c>
      <c r="H16" s="48" t="s">
        <v>30</v>
      </c>
      <c r="I16" s="48" t="s">
        <v>51</v>
      </c>
      <c r="J16" s="48" t="s">
        <v>81</v>
      </c>
      <c r="K16" s="48" t="s">
        <v>74</v>
      </c>
    </row>
    <row r="17" spans="1:11" x14ac:dyDescent="0.2">
      <c r="A17" s="39" t="s">
        <v>14</v>
      </c>
      <c r="B17" s="2"/>
      <c r="C17" s="2"/>
      <c r="D17" s="2"/>
      <c r="E17" s="2"/>
      <c r="F17" s="2"/>
      <c r="G17"/>
      <c r="H17" s="2"/>
      <c r="I17" s="2"/>
      <c r="J17"/>
    </row>
    <row r="18" spans="1:11" x14ac:dyDescent="0.2">
      <c r="A18" s="45"/>
      <c r="B18" s="27"/>
      <c r="C18" s="27" t="s">
        <v>26</v>
      </c>
      <c r="D18" s="6" t="s">
        <v>2</v>
      </c>
      <c r="E18" s="51" t="s">
        <v>107</v>
      </c>
      <c r="F18" s="59" t="s">
        <v>27</v>
      </c>
      <c r="G18" s="59" t="s">
        <v>93</v>
      </c>
      <c r="H18" s="6" t="s">
        <v>35</v>
      </c>
      <c r="I18" s="51" t="s">
        <v>38</v>
      </c>
      <c r="J18" s="59" t="s">
        <v>94</v>
      </c>
      <c r="K18" s="51" t="s">
        <v>78</v>
      </c>
    </row>
    <row r="19" spans="1:11" x14ac:dyDescent="0.2">
      <c r="A19" s="39" t="s">
        <v>1</v>
      </c>
      <c r="B19" s="2"/>
      <c r="C19" s="2"/>
      <c r="D19" s="2"/>
      <c r="E19" s="2"/>
      <c r="F19"/>
      <c r="G19"/>
      <c r="H19"/>
      <c r="I19"/>
      <c r="J19"/>
    </row>
    <row r="20" spans="1:11" ht="5.25" customHeight="1" x14ac:dyDescent="0.2">
      <c r="A20" s="39"/>
      <c r="B20" s="2"/>
      <c r="C20" s="2"/>
      <c r="D20" s="2"/>
      <c r="E20" s="2"/>
      <c r="F20"/>
      <c r="G20"/>
      <c r="H20"/>
      <c r="I20"/>
      <c r="J20"/>
    </row>
    <row r="21" spans="1:11" ht="12.75" customHeight="1" x14ac:dyDescent="0.2">
      <c r="A21" s="45"/>
      <c r="B21" s="50" t="s">
        <v>3</v>
      </c>
      <c r="C21" s="50"/>
      <c r="D21" s="50"/>
      <c r="E21" s="50"/>
      <c r="F21" s="50"/>
      <c r="G21" s="50"/>
      <c r="H21" s="50"/>
      <c r="I21" s="50"/>
      <c r="J21" s="50"/>
    </row>
    <row r="22" spans="1:11" x14ac:dyDescent="0.2">
      <c r="A22" s="45" t="s">
        <v>19</v>
      </c>
      <c r="B22" s="6"/>
      <c r="C22" s="6"/>
      <c r="D22" s="6"/>
      <c r="E22" s="6"/>
      <c r="F22"/>
      <c r="G22"/>
      <c r="H22"/>
      <c r="I22"/>
      <c r="J22"/>
    </row>
    <row r="23" spans="1:11" x14ac:dyDescent="0.2">
      <c r="A23" s="39" t="s">
        <v>23</v>
      </c>
    </row>
  </sheetData>
  <mergeCells count="6">
    <mergeCell ref="B8:K8"/>
    <mergeCell ref="B9:K9"/>
    <mergeCell ref="B12:K12"/>
    <mergeCell ref="B13:K13"/>
    <mergeCell ref="B11:K11"/>
    <mergeCell ref="B10:K10"/>
  </mergeCells>
  <phoneticPr fontId="1" type="noConversion"/>
  <printOptions horizontalCentered="1"/>
  <pageMargins left="0.39370078740157499" right="0.39370078740157499" top="0.39370078740157499" bottom="0.39370078740157499" header="0.511811023622047" footer="0.31496062992126"/>
  <pageSetup scale="54" fitToHeight="0" orientation="portrait" verticalDpi="300" r:id="rId1"/>
  <headerFooter alignWithMargins="0">
    <oddHeader>&amp;R&amp;8&amp;P / &amp;N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75"/>
  <sheetViews>
    <sheetView zoomScaleNormal="100" workbookViewId="0">
      <selection activeCell="A7" sqref="A7:XFD7"/>
    </sheetView>
  </sheetViews>
  <sheetFormatPr defaultRowHeight="12.75" x14ac:dyDescent="0.2"/>
  <cols>
    <col min="1" max="1" width="21" style="41" customWidth="1"/>
    <col min="2" max="2" width="50.140625" style="3" customWidth="1"/>
    <col min="3" max="3" width="16.28515625" style="3" customWidth="1"/>
    <col min="4" max="8" width="18.42578125" style="3" customWidth="1"/>
  </cols>
  <sheetData>
    <row r="1" spans="1:10" x14ac:dyDescent="0.2">
      <c r="A1" s="38" t="s">
        <v>13</v>
      </c>
    </row>
    <row r="2" spans="1:10" x14ac:dyDescent="0.2">
      <c r="A2" s="38" t="s">
        <v>18</v>
      </c>
    </row>
    <row r="3" spans="1:10" x14ac:dyDescent="0.2">
      <c r="A3" s="38" t="s">
        <v>15</v>
      </c>
    </row>
    <row r="4" spans="1:10" ht="12.75" customHeight="1" x14ac:dyDescent="0.2">
      <c r="A4" s="38" t="s">
        <v>28</v>
      </c>
    </row>
    <row r="5" spans="1:10" ht="10.5" customHeight="1" x14ac:dyDescent="0.2">
      <c r="A5" s="79" t="s">
        <v>119</v>
      </c>
      <c r="B5" s="7"/>
      <c r="C5" s="4"/>
      <c r="D5" s="4"/>
      <c r="E5" s="4"/>
      <c r="F5" s="4"/>
      <c r="G5" s="4"/>
      <c r="H5" s="4"/>
    </row>
    <row r="6" spans="1:10" ht="10.5" customHeight="1" x14ac:dyDescent="0.2">
      <c r="A6" s="40" t="s">
        <v>64</v>
      </c>
      <c r="B6" s="7"/>
      <c r="C6" s="4"/>
      <c r="D6" s="4"/>
      <c r="E6" s="4"/>
      <c r="F6" s="4"/>
      <c r="G6" s="4"/>
      <c r="H6" s="4"/>
      <c r="I6" s="2"/>
      <c r="J6" s="2"/>
    </row>
    <row r="7" spans="1:10" ht="12.75" customHeight="1" x14ac:dyDescent="0.2">
      <c r="A7" s="39" t="s">
        <v>16</v>
      </c>
    </row>
    <row r="8" spans="1:10" ht="20.25" x14ac:dyDescent="0.3">
      <c r="B8" s="31" t="s">
        <v>17</v>
      </c>
      <c r="C8" s="31"/>
      <c r="D8" s="31"/>
      <c r="E8" s="31"/>
      <c r="F8" s="31"/>
      <c r="G8" s="31"/>
      <c r="H8" s="31"/>
    </row>
    <row r="9" spans="1:10" ht="18" x14ac:dyDescent="0.25">
      <c r="A9" s="42"/>
      <c r="B9" s="1" t="s">
        <v>12</v>
      </c>
      <c r="C9" s="1"/>
      <c r="D9" s="1"/>
      <c r="E9" s="1"/>
      <c r="F9" s="1"/>
      <c r="G9" s="1"/>
      <c r="H9" s="1"/>
    </row>
    <row r="10" spans="1:10" ht="11.25" customHeight="1" x14ac:dyDescent="0.2">
      <c r="A10" s="43" t="s">
        <v>72</v>
      </c>
      <c r="B10" s="83" t="str">
        <f>IF("&lt;Quote Start Date.ToDate&gt;&lt;Quote Start Date.FromDate&gt;"="", "","Quote Start Date:&lt;Quote Start Date&gt; ,  ") &amp;IF("&lt;Quote Expiry Date.ToDate&gt;&lt;Quote Expiry Date.FromDate&gt;"="", "","Expiry Date Range:&lt;Quote Expiry Date&gt;")&amp;IF("&lt;Quote Status&gt;"="", "","Quote Status:&lt;Quote Status&gt; ,  ") &amp;IF("&lt;Sales Rep&gt;"="", "","Sales Rep:&lt;Sales Rep.Code&gt; ,  ") &amp;IF("&lt;Quotes Created by&gt;"="", "","Quotes Created by:&lt;Quotes Created by&gt;,  ") &amp;IF("&lt;Issue Date.FromDate&gt;&lt;Issue Date.ToDate&gt;"="", "","Issue Date Range:&lt;Issue Date&gt;")</f>
        <v>Quote Start Date:&lt;Quote Start Date&gt; ,  Expiry Date Range:&lt;Quote Expiry Date&gt;Quote Status:&lt;Quote Status&gt; ,  Sales Rep:&lt;Sales Rep.Code&gt; ,  Quotes Created by:&lt;Quotes Created by&gt;,  Issue Date Range:&lt;Issue Date&gt;</v>
      </c>
      <c r="C10" s="83"/>
      <c r="D10" s="83"/>
      <c r="E10" s="83"/>
      <c r="F10" s="83"/>
      <c r="G10" s="83"/>
      <c r="H10" s="83"/>
    </row>
    <row r="11" spans="1:10" ht="11.25" customHeight="1" x14ac:dyDescent="0.2">
      <c r="A11" s="43" t="s">
        <v>115</v>
      </c>
      <c r="B11" s="84" t="s">
        <v>114</v>
      </c>
      <c r="C11" s="83"/>
      <c r="D11" s="83"/>
      <c r="E11" s="83"/>
      <c r="F11" s="83"/>
      <c r="G11" s="83"/>
      <c r="H11" s="83"/>
    </row>
    <row r="12" spans="1:10" ht="11.25" customHeight="1" x14ac:dyDescent="0.2">
      <c r="A12" s="43" t="s">
        <v>113</v>
      </c>
      <c r="B12" s="84" t="s">
        <v>112</v>
      </c>
      <c r="C12" s="83"/>
      <c r="D12" s="83"/>
      <c r="E12" s="83"/>
      <c r="F12" s="83"/>
      <c r="G12" s="83"/>
      <c r="H12" s="83"/>
    </row>
    <row r="13" spans="1:10" ht="11.25" customHeight="1" x14ac:dyDescent="0.2">
      <c r="A13" s="44"/>
      <c r="B13" s="2" t="str">
        <f>"Printed by &lt;Login Full Name&gt;  &lt;DateTimeAsString('&lt;Now&gt;','dd-MMM-yy hh:mm tt')&gt;"</f>
        <v>Printed by &lt;Login Full Name&gt;  &lt;DateTimeAsString('&lt;Now&gt;','dd-MMM-yy hh:mm tt')&gt;</v>
      </c>
      <c r="C13" s="30"/>
      <c r="D13"/>
      <c r="E13" s="2"/>
      <c r="F13" s="28"/>
      <c r="G13" s="29"/>
      <c r="H13" s="29"/>
    </row>
    <row r="14" spans="1:10" ht="2.25" customHeight="1" x14ac:dyDescent="0.2">
      <c r="A14" s="44"/>
      <c r="B14" s="2"/>
      <c r="C14" s="2"/>
      <c r="D14" s="2"/>
      <c r="E14" s="2"/>
      <c r="F14"/>
      <c r="G14"/>
      <c r="H14"/>
    </row>
    <row r="15" spans="1:10" ht="13.5" thickBot="1" x14ac:dyDescent="0.25">
      <c r="A15" s="39" t="s">
        <v>20</v>
      </c>
      <c r="F15"/>
      <c r="G15"/>
      <c r="H15"/>
    </row>
    <row r="16" spans="1:10" ht="15.75" x14ac:dyDescent="0.25">
      <c r="B16" s="32" t="s">
        <v>11</v>
      </c>
      <c r="C16" s="33"/>
      <c r="D16" s="33"/>
      <c r="E16" s="33"/>
      <c r="F16" s="33"/>
      <c r="G16" s="33"/>
      <c r="H16" s="34"/>
    </row>
    <row r="17" spans="1:8" ht="4.5" customHeight="1" x14ac:dyDescent="0.2">
      <c r="B17" s="10"/>
      <c r="C17" s="11"/>
      <c r="D17" s="11"/>
      <c r="E17" s="11"/>
      <c r="F17" s="12"/>
      <c r="G17" s="12"/>
      <c r="H17" s="13"/>
    </row>
    <row r="18" spans="1:8" ht="13.5" thickBot="1" x14ac:dyDescent="0.25">
      <c r="A18" s="39"/>
      <c r="B18" s="25" t="s">
        <v>40</v>
      </c>
      <c r="C18" s="26" t="s">
        <v>10</v>
      </c>
      <c r="D18" s="23" t="s">
        <v>32</v>
      </c>
      <c r="E18" s="23" t="s">
        <v>33</v>
      </c>
      <c r="F18" s="23" t="s">
        <v>100</v>
      </c>
      <c r="G18" s="23" t="s">
        <v>34</v>
      </c>
      <c r="H18" s="24" t="s">
        <v>43</v>
      </c>
    </row>
    <row r="19" spans="1:8" x14ac:dyDescent="0.2">
      <c r="A19" s="39" t="s">
        <v>41</v>
      </c>
      <c r="B19" s="8"/>
      <c r="E19"/>
      <c r="F19"/>
      <c r="G19"/>
      <c r="H19" s="9"/>
    </row>
    <row r="20" spans="1:8" x14ac:dyDescent="0.2">
      <c r="A20" s="44"/>
      <c r="B20" s="21" t="s">
        <v>42</v>
      </c>
      <c r="C20" s="22" t="s">
        <v>6</v>
      </c>
      <c r="D20" s="14" t="s">
        <v>44</v>
      </c>
      <c r="E20" s="14" t="s">
        <v>45</v>
      </c>
      <c r="F20" s="14" t="s">
        <v>46</v>
      </c>
      <c r="G20" s="14" t="s">
        <v>47</v>
      </c>
      <c r="H20" s="15" t="s">
        <v>48</v>
      </c>
    </row>
    <row r="21" spans="1:8" x14ac:dyDescent="0.2">
      <c r="A21" s="45" t="s">
        <v>19</v>
      </c>
      <c r="B21" s="8"/>
      <c r="D21" s="16"/>
      <c r="E21" s="16"/>
      <c r="F21" s="17"/>
      <c r="G21" s="17"/>
      <c r="H21" s="18"/>
    </row>
    <row r="22" spans="1:8" x14ac:dyDescent="0.2">
      <c r="A22" s="45"/>
      <c r="B22" s="8"/>
      <c r="D22" s="16"/>
      <c r="E22" s="16"/>
      <c r="F22" s="17"/>
      <c r="G22" s="17"/>
      <c r="H22" s="18"/>
    </row>
    <row r="23" spans="1:8" ht="13.5" thickBot="1" x14ac:dyDescent="0.25">
      <c r="A23" s="44"/>
      <c r="B23" s="85" t="s">
        <v>43</v>
      </c>
      <c r="C23" s="86"/>
      <c r="D23" s="19">
        <f>SUM(D20:D21)</f>
        <v>0</v>
      </c>
      <c r="E23" s="19">
        <f>SUM(E20:E21)</f>
        <v>0</v>
      </c>
      <c r="F23" s="19">
        <f>SUM(F20:F21)</f>
        <v>0</v>
      </c>
      <c r="G23" s="19">
        <f>SUM(G20:G21)</f>
        <v>0</v>
      </c>
      <c r="H23" s="20">
        <f>SUM(H20:H21)</f>
        <v>0</v>
      </c>
    </row>
    <row r="24" spans="1:8" x14ac:dyDescent="0.2">
      <c r="B24" s="5"/>
      <c r="F24"/>
      <c r="G24"/>
      <c r="H24"/>
    </row>
    <row r="25" spans="1:8" x14ac:dyDescent="0.2">
      <c r="B25" s="5" t="s">
        <v>49</v>
      </c>
      <c r="F25"/>
      <c r="G25"/>
      <c r="H25"/>
    </row>
    <row r="26" spans="1:8" x14ac:dyDescent="0.2">
      <c r="B26" s="5"/>
      <c r="F26"/>
      <c r="G26"/>
      <c r="H26"/>
    </row>
    <row r="27" spans="1:8" x14ac:dyDescent="0.2">
      <c r="B27" s="5"/>
      <c r="F27"/>
      <c r="G27"/>
      <c r="H27"/>
    </row>
    <row r="28" spans="1:8" x14ac:dyDescent="0.2">
      <c r="B28" s="5"/>
      <c r="F28"/>
      <c r="G28"/>
      <c r="H28"/>
    </row>
    <row r="29" spans="1:8" x14ac:dyDescent="0.2">
      <c r="B29" s="5"/>
      <c r="F29"/>
      <c r="G29"/>
      <c r="H29"/>
    </row>
    <row r="30" spans="1:8" x14ac:dyDescent="0.2">
      <c r="B30" s="5"/>
      <c r="F30"/>
      <c r="G30"/>
      <c r="H30"/>
    </row>
    <row r="31" spans="1:8" x14ac:dyDescent="0.2">
      <c r="B31" s="5"/>
      <c r="F31"/>
      <c r="G31"/>
      <c r="H31"/>
    </row>
    <row r="32" spans="1:8" x14ac:dyDescent="0.2">
      <c r="B32" s="5"/>
      <c r="F32"/>
      <c r="G32"/>
      <c r="H32"/>
    </row>
    <row r="33" spans="2:8" x14ac:dyDescent="0.2">
      <c r="B33" s="5"/>
      <c r="F33"/>
      <c r="G33"/>
      <c r="H33"/>
    </row>
    <row r="34" spans="2:8" x14ac:dyDescent="0.2">
      <c r="B34" s="5"/>
      <c r="F34"/>
      <c r="G34"/>
      <c r="H34"/>
    </row>
    <row r="35" spans="2:8" x14ac:dyDescent="0.2">
      <c r="B35" s="5"/>
      <c r="F35"/>
      <c r="G35"/>
      <c r="H35"/>
    </row>
    <row r="36" spans="2:8" x14ac:dyDescent="0.2">
      <c r="B36" s="5"/>
      <c r="F36"/>
      <c r="G36"/>
      <c r="H36"/>
    </row>
    <row r="37" spans="2:8" x14ac:dyDescent="0.2">
      <c r="B37" s="5"/>
      <c r="F37"/>
      <c r="G37"/>
      <c r="H37"/>
    </row>
    <row r="38" spans="2:8" x14ac:dyDescent="0.2">
      <c r="B38" s="5"/>
      <c r="F38"/>
      <c r="G38"/>
      <c r="H38"/>
    </row>
    <row r="39" spans="2:8" x14ac:dyDescent="0.2">
      <c r="B39" s="5"/>
      <c r="F39"/>
      <c r="G39"/>
      <c r="H39"/>
    </row>
    <row r="40" spans="2:8" x14ac:dyDescent="0.2">
      <c r="B40" s="5"/>
      <c r="F40"/>
      <c r="G40"/>
      <c r="H40"/>
    </row>
    <row r="41" spans="2:8" x14ac:dyDescent="0.2">
      <c r="B41" s="5"/>
      <c r="F41"/>
      <c r="G41"/>
      <c r="H41"/>
    </row>
    <row r="42" spans="2:8" x14ac:dyDescent="0.2">
      <c r="B42" s="5"/>
      <c r="F42"/>
      <c r="G42"/>
      <c r="H42"/>
    </row>
    <row r="43" spans="2:8" x14ac:dyDescent="0.2">
      <c r="B43" s="5"/>
      <c r="F43"/>
      <c r="G43"/>
      <c r="H43"/>
    </row>
    <row r="44" spans="2:8" x14ac:dyDescent="0.2">
      <c r="B44" s="5"/>
      <c r="F44"/>
      <c r="G44"/>
      <c r="H44"/>
    </row>
    <row r="45" spans="2:8" x14ac:dyDescent="0.2">
      <c r="B45" s="5"/>
      <c r="F45"/>
      <c r="G45"/>
      <c r="H45"/>
    </row>
    <row r="46" spans="2:8" x14ac:dyDescent="0.2">
      <c r="B46" s="5"/>
      <c r="F46"/>
      <c r="G46"/>
      <c r="H46"/>
    </row>
    <row r="47" spans="2:8" x14ac:dyDescent="0.2">
      <c r="B47" s="5"/>
      <c r="F47"/>
      <c r="G47"/>
      <c r="H47"/>
    </row>
    <row r="48" spans="2:8" x14ac:dyDescent="0.2">
      <c r="B48" s="5"/>
      <c r="F48"/>
      <c r="G48"/>
      <c r="H48"/>
    </row>
    <row r="49" spans="2:8" x14ac:dyDescent="0.2">
      <c r="B49" s="5"/>
      <c r="F49"/>
      <c r="G49"/>
      <c r="H49"/>
    </row>
    <row r="50" spans="2:8" x14ac:dyDescent="0.2">
      <c r="B50" s="5"/>
      <c r="F50"/>
      <c r="G50"/>
      <c r="H50"/>
    </row>
    <row r="51" spans="2:8" x14ac:dyDescent="0.2">
      <c r="B51" s="5"/>
      <c r="F51"/>
      <c r="G51"/>
      <c r="H51"/>
    </row>
    <row r="52" spans="2:8" x14ac:dyDescent="0.2">
      <c r="B52" s="5"/>
      <c r="F52"/>
      <c r="G52"/>
      <c r="H52"/>
    </row>
    <row r="53" spans="2:8" x14ac:dyDescent="0.2">
      <c r="B53" s="5"/>
      <c r="F53"/>
      <c r="G53"/>
      <c r="H53"/>
    </row>
    <row r="54" spans="2:8" x14ac:dyDescent="0.2">
      <c r="B54" s="5"/>
      <c r="F54"/>
      <c r="G54"/>
      <c r="H54"/>
    </row>
    <row r="55" spans="2:8" x14ac:dyDescent="0.2">
      <c r="B55" s="5"/>
      <c r="F55"/>
      <c r="G55"/>
      <c r="H55"/>
    </row>
    <row r="56" spans="2:8" x14ac:dyDescent="0.2">
      <c r="B56" s="5"/>
      <c r="F56"/>
      <c r="G56"/>
      <c r="H56"/>
    </row>
    <row r="57" spans="2:8" x14ac:dyDescent="0.2">
      <c r="B57" s="5"/>
      <c r="F57"/>
      <c r="G57"/>
      <c r="H57"/>
    </row>
    <row r="58" spans="2:8" x14ac:dyDescent="0.2">
      <c r="B58" s="5"/>
      <c r="F58"/>
      <c r="G58"/>
      <c r="H58"/>
    </row>
    <row r="59" spans="2:8" x14ac:dyDescent="0.2">
      <c r="B59" s="5"/>
      <c r="F59"/>
      <c r="G59"/>
      <c r="H59"/>
    </row>
    <row r="60" spans="2:8" x14ac:dyDescent="0.2">
      <c r="B60" s="5"/>
      <c r="F60"/>
      <c r="G60"/>
      <c r="H60"/>
    </row>
    <row r="61" spans="2:8" x14ac:dyDescent="0.2">
      <c r="B61" s="5"/>
      <c r="F61"/>
      <c r="G61"/>
      <c r="H61"/>
    </row>
    <row r="62" spans="2:8" x14ac:dyDescent="0.2">
      <c r="B62" s="5"/>
      <c r="F62"/>
      <c r="G62"/>
      <c r="H62"/>
    </row>
    <row r="63" spans="2:8" x14ac:dyDescent="0.2">
      <c r="B63" s="5"/>
      <c r="F63"/>
      <c r="G63"/>
      <c r="H63"/>
    </row>
    <row r="64" spans="2:8" x14ac:dyDescent="0.2">
      <c r="B64" s="5"/>
      <c r="F64"/>
      <c r="G64"/>
      <c r="H64"/>
    </row>
    <row r="65" spans="1:8" x14ac:dyDescent="0.2">
      <c r="B65" s="5"/>
      <c r="F65"/>
      <c r="G65"/>
      <c r="H65"/>
    </row>
    <row r="66" spans="1:8" x14ac:dyDescent="0.2">
      <c r="B66" s="5"/>
      <c r="F66"/>
      <c r="G66"/>
      <c r="H66"/>
    </row>
    <row r="67" spans="1:8" x14ac:dyDescent="0.2">
      <c r="B67" s="5"/>
      <c r="F67"/>
      <c r="G67"/>
      <c r="H67"/>
    </row>
    <row r="68" spans="1:8" x14ac:dyDescent="0.2">
      <c r="B68" s="5"/>
      <c r="F68"/>
      <c r="G68"/>
      <c r="H68"/>
    </row>
    <row r="69" spans="1:8" x14ac:dyDescent="0.2">
      <c r="B69" s="5"/>
      <c r="F69"/>
      <c r="G69"/>
      <c r="H69"/>
    </row>
    <row r="70" spans="1:8" x14ac:dyDescent="0.2">
      <c r="B70" s="5"/>
      <c r="F70"/>
      <c r="G70"/>
      <c r="H70"/>
    </row>
    <row r="71" spans="1:8" x14ac:dyDescent="0.2">
      <c r="B71" s="5"/>
      <c r="F71"/>
      <c r="G71"/>
      <c r="H71"/>
    </row>
    <row r="72" spans="1:8" x14ac:dyDescent="0.2">
      <c r="B72" s="5"/>
      <c r="F72"/>
      <c r="G72"/>
      <c r="H72"/>
    </row>
    <row r="73" spans="1:8" x14ac:dyDescent="0.2">
      <c r="A73" s="39" t="s">
        <v>23</v>
      </c>
      <c r="F73"/>
      <c r="G73"/>
      <c r="H73"/>
    </row>
    <row r="74" spans="1:8" x14ac:dyDescent="0.2">
      <c r="F74"/>
      <c r="G74"/>
      <c r="H74"/>
    </row>
    <row r="75" spans="1:8" x14ac:dyDescent="0.2">
      <c r="F75"/>
      <c r="G75"/>
      <c r="H75"/>
    </row>
  </sheetData>
  <mergeCells count="4">
    <mergeCell ref="B23:C23"/>
    <mergeCell ref="B11:H11"/>
    <mergeCell ref="B12:H12"/>
    <mergeCell ref="B10:H10"/>
  </mergeCells>
  <phoneticPr fontId="1" type="noConversion"/>
  <printOptions horizontalCentered="1"/>
  <pageMargins left="0.39370078740157499" right="0.39370078740157499" top="0.39370078740157499" bottom="0.39370078740157499" header="0.511811023622047" footer="0.31496062992126"/>
  <pageSetup scale="74" fitToHeight="0" pageOrder="overThenDown" orientation="landscape" verticalDpi="200" r:id="rId1"/>
  <headerFooter alignWithMargins="0">
    <oddHeader>&amp;R&amp;8&amp;P / &amp;N</oddHead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75"/>
  <sheetViews>
    <sheetView workbookViewId="0">
      <selection activeCell="A7" sqref="A7:XFD7"/>
    </sheetView>
  </sheetViews>
  <sheetFormatPr defaultRowHeight="12.75" x14ac:dyDescent="0.2"/>
  <cols>
    <col min="1" max="1" width="24" style="41" customWidth="1"/>
    <col min="2" max="2" width="50.140625" style="3" customWidth="1"/>
    <col min="3" max="3" width="16.28515625" style="3" customWidth="1"/>
    <col min="4" max="8" width="18.42578125" style="3" customWidth="1"/>
    <col min="9" max="9" width="10" customWidth="1"/>
    <col min="10" max="10" width="10.5703125" customWidth="1"/>
    <col min="11" max="11" width="7.42578125" customWidth="1"/>
  </cols>
  <sheetData>
    <row r="1" spans="1:10" x14ac:dyDescent="0.2">
      <c r="A1" s="38" t="s">
        <v>13</v>
      </c>
    </row>
    <row r="2" spans="1:10" x14ac:dyDescent="0.2">
      <c r="A2" s="38" t="s">
        <v>18</v>
      </c>
    </row>
    <row r="3" spans="1:10" x14ac:dyDescent="0.2">
      <c r="A3" s="38" t="s">
        <v>15</v>
      </c>
    </row>
    <row r="4" spans="1:10" ht="12.75" customHeight="1" x14ac:dyDescent="0.2">
      <c r="A4" s="38" t="s">
        <v>28</v>
      </c>
    </row>
    <row r="5" spans="1:10" ht="10.5" customHeight="1" x14ac:dyDescent="0.2">
      <c r="A5" s="79" t="s">
        <v>116</v>
      </c>
      <c r="B5" s="7"/>
      <c r="C5" s="4"/>
      <c r="D5" s="4"/>
      <c r="E5" s="4"/>
      <c r="F5" s="4"/>
      <c r="G5" s="4"/>
      <c r="H5" s="4"/>
    </row>
    <row r="6" spans="1:10" ht="10.5" customHeight="1" x14ac:dyDescent="0.2">
      <c r="A6" s="40" t="s">
        <v>64</v>
      </c>
      <c r="B6" s="7"/>
      <c r="C6" s="4"/>
      <c r="D6" s="4"/>
      <c r="E6" s="4"/>
      <c r="F6" s="4"/>
      <c r="G6" s="4"/>
      <c r="H6" s="4"/>
      <c r="I6" s="2"/>
      <c r="J6" s="2"/>
    </row>
    <row r="7" spans="1:10" ht="12.75" customHeight="1" x14ac:dyDescent="0.2">
      <c r="A7" s="39" t="s">
        <v>16</v>
      </c>
    </row>
    <row r="8" spans="1:10" ht="20.25" x14ac:dyDescent="0.3">
      <c r="B8" s="31" t="s">
        <v>17</v>
      </c>
      <c r="C8" s="31"/>
      <c r="D8" s="31"/>
      <c r="E8" s="31"/>
      <c r="F8" s="31"/>
      <c r="G8" s="31"/>
      <c r="H8" s="31"/>
    </row>
    <row r="9" spans="1:10" ht="18" x14ac:dyDescent="0.25">
      <c r="A9" s="42"/>
      <c r="B9" s="1" t="s">
        <v>7</v>
      </c>
      <c r="C9" s="1"/>
      <c r="D9" s="1"/>
      <c r="E9" s="1"/>
      <c r="F9" s="1"/>
      <c r="G9" s="1"/>
      <c r="H9" s="1"/>
    </row>
    <row r="10" spans="1:10" ht="11.25" customHeight="1" x14ac:dyDescent="0.2">
      <c r="A10" s="43" t="s">
        <v>72</v>
      </c>
      <c r="B10" s="83" t="str">
        <f>IF("&lt;Quote Start Date.ToDate&gt;&lt;Quote Start Date.FromDate&gt;"="", "","Quote Start Date:&lt;Quote Start Date&gt; ,  ") &amp;IF("&lt;Quote Expiry Date.ToDate&gt;&lt;Quote Expiry Date.FromDate&gt;"="", "","Expiry Date Range:&lt;Quote Expiry Date&gt;")&amp;IF("&lt;Quote Status&gt;"="", "","Quote Status:&lt;Quote Status&gt; ,  ") &amp;IF("&lt;Sales Rep&gt;"="", "","Sales Rep:&lt;Sales Rep.Code&gt; ,  ") &amp;IF("&lt;Quotes Created by&gt;"="", "","Quotes Created by:&lt;Quotes Created by&gt;,  ") &amp;IF("&lt;Issue Date.FromDate&gt;&lt;Issue Date.ToDate&gt;"="", "","Issue Date Range:&lt;Issue Date&gt;")</f>
        <v>Quote Start Date:&lt;Quote Start Date&gt; ,  Expiry Date Range:&lt;Quote Expiry Date&gt;Quote Status:&lt;Quote Status&gt; ,  Sales Rep:&lt;Sales Rep.Code&gt; ,  Quotes Created by:&lt;Quotes Created by&gt;,  Issue Date Range:&lt;Issue Date&gt;</v>
      </c>
      <c r="C10" s="83"/>
      <c r="D10" s="83"/>
      <c r="E10" s="83"/>
      <c r="F10" s="83"/>
      <c r="G10" s="83"/>
      <c r="H10" s="83"/>
      <c r="J10" s="2"/>
    </row>
    <row r="11" spans="1:10" ht="11.25" customHeight="1" x14ac:dyDescent="0.2">
      <c r="A11" s="43" t="s">
        <v>115</v>
      </c>
      <c r="B11" s="84" t="s">
        <v>114</v>
      </c>
      <c r="C11" s="83"/>
      <c r="D11" s="83"/>
      <c r="E11" s="83"/>
      <c r="F11" s="83"/>
      <c r="G11" s="83"/>
      <c r="H11" s="83"/>
      <c r="J11" s="2"/>
    </row>
    <row r="12" spans="1:10" ht="11.25" customHeight="1" x14ac:dyDescent="0.2">
      <c r="A12" s="43" t="s">
        <v>113</v>
      </c>
      <c r="B12" s="84" t="s">
        <v>112</v>
      </c>
      <c r="C12" s="83"/>
      <c r="D12" s="83"/>
      <c r="E12" s="83"/>
      <c r="F12" s="83"/>
      <c r="G12" s="83"/>
      <c r="H12" s="83"/>
      <c r="J12" s="2"/>
    </row>
    <row r="13" spans="1:10" ht="11.25" customHeight="1" x14ac:dyDescent="0.2">
      <c r="A13" s="44"/>
      <c r="B13" s="2" t="str">
        <f>"Printed by &lt;Login Full Name&gt;  &lt;DateTimeAsString('&lt;Now&gt;','dd-MMM-yy hh:mm tt')&gt;"</f>
        <v>Printed by &lt;Login Full Name&gt;  &lt;DateTimeAsString('&lt;Now&gt;','dd-MMM-yy hh:mm tt')&gt;</v>
      </c>
      <c r="C13" s="30"/>
      <c r="D13"/>
      <c r="E13" s="2"/>
      <c r="F13" s="28"/>
      <c r="G13" s="29"/>
      <c r="H13" s="29"/>
    </row>
    <row r="14" spans="1:10" ht="3" customHeight="1" x14ac:dyDescent="0.2">
      <c r="A14" s="44"/>
      <c r="B14" s="2"/>
      <c r="C14" s="2"/>
      <c r="D14" s="2"/>
      <c r="E14" s="2"/>
      <c r="F14"/>
      <c r="G14"/>
      <c r="H14"/>
    </row>
    <row r="15" spans="1:10" ht="13.5" thickBot="1" x14ac:dyDescent="0.25">
      <c r="A15" s="39" t="s">
        <v>20</v>
      </c>
      <c r="F15"/>
      <c r="G15"/>
      <c r="H15"/>
    </row>
    <row r="16" spans="1:10" ht="15.75" x14ac:dyDescent="0.25">
      <c r="B16" s="32" t="s">
        <v>8</v>
      </c>
      <c r="C16" s="33"/>
      <c r="D16" s="33"/>
      <c r="E16" s="33"/>
      <c r="F16" s="33"/>
      <c r="G16" s="33"/>
      <c r="H16" s="34"/>
    </row>
    <row r="17" spans="1:8" ht="4.5" customHeight="1" x14ac:dyDescent="0.2">
      <c r="B17" s="10"/>
      <c r="C17" s="11"/>
      <c r="D17" s="11"/>
      <c r="E17" s="11"/>
      <c r="F17" s="12"/>
      <c r="G17" s="12"/>
      <c r="H17" s="13"/>
    </row>
    <row r="18" spans="1:8" ht="13.5" thickBot="1" x14ac:dyDescent="0.25">
      <c r="A18" s="39"/>
      <c r="B18" s="25" t="s">
        <v>9</v>
      </c>
      <c r="C18" s="26" t="s">
        <v>10</v>
      </c>
      <c r="D18" s="23" t="s">
        <v>32</v>
      </c>
      <c r="E18" s="23" t="s">
        <v>33</v>
      </c>
      <c r="F18" s="23" t="s">
        <v>100</v>
      </c>
      <c r="G18" s="23" t="s">
        <v>34</v>
      </c>
      <c r="H18" s="24" t="s">
        <v>43</v>
      </c>
    </row>
    <row r="19" spans="1:8" x14ac:dyDescent="0.2">
      <c r="A19" s="39" t="s">
        <v>41</v>
      </c>
      <c r="B19" s="8"/>
      <c r="E19"/>
      <c r="F19"/>
      <c r="G19"/>
      <c r="H19" s="9"/>
    </row>
    <row r="20" spans="1:8" x14ac:dyDescent="0.2">
      <c r="A20" s="44"/>
      <c r="B20" s="21" t="s">
        <v>4</v>
      </c>
      <c r="C20" s="22" t="s">
        <v>5</v>
      </c>
      <c r="D20" s="14" t="s">
        <v>44</v>
      </c>
      <c r="E20" s="14" t="s">
        <v>45</v>
      </c>
      <c r="F20" s="14" t="s">
        <v>46</v>
      </c>
      <c r="G20" s="14" t="s">
        <v>47</v>
      </c>
      <c r="H20" s="15" t="s">
        <v>48</v>
      </c>
    </row>
    <row r="21" spans="1:8" x14ac:dyDescent="0.2">
      <c r="A21" s="45" t="s">
        <v>19</v>
      </c>
      <c r="B21" s="8"/>
      <c r="D21" s="16"/>
      <c r="E21" s="16"/>
      <c r="F21" s="17"/>
      <c r="G21" s="17"/>
      <c r="H21" s="18"/>
    </row>
    <row r="22" spans="1:8" x14ac:dyDescent="0.2">
      <c r="A22" s="45"/>
      <c r="B22" s="8"/>
      <c r="D22" s="16"/>
      <c r="E22" s="16"/>
      <c r="F22" s="17"/>
      <c r="G22" s="17"/>
      <c r="H22" s="18"/>
    </row>
    <row r="23" spans="1:8" ht="13.5" thickBot="1" x14ac:dyDescent="0.25">
      <c r="A23" s="44"/>
      <c r="B23" s="85" t="s">
        <v>43</v>
      </c>
      <c r="C23" s="86"/>
      <c r="D23" s="19">
        <f>SUM(D20:D21)</f>
        <v>0</v>
      </c>
      <c r="E23" s="19">
        <f>SUM(E20:E21)</f>
        <v>0</v>
      </c>
      <c r="F23" s="19">
        <f>SUM(F20:F21)</f>
        <v>0</v>
      </c>
      <c r="G23" s="19">
        <f>SUM(G20:G21)</f>
        <v>0</v>
      </c>
      <c r="H23" s="20">
        <f>SUM(H20:H21)</f>
        <v>0</v>
      </c>
    </row>
    <row r="24" spans="1:8" x14ac:dyDescent="0.2">
      <c r="B24" s="5"/>
      <c r="F24"/>
      <c r="G24"/>
      <c r="H24"/>
    </row>
    <row r="25" spans="1:8" x14ac:dyDescent="0.2">
      <c r="B25" s="5" t="s">
        <v>49</v>
      </c>
      <c r="F25"/>
      <c r="G25"/>
      <c r="H25"/>
    </row>
    <row r="26" spans="1:8" x14ac:dyDescent="0.2">
      <c r="B26" s="5"/>
      <c r="F26"/>
      <c r="G26"/>
      <c r="H26"/>
    </row>
    <row r="27" spans="1:8" x14ac:dyDescent="0.2">
      <c r="B27" s="5"/>
      <c r="F27"/>
      <c r="G27"/>
      <c r="H27"/>
    </row>
    <row r="28" spans="1:8" x14ac:dyDescent="0.2">
      <c r="B28" s="5"/>
      <c r="F28"/>
      <c r="G28"/>
      <c r="H28"/>
    </row>
    <row r="29" spans="1:8" x14ac:dyDescent="0.2">
      <c r="B29" s="5"/>
      <c r="F29"/>
      <c r="G29"/>
      <c r="H29"/>
    </row>
    <row r="30" spans="1:8" x14ac:dyDescent="0.2">
      <c r="B30" s="5"/>
      <c r="F30"/>
      <c r="G30"/>
      <c r="H30"/>
    </row>
    <row r="31" spans="1:8" x14ac:dyDescent="0.2">
      <c r="B31" s="5"/>
      <c r="F31"/>
      <c r="G31"/>
      <c r="H31"/>
    </row>
    <row r="32" spans="1:8" x14ac:dyDescent="0.2">
      <c r="B32" s="5"/>
      <c r="F32"/>
      <c r="G32"/>
      <c r="H32"/>
    </row>
    <row r="33" spans="2:8" x14ac:dyDescent="0.2">
      <c r="B33" s="5"/>
      <c r="F33"/>
      <c r="G33"/>
      <c r="H33"/>
    </row>
    <row r="34" spans="2:8" x14ac:dyDescent="0.2">
      <c r="B34" s="5"/>
      <c r="F34"/>
      <c r="G34"/>
      <c r="H34"/>
    </row>
    <row r="35" spans="2:8" x14ac:dyDescent="0.2">
      <c r="B35" s="5"/>
      <c r="F35"/>
      <c r="G35"/>
      <c r="H35"/>
    </row>
    <row r="36" spans="2:8" x14ac:dyDescent="0.2">
      <c r="B36" s="5"/>
      <c r="F36"/>
      <c r="G36"/>
      <c r="H36"/>
    </row>
    <row r="37" spans="2:8" x14ac:dyDescent="0.2">
      <c r="B37" s="5"/>
      <c r="F37"/>
      <c r="G37"/>
      <c r="H37"/>
    </row>
    <row r="38" spans="2:8" x14ac:dyDescent="0.2">
      <c r="B38" s="5"/>
      <c r="F38"/>
      <c r="G38"/>
      <c r="H38"/>
    </row>
    <row r="39" spans="2:8" x14ac:dyDescent="0.2">
      <c r="B39" s="5"/>
      <c r="F39"/>
      <c r="G39"/>
      <c r="H39"/>
    </row>
    <row r="40" spans="2:8" x14ac:dyDescent="0.2">
      <c r="B40" s="5"/>
      <c r="F40"/>
      <c r="G40"/>
      <c r="H40"/>
    </row>
    <row r="41" spans="2:8" x14ac:dyDescent="0.2">
      <c r="B41" s="5"/>
      <c r="F41"/>
      <c r="G41"/>
      <c r="H41"/>
    </row>
    <row r="42" spans="2:8" x14ac:dyDescent="0.2">
      <c r="B42" s="5"/>
      <c r="F42"/>
      <c r="G42"/>
      <c r="H42"/>
    </row>
    <row r="43" spans="2:8" x14ac:dyDescent="0.2">
      <c r="B43" s="5"/>
      <c r="F43"/>
      <c r="G43"/>
      <c r="H43"/>
    </row>
    <row r="44" spans="2:8" x14ac:dyDescent="0.2">
      <c r="B44" s="5"/>
      <c r="F44"/>
      <c r="G44"/>
      <c r="H44"/>
    </row>
    <row r="45" spans="2:8" x14ac:dyDescent="0.2">
      <c r="B45" s="5"/>
      <c r="F45"/>
      <c r="G45"/>
      <c r="H45"/>
    </row>
    <row r="46" spans="2:8" x14ac:dyDescent="0.2">
      <c r="B46" s="5"/>
      <c r="F46"/>
      <c r="G46"/>
      <c r="H46"/>
    </row>
    <row r="47" spans="2:8" x14ac:dyDescent="0.2">
      <c r="B47" s="5"/>
      <c r="F47"/>
      <c r="G47"/>
      <c r="H47"/>
    </row>
    <row r="48" spans="2:8" x14ac:dyDescent="0.2">
      <c r="B48" s="5"/>
      <c r="F48"/>
      <c r="G48"/>
      <c r="H48"/>
    </row>
    <row r="49" spans="2:8" x14ac:dyDescent="0.2">
      <c r="B49" s="5"/>
      <c r="F49"/>
      <c r="G49"/>
      <c r="H49"/>
    </row>
    <row r="50" spans="2:8" x14ac:dyDescent="0.2">
      <c r="B50" s="5"/>
      <c r="F50"/>
      <c r="G50"/>
      <c r="H50"/>
    </row>
    <row r="51" spans="2:8" x14ac:dyDescent="0.2">
      <c r="B51" s="5"/>
      <c r="F51"/>
      <c r="G51"/>
      <c r="H51"/>
    </row>
    <row r="52" spans="2:8" x14ac:dyDescent="0.2">
      <c r="B52" s="5"/>
      <c r="F52"/>
      <c r="G52"/>
      <c r="H52"/>
    </row>
    <row r="53" spans="2:8" x14ac:dyDescent="0.2">
      <c r="B53" s="5"/>
      <c r="F53"/>
      <c r="G53"/>
      <c r="H53"/>
    </row>
    <row r="54" spans="2:8" x14ac:dyDescent="0.2">
      <c r="B54" s="5"/>
      <c r="F54"/>
      <c r="G54"/>
      <c r="H54"/>
    </row>
    <row r="55" spans="2:8" x14ac:dyDescent="0.2">
      <c r="B55" s="5"/>
      <c r="F55"/>
      <c r="G55"/>
      <c r="H55"/>
    </row>
    <row r="56" spans="2:8" x14ac:dyDescent="0.2">
      <c r="B56" s="5"/>
      <c r="F56"/>
      <c r="G56"/>
      <c r="H56"/>
    </row>
    <row r="57" spans="2:8" x14ac:dyDescent="0.2">
      <c r="B57" s="5"/>
      <c r="F57"/>
      <c r="G57"/>
      <c r="H57"/>
    </row>
    <row r="58" spans="2:8" x14ac:dyDescent="0.2">
      <c r="B58" s="5"/>
      <c r="F58"/>
      <c r="G58"/>
      <c r="H58"/>
    </row>
    <row r="59" spans="2:8" x14ac:dyDescent="0.2">
      <c r="B59" s="5"/>
      <c r="F59"/>
      <c r="G59"/>
      <c r="H59"/>
    </row>
    <row r="60" spans="2:8" x14ac:dyDescent="0.2">
      <c r="B60" s="5"/>
      <c r="F60"/>
      <c r="G60"/>
      <c r="H60"/>
    </row>
    <row r="61" spans="2:8" x14ac:dyDescent="0.2">
      <c r="B61" s="5"/>
      <c r="F61"/>
      <c r="G61"/>
      <c r="H61"/>
    </row>
    <row r="62" spans="2:8" x14ac:dyDescent="0.2">
      <c r="B62" s="5"/>
      <c r="F62"/>
      <c r="G62"/>
      <c r="H62"/>
    </row>
    <row r="63" spans="2:8" x14ac:dyDescent="0.2">
      <c r="B63" s="5"/>
      <c r="F63"/>
      <c r="G63"/>
      <c r="H63"/>
    </row>
    <row r="64" spans="2:8" x14ac:dyDescent="0.2">
      <c r="B64" s="5"/>
      <c r="F64"/>
      <c r="G64"/>
      <c r="H64"/>
    </row>
    <row r="65" spans="1:8" x14ac:dyDescent="0.2">
      <c r="B65" s="5"/>
      <c r="F65"/>
      <c r="G65"/>
      <c r="H65"/>
    </row>
    <row r="66" spans="1:8" x14ac:dyDescent="0.2">
      <c r="B66" s="5"/>
      <c r="F66"/>
      <c r="G66"/>
      <c r="H66"/>
    </row>
    <row r="67" spans="1:8" x14ac:dyDescent="0.2">
      <c r="B67" s="5"/>
      <c r="F67"/>
      <c r="G67"/>
      <c r="H67"/>
    </row>
    <row r="68" spans="1:8" x14ac:dyDescent="0.2">
      <c r="B68" s="5"/>
      <c r="F68"/>
      <c r="G68"/>
      <c r="H68"/>
    </row>
    <row r="69" spans="1:8" x14ac:dyDescent="0.2">
      <c r="B69" s="5"/>
      <c r="F69"/>
      <c r="G69"/>
      <c r="H69"/>
    </row>
    <row r="70" spans="1:8" x14ac:dyDescent="0.2">
      <c r="B70" s="5"/>
      <c r="F70"/>
      <c r="G70"/>
      <c r="H70"/>
    </row>
    <row r="71" spans="1:8" x14ac:dyDescent="0.2">
      <c r="B71" s="5"/>
      <c r="F71"/>
      <c r="G71"/>
      <c r="H71"/>
    </row>
    <row r="72" spans="1:8" x14ac:dyDescent="0.2">
      <c r="B72" s="5"/>
      <c r="F72"/>
      <c r="G72"/>
      <c r="H72"/>
    </row>
    <row r="73" spans="1:8" x14ac:dyDescent="0.2">
      <c r="A73" s="39" t="s">
        <v>23</v>
      </c>
      <c r="F73"/>
      <c r="G73"/>
      <c r="H73"/>
    </row>
    <row r="74" spans="1:8" x14ac:dyDescent="0.2">
      <c r="F74"/>
      <c r="G74"/>
      <c r="H74"/>
    </row>
    <row r="75" spans="1:8" x14ac:dyDescent="0.2">
      <c r="F75"/>
      <c r="G75"/>
      <c r="H75"/>
    </row>
  </sheetData>
  <mergeCells count="4">
    <mergeCell ref="B23:C23"/>
    <mergeCell ref="B11:H11"/>
    <mergeCell ref="B12:H12"/>
    <mergeCell ref="B10:H10"/>
  </mergeCells>
  <phoneticPr fontId="1" type="noConversion"/>
  <printOptions horizontalCentered="1"/>
  <pageMargins left="0.39370078740157499" right="0.39370078740157499" top="0.39370078740157499" bottom="0.39370078740157499" header="0.511811023622047" footer="0.31496062992126"/>
  <pageSetup scale="72" fitToHeight="0" orientation="landscape" r:id="rId1"/>
  <headerFooter alignWithMargins="0">
    <oddHeader>&amp;R&amp;8&amp;P / &amp;N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K95"/>
  <sheetViews>
    <sheetView zoomScaleNormal="100" workbookViewId="0">
      <selection activeCell="A7" sqref="A7:XFD7"/>
    </sheetView>
  </sheetViews>
  <sheetFormatPr defaultRowHeight="12.75" x14ac:dyDescent="0.2"/>
  <cols>
    <col min="1" max="1" width="16.5703125" style="41" customWidth="1"/>
    <col min="2" max="2" width="21" style="3" customWidth="1"/>
    <col min="3" max="3" width="19" style="3" customWidth="1"/>
    <col min="4" max="4" width="21.140625" style="3" customWidth="1"/>
    <col min="5" max="7" width="20" style="3" customWidth="1"/>
    <col min="8" max="8" width="17" style="3" customWidth="1"/>
    <col min="9" max="9" width="17" style="3" bestFit="1" customWidth="1"/>
    <col min="10" max="10" width="10" customWidth="1"/>
    <col min="11" max="11" width="10.5703125" customWidth="1"/>
    <col min="12" max="12" width="7.42578125" customWidth="1"/>
    <col min="13" max="21" width="9.140625" customWidth="1"/>
  </cols>
  <sheetData>
    <row r="1" spans="1:11" x14ac:dyDescent="0.2">
      <c r="A1" s="38" t="s">
        <v>13</v>
      </c>
    </row>
    <row r="2" spans="1:11" x14ac:dyDescent="0.2">
      <c r="A2" s="38" t="s">
        <v>18</v>
      </c>
    </row>
    <row r="3" spans="1:11" x14ac:dyDescent="0.2">
      <c r="A3" s="38" t="s">
        <v>15</v>
      </c>
    </row>
    <row r="4" spans="1:11" ht="12.75" customHeight="1" x14ac:dyDescent="0.2">
      <c r="A4" s="38" t="s">
        <v>28</v>
      </c>
    </row>
    <row r="5" spans="1:11" ht="10.5" customHeight="1" x14ac:dyDescent="0.2">
      <c r="A5" s="79" t="s">
        <v>121</v>
      </c>
      <c r="B5" s="7"/>
      <c r="C5" s="7"/>
      <c r="D5" s="4"/>
      <c r="E5" s="4"/>
      <c r="F5" s="4"/>
      <c r="G5" s="4"/>
      <c r="H5" s="4"/>
      <c r="I5" s="4"/>
    </row>
    <row r="6" spans="1:11" ht="10.5" customHeight="1" x14ac:dyDescent="0.2">
      <c r="A6" s="40" t="s">
        <v>64</v>
      </c>
      <c r="B6" s="7"/>
      <c r="C6" s="7"/>
      <c r="D6" s="4"/>
      <c r="E6" s="4"/>
      <c r="F6" s="4"/>
      <c r="G6" s="4"/>
      <c r="H6" s="4"/>
      <c r="I6" s="49"/>
      <c r="J6" s="2"/>
      <c r="K6" s="2"/>
    </row>
    <row r="7" spans="1:11" ht="12.75" customHeight="1" x14ac:dyDescent="0.2">
      <c r="A7" s="39" t="s">
        <v>16</v>
      </c>
    </row>
    <row r="8" spans="1:11" ht="20.25" x14ac:dyDescent="0.3">
      <c r="B8" s="82" t="s">
        <v>17</v>
      </c>
      <c r="C8" s="82"/>
      <c r="D8" s="82"/>
      <c r="E8" s="82"/>
      <c r="F8" s="82"/>
      <c r="G8" s="82"/>
      <c r="H8" s="82"/>
      <c r="I8" s="57"/>
    </row>
    <row r="9" spans="1:11" ht="18" x14ac:dyDescent="0.25">
      <c r="A9" s="42"/>
      <c r="B9" s="81" t="s">
        <v>91</v>
      </c>
      <c r="C9" s="81"/>
      <c r="D9" s="81"/>
      <c r="E9" s="81"/>
      <c r="F9" s="81"/>
      <c r="G9" s="81"/>
      <c r="H9" s="81"/>
      <c r="I9" s="58"/>
    </row>
    <row r="10" spans="1:11" ht="11.25" customHeight="1" x14ac:dyDescent="0.2">
      <c r="A10" s="43" t="s">
        <v>72</v>
      </c>
      <c r="B10" s="83" t="str">
        <f>IF("&lt;Quote Start Date.ToDate&gt;&lt;Quote Start Date.FromDate&gt;"="", "","Quote Start Date:&lt;Quote Start Date&gt; ,  ") &amp;IF("&lt;Quote Expiry Date.ToDate&gt;&lt;Quote Expiry Date.FromDate&gt;"="", "","Expiry Date Range:&lt;Quote Expiry Date&gt;")&amp;IF("&lt;Quote Status&gt;"="", "","Quote Status:&lt;Quote Status&gt; ,  ") &amp;IF("&lt;Sales Rep&gt;"="", "","Sales Rep:&lt;Sales Rep.Code&gt; ,  ") &amp;IF("&lt;Quotes Created by&gt;"="", "","Quotes Created by:&lt;Quotes Created by&gt;,  ") &amp;IF("&lt;Issue Date.FromDate&gt;&lt;Issue Date.ToDate&gt;"="", "","Issue Date Range:&lt;Issue Date&gt;")</f>
        <v>Quote Start Date:&lt;Quote Start Date&gt; ,  Expiry Date Range:&lt;Quote Expiry Date&gt;Quote Status:&lt;Quote Status&gt; ,  Sales Rep:&lt;Sales Rep.Code&gt; ,  Quotes Created by:&lt;Quotes Created by&gt;,  Issue Date Range:&lt;Issue Date&gt;</v>
      </c>
      <c r="C10" s="83"/>
      <c r="D10" s="83"/>
      <c r="E10" s="83"/>
      <c r="F10" s="83"/>
      <c r="G10" s="83"/>
      <c r="H10" s="83"/>
      <c r="I10"/>
      <c r="J10" s="2"/>
    </row>
    <row r="11" spans="1:11" ht="11.25" customHeight="1" x14ac:dyDescent="0.2">
      <c r="A11" s="43" t="s">
        <v>115</v>
      </c>
      <c r="B11" s="84" t="s">
        <v>114</v>
      </c>
      <c r="C11" s="83"/>
      <c r="D11" s="83"/>
      <c r="E11" s="83"/>
      <c r="F11" s="83"/>
      <c r="G11" s="83"/>
      <c r="H11" s="83"/>
      <c r="I11"/>
      <c r="J11" s="2"/>
    </row>
    <row r="12" spans="1:11" ht="11.25" customHeight="1" x14ac:dyDescent="0.2">
      <c r="A12" s="43" t="s">
        <v>113</v>
      </c>
      <c r="B12" s="84" t="s">
        <v>112</v>
      </c>
      <c r="C12" s="83"/>
      <c r="D12" s="83"/>
      <c r="E12" s="83"/>
      <c r="F12" s="83"/>
      <c r="G12" s="83"/>
      <c r="H12" s="83"/>
      <c r="I12"/>
      <c r="J12" s="2"/>
    </row>
    <row r="13" spans="1:11" ht="11.25" customHeight="1" x14ac:dyDescent="0.2">
      <c r="A13" s="44"/>
      <c r="B13" s="2" t="str">
        <f>"Printed by &lt;Login Full Name&gt;  &lt;DateTimeAsString('&lt;Now&gt;','dd-MMM-yy hh:mm tt')&gt;"</f>
        <v>Printed by &lt;Login Full Name&gt;  &lt;DateTimeAsString('&lt;Now&gt;','dd-MMM-yy hh:mm tt')&gt;</v>
      </c>
      <c r="C13" s="30"/>
      <c r="D13"/>
      <c r="E13" s="2"/>
      <c r="F13" s="2"/>
      <c r="G13" s="2"/>
      <c r="H13" s="29"/>
      <c r="I13"/>
    </row>
    <row r="14" spans="1:11" ht="11.25" customHeight="1" x14ac:dyDescent="0.2">
      <c r="A14" s="39" t="s">
        <v>41</v>
      </c>
      <c r="B14" s="2"/>
      <c r="C14" s="30"/>
      <c r="D14"/>
      <c r="E14" s="2"/>
      <c r="F14" s="2"/>
      <c r="G14" s="2"/>
      <c r="H14" s="29"/>
      <c r="I14"/>
    </row>
    <row r="15" spans="1:11" ht="15.75" customHeight="1" thickBot="1" x14ac:dyDescent="0.25">
      <c r="A15" s="39"/>
      <c r="B15" s="2"/>
      <c r="C15" s="30"/>
      <c r="D15"/>
      <c r="E15" s="2"/>
      <c r="F15" s="2"/>
      <c r="G15" s="2"/>
      <c r="H15" s="29"/>
      <c r="I15"/>
    </row>
    <row r="16" spans="1:11" ht="15.75" x14ac:dyDescent="0.25">
      <c r="B16" s="90" t="s">
        <v>90</v>
      </c>
      <c r="C16" s="91"/>
      <c r="D16" s="91"/>
      <c r="E16" s="91"/>
      <c r="F16" s="91"/>
      <c r="G16" s="91"/>
      <c r="H16" s="92"/>
      <c r="I16"/>
    </row>
    <row r="17" spans="1:9" ht="15.75" customHeight="1" x14ac:dyDescent="0.2">
      <c r="B17" s="89" t="s">
        <v>79</v>
      </c>
      <c r="C17" s="87"/>
      <c r="D17" s="87" t="s">
        <v>80</v>
      </c>
      <c r="E17" s="87"/>
      <c r="F17" s="87" t="s">
        <v>88</v>
      </c>
      <c r="G17" s="87" t="s">
        <v>89</v>
      </c>
      <c r="H17" s="88" t="s">
        <v>43</v>
      </c>
      <c r="I17"/>
    </row>
    <row r="18" spans="1:9" ht="15.75" customHeight="1" thickBot="1" x14ac:dyDescent="0.25">
      <c r="B18" s="52" t="s">
        <v>81</v>
      </c>
      <c r="C18" s="53" t="s">
        <v>82</v>
      </c>
      <c r="D18" s="53" t="s">
        <v>81</v>
      </c>
      <c r="E18" s="53" t="s">
        <v>82</v>
      </c>
      <c r="F18" s="87"/>
      <c r="G18" s="87"/>
      <c r="H18" s="88"/>
      <c r="I18"/>
    </row>
    <row r="19" spans="1:9" s="3" customFormat="1" ht="15.75" customHeight="1" thickBot="1" x14ac:dyDescent="0.25">
      <c r="A19" s="44"/>
      <c r="B19" s="54" t="s">
        <v>83</v>
      </c>
      <c r="C19" s="55" t="s">
        <v>84</v>
      </c>
      <c r="D19" s="55" t="s">
        <v>85</v>
      </c>
      <c r="E19" s="55" t="s">
        <v>86</v>
      </c>
      <c r="F19" s="55" t="e">
        <f>B19+D19</f>
        <v>#VALUE!</v>
      </c>
      <c r="G19" s="55" t="e">
        <f>C19+E19</f>
        <v>#VALUE!</v>
      </c>
      <c r="H19" s="56">
        <f>SUM(B19:E19)</f>
        <v>0</v>
      </c>
    </row>
    <row r="20" spans="1:9" x14ac:dyDescent="0.2">
      <c r="A20" s="39"/>
      <c r="H20"/>
      <c r="I20"/>
    </row>
    <row r="21" spans="1:9" x14ac:dyDescent="0.2">
      <c r="A21" s="39"/>
      <c r="H21"/>
      <c r="I21"/>
    </row>
    <row r="22" spans="1:9" x14ac:dyDescent="0.2">
      <c r="A22" s="39"/>
      <c r="H22"/>
      <c r="I22"/>
    </row>
    <row r="23" spans="1:9" x14ac:dyDescent="0.2">
      <c r="A23" s="39"/>
      <c r="H23"/>
      <c r="I23"/>
    </row>
    <row r="24" spans="1:9" x14ac:dyDescent="0.2">
      <c r="H24"/>
    </row>
    <row r="25" spans="1:9" x14ac:dyDescent="0.2">
      <c r="H25"/>
    </row>
    <row r="26" spans="1:9" x14ac:dyDescent="0.2">
      <c r="H26"/>
    </row>
    <row r="95" spans="1:1" x14ac:dyDescent="0.2">
      <c r="A95" s="39" t="s">
        <v>23</v>
      </c>
    </row>
  </sheetData>
  <mergeCells count="11">
    <mergeCell ref="G17:G18"/>
    <mergeCell ref="H17:H18"/>
    <mergeCell ref="B10:H10"/>
    <mergeCell ref="B8:H8"/>
    <mergeCell ref="B9:H9"/>
    <mergeCell ref="B12:H12"/>
    <mergeCell ref="B11:H11"/>
    <mergeCell ref="D17:E17"/>
    <mergeCell ref="B17:C17"/>
    <mergeCell ref="B16:H16"/>
    <mergeCell ref="F17:F18"/>
  </mergeCells>
  <pageMargins left="0.7" right="0.70874999999999999" top="0.75" bottom="0.75" header="0.3" footer="0.3"/>
  <pageSetup paperSize="9" scale="57" fitToHeight="0" orientation="portrait" horizontalDpi="300" verticalDpi="300" r:id="rId1"/>
  <headerFooter>
    <oddHeader>&amp;R&amp;P / &amp;N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P93"/>
  <sheetViews>
    <sheetView zoomScaleNormal="100" workbookViewId="0">
      <selection activeCell="A7" sqref="A7:XFD7"/>
    </sheetView>
  </sheetViews>
  <sheetFormatPr defaultRowHeight="12.75" x14ac:dyDescent="0.2"/>
  <cols>
    <col min="1" max="1" width="18.5703125" style="41" customWidth="1"/>
    <col min="2" max="2" width="1.140625" style="41" customWidth="1"/>
    <col min="3" max="3" width="10.28515625" style="3" customWidth="1"/>
    <col min="4" max="4" width="27.140625" style="3" customWidth="1"/>
    <col min="5" max="5" width="19" style="3" customWidth="1"/>
    <col min="6" max="7" width="21.140625" style="3" customWidth="1"/>
    <col min="8" max="8" width="19.28515625" style="3" customWidth="1"/>
    <col min="9" max="9" width="18" style="3" customWidth="1"/>
    <col min="10" max="10" width="1.140625" style="3" customWidth="1"/>
    <col min="11" max="11" width="17" style="3" bestFit="1" customWidth="1"/>
    <col min="12" max="12" width="10" customWidth="1"/>
    <col min="13" max="13" width="10.5703125" customWidth="1"/>
    <col min="14" max="14" width="7.42578125" customWidth="1"/>
    <col min="15" max="23" width="9.140625" customWidth="1"/>
  </cols>
  <sheetData>
    <row r="1" spans="1:16" x14ac:dyDescent="0.2">
      <c r="A1" s="38" t="s">
        <v>13</v>
      </c>
      <c r="B1" s="38"/>
    </row>
    <row r="2" spans="1:16" x14ac:dyDescent="0.2">
      <c r="A2" s="38" t="s">
        <v>18</v>
      </c>
      <c r="B2" s="38"/>
    </row>
    <row r="3" spans="1:16" x14ac:dyDescent="0.2">
      <c r="A3" s="38" t="s">
        <v>15</v>
      </c>
      <c r="B3" s="38"/>
    </row>
    <row r="4" spans="1:16" ht="12.75" customHeight="1" x14ac:dyDescent="0.2">
      <c r="A4" s="38" t="s">
        <v>28</v>
      </c>
      <c r="B4" s="38"/>
    </row>
    <row r="5" spans="1:16" ht="10.5" customHeight="1" x14ac:dyDescent="0.2">
      <c r="A5" s="79" t="s">
        <v>122</v>
      </c>
      <c r="B5" s="39"/>
      <c r="C5" s="7"/>
      <c r="D5" s="7"/>
      <c r="E5" s="7"/>
      <c r="F5" s="4"/>
      <c r="G5" s="4"/>
      <c r="H5" s="4"/>
      <c r="I5" s="4"/>
      <c r="J5" s="4"/>
      <c r="K5" s="4"/>
    </row>
    <row r="6" spans="1:16" ht="10.5" customHeight="1" x14ac:dyDescent="0.2">
      <c r="A6" s="40" t="s">
        <v>64</v>
      </c>
      <c r="B6" s="40"/>
      <c r="C6" s="7"/>
      <c r="D6" s="7"/>
      <c r="E6" s="7"/>
      <c r="F6" s="4"/>
      <c r="G6" s="4"/>
      <c r="H6" s="4"/>
      <c r="I6" s="4"/>
      <c r="J6" s="4"/>
      <c r="K6" s="49"/>
      <c r="L6" s="2"/>
      <c r="M6" s="2"/>
    </row>
    <row r="7" spans="1:16" ht="12.75" customHeight="1" x14ac:dyDescent="0.2">
      <c r="A7" s="39" t="s">
        <v>16</v>
      </c>
      <c r="B7" s="39"/>
    </row>
    <row r="8" spans="1:16" ht="20.25" x14ac:dyDescent="0.3">
      <c r="C8" s="82" t="s">
        <v>17</v>
      </c>
      <c r="D8" s="82"/>
      <c r="E8" s="82"/>
      <c r="F8" s="82"/>
      <c r="G8" s="82"/>
      <c r="H8" s="82"/>
      <c r="I8" s="82"/>
      <c r="J8" s="66"/>
      <c r="K8" s="57"/>
    </row>
    <row r="9" spans="1:16" ht="18" x14ac:dyDescent="0.25">
      <c r="A9" s="42"/>
      <c r="B9" s="42"/>
      <c r="C9" s="81" t="s">
        <v>105</v>
      </c>
      <c r="D9" s="81"/>
      <c r="E9" s="81"/>
      <c r="F9" s="81"/>
      <c r="G9" s="81"/>
      <c r="H9" s="81"/>
      <c r="I9" s="81"/>
      <c r="J9" s="67"/>
      <c r="K9" s="58"/>
    </row>
    <row r="10" spans="1:16" ht="11.25" customHeight="1" x14ac:dyDescent="0.2">
      <c r="A10" s="43" t="s">
        <v>72</v>
      </c>
      <c r="B10" s="83" t="str">
        <f>IF("&lt;Quote Start Date.ToDate&gt;&lt;Quote Start Date.FromDate&gt;"="", "","Quote Start Date:&lt;Quote Start Date&gt; ,  ") &amp;IF("&lt;Quote Expiry Date.ToDate&gt;&lt;Quote Expiry Date.FromDate&gt;"="", "","Expiry Date Range:&lt;Quote Expiry Date&gt;")&amp;IF("&lt;Quote Status&gt;"="", "","Quote Status:&lt;Quote Status&gt; ,  ") &amp;IF("&lt;Sales Rep&gt;"="", "","Sales Rep:&lt;Sales Rep.Code&gt; ,  ") &amp;IF("&lt;Quotes Created by&gt;"="", "","Quotes Created by:&lt;Quotes Created by&gt;,  ") &amp;IF("&lt;Issue Date.FromDate&gt;&lt;Issue Date.ToDate&gt;"="", "","Issue Date Range:&lt;Issue Date&gt;")</f>
        <v>Quote Start Date:&lt;Quote Start Date&gt; ,  Expiry Date Range:&lt;Quote Expiry Date&gt;Quote Status:&lt;Quote Status&gt; ,  Sales Rep:&lt;Sales Rep.Code&gt; ,  Quotes Created by:&lt;Quotes Created by&gt;,  Issue Date Range:&lt;Issue Date&gt;</v>
      </c>
      <c r="C10" s="83"/>
      <c r="D10" s="83"/>
      <c r="E10" s="83"/>
      <c r="F10" s="83"/>
      <c r="G10" s="83"/>
      <c r="H10" s="83"/>
      <c r="I10" s="83"/>
      <c r="J10" s="83"/>
      <c r="K10" s="78"/>
      <c r="L10" s="78"/>
      <c r="M10" s="78"/>
      <c r="N10" s="78"/>
      <c r="O10" s="78"/>
      <c r="P10" s="78"/>
    </row>
    <row r="11" spans="1:16" ht="11.25" customHeight="1" x14ac:dyDescent="0.2">
      <c r="A11" s="43" t="s">
        <v>115</v>
      </c>
      <c r="B11" s="84" t="s">
        <v>114</v>
      </c>
      <c r="C11" s="83"/>
      <c r="D11" s="83"/>
      <c r="E11" s="83"/>
      <c r="F11" s="83"/>
      <c r="G11" s="83"/>
      <c r="H11" s="83"/>
      <c r="I11" s="83"/>
      <c r="J11" s="83"/>
      <c r="K11" s="78"/>
      <c r="L11" s="78"/>
      <c r="M11" s="78"/>
      <c r="N11" s="78"/>
      <c r="O11" s="78"/>
      <c r="P11" s="78"/>
    </row>
    <row r="12" spans="1:16" ht="11.25" customHeight="1" x14ac:dyDescent="0.2">
      <c r="A12" s="43" t="s">
        <v>113</v>
      </c>
      <c r="B12" s="93" t="s">
        <v>112</v>
      </c>
      <c r="C12" s="93"/>
      <c r="D12" s="93"/>
      <c r="E12" s="93"/>
      <c r="F12" s="93"/>
      <c r="G12" s="93"/>
      <c r="H12" s="93"/>
      <c r="I12" s="93"/>
      <c r="J12" s="93"/>
      <c r="K12" s="78"/>
      <c r="L12" s="78"/>
      <c r="M12" s="78"/>
      <c r="N12" s="78"/>
      <c r="O12" s="78"/>
      <c r="P12" s="78"/>
    </row>
    <row r="13" spans="1:16" ht="11.25" customHeight="1" x14ac:dyDescent="0.2">
      <c r="A13" s="44"/>
      <c r="B13" s="44" t="str">
        <f>"Printed by &lt;Login Full Name&gt;  &lt;DateTimeAsString('&lt;Now&gt;','dd-MMM-yy hh:mm tt')&gt;"</f>
        <v>Printed by &lt;Login Full Name&gt;  &lt;DateTimeAsString('&lt;Now&gt;','dd-MMM-yy hh:mm tt')&gt;</v>
      </c>
      <c r="C13" s="2"/>
      <c r="D13" s="2"/>
      <c r="E13" s="30"/>
      <c r="F13"/>
      <c r="G13"/>
      <c r="H13"/>
      <c r="I13"/>
      <c r="J13"/>
      <c r="K13"/>
    </row>
    <row r="14" spans="1:16" ht="15.75" customHeight="1" thickBot="1" x14ac:dyDescent="0.25">
      <c r="A14" s="45" t="s">
        <v>20</v>
      </c>
      <c r="B14" s="45"/>
      <c r="C14" s="2"/>
      <c r="D14" s="2"/>
      <c r="E14" s="30"/>
      <c r="F14"/>
      <c r="G14"/>
      <c r="H14"/>
      <c r="I14"/>
      <c r="J14"/>
      <c r="K14"/>
    </row>
    <row r="15" spans="1:16" ht="16.5" thickBot="1" x14ac:dyDescent="0.3">
      <c r="B15" s="68"/>
      <c r="C15" s="96" t="s">
        <v>103</v>
      </c>
      <c r="D15" s="96"/>
      <c r="E15" s="96"/>
      <c r="F15" s="96"/>
      <c r="G15" s="96"/>
      <c r="H15" s="96"/>
      <c r="I15" s="96"/>
      <c r="J15" s="69"/>
      <c r="K15"/>
    </row>
    <row r="16" spans="1:16" s="3" customFormat="1" ht="15.75" customHeight="1" x14ac:dyDescent="0.2">
      <c r="A16" s="44"/>
      <c r="B16" s="74"/>
      <c r="C16" s="95" t="s">
        <v>104</v>
      </c>
      <c r="D16" s="95"/>
      <c r="E16" s="95"/>
      <c r="F16" s="95"/>
      <c r="G16" s="65"/>
      <c r="H16" s="65"/>
      <c r="I16" s="71" t="s">
        <v>101</v>
      </c>
      <c r="J16" s="61"/>
    </row>
    <row r="17" spans="1:11" x14ac:dyDescent="0.2">
      <c r="A17" s="39" t="s">
        <v>41</v>
      </c>
      <c r="B17" s="75"/>
      <c r="J17" s="60"/>
      <c r="K17"/>
    </row>
    <row r="18" spans="1:11" ht="12.75" customHeight="1" x14ac:dyDescent="0.2">
      <c r="A18" s="39"/>
      <c r="B18" s="75"/>
      <c r="C18" s="73" t="str">
        <f>IF("&lt;SummaryData.QuoteCancellationReason&gt;"="", "NON", "&lt;SummaryData.QuoteCancellationReason&gt;")</f>
        <v>&lt;SummaryData.QuoteCancellationReason&gt;</v>
      </c>
      <c r="D18" s="97" t="str">
        <f>IF("&lt;SummaryData.QuoteCancellationReason&gt;"="", "Not Specified","&lt;CodePairValue(quotecancellationreason, Description, &lt;SummaryData.QuoteCancellationReason&gt;)&gt;")</f>
        <v>&lt;CodePairValue(quotecancellationreason, Description, &lt;SummaryData.QuoteCancellationReason&gt;)&gt;</v>
      </c>
      <c r="E18" s="97"/>
      <c r="F18" s="97"/>
      <c r="G18" s="97"/>
      <c r="H18" s="97"/>
      <c r="I18" s="70" t="s">
        <v>102</v>
      </c>
      <c r="J18" s="62"/>
      <c r="K18"/>
    </row>
    <row r="19" spans="1:11" x14ac:dyDescent="0.2">
      <c r="A19" s="45" t="s">
        <v>19</v>
      </c>
      <c r="B19" s="76"/>
      <c r="J19" s="60"/>
      <c r="K19"/>
    </row>
    <row r="20" spans="1:11" x14ac:dyDescent="0.2">
      <c r="A20" s="45"/>
      <c r="B20" s="76"/>
      <c r="J20" s="60"/>
      <c r="K20"/>
    </row>
    <row r="21" spans="1:11" ht="13.5" thickBot="1" x14ac:dyDescent="0.25">
      <c r="A21" s="39"/>
      <c r="B21" s="77"/>
      <c r="C21" s="94" t="s">
        <v>43</v>
      </c>
      <c r="D21" s="94"/>
      <c r="E21" s="94"/>
      <c r="F21" s="94"/>
      <c r="G21" s="64"/>
      <c r="H21" s="64"/>
      <c r="I21" s="72">
        <f>SUM(I18:I20)</f>
        <v>0</v>
      </c>
      <c r="J21" s="63"/>
      <c r="K21"/>
    </row>
    <row r="49" spans="1:2" x14ac:dyDescent="0.2">
      <c r="A49" s="39" t="s">
        <v>23</v>
      </c>
      <c r="B49" s="39"/>
    </row>
    <row r="93" spans="12:13" s="3" customFormat="1" x14ac:dyDescent="0.2">
      <c r="L93"/>
      <c r="M93"/>
    </row>
  </sheetData>
  <mergeCells count="9">
    <mergeCell ref="B11:J11"/>
    <mergeCell ref="B12:J12"/>
    <mergeCell ref="C8:I8"/>
    <mergeCell ref="C9:I9"/>
    <mergeCell ref="C21:F21"/>
    <mergeCell ref="C16:F16"/>
    <mergeCell ref="C15:I15"/>
    <mergeCell ref="D18:H18"/>
    <mergeCell ref="B10:J10"/>
  </mergeCells>
  <pageMargins left="0.7" right="0.70874999999999999" top="0.75" bottom="0.75" header="0.3" footer="0.3"/>
  <pageSetup paperSize="9" scale="77" fitToHeight="0" orientation="landscape" horizontalDpi="300" verticalDpi="300" r:id="rId1"/>
  <headerFooter>
    <oddHeader>&amp;R&amp;P / &amp;N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6"/>
  <sheetViews>
    <sheetView workbookViewId="0">
      <selection activeCell="O23" sqref="O23"/>
    </sheetView>
  </sheetViews>
  <sheetFormatPr defaultRowHeight="12.75" x14ac:dyDescent="0.2"/>
  <cols>
    <col min="1" max="1" width="26.7109375" customWidth="1"/>
    <col min="2" max="2" width="13" customWidth="1"/>
    <col min="3" max="3" width="40.42578125" bestFit="1" customWidth="1"/>
    <col min="4" max="4" width="15.85546875" customWidth="1"/>
  </cols>
  <sheetData>
    <row r="1" spans="1:4" x14ac:dyDescent="0.2">
      <c r="A1" s="3" t="s">
        <v>57</v>
      </c>
      <c r="B1" t="s">
        <v>21</v>
      </c>
      <c r="C1" t="s">
        <v>53</v>
      </c>
    </row>
    <row r="2" spans="1:4" x14ac:dyDescent="0.2">
      <c r="B2" t="s">
        <v>24</v>
      </c>
      <c r="C2" s="3" t="s">
        <v>108</v>
      </c>
    </row>
    <row r="3" spans="1:4" x14ac:dyDescent="0.2">
      <c r="B3" t="s">
        <v>109</v>
      </c>
      <c r="C3" s="3"/>
    </row>
    <row r="4" spans="1:4" x14ac:dyDescent="0.2">
      <c r="A4" t="s">
        <v>59</v>
      </c>
      <c r="B4" t="s">
        <v>21</v>
      </c>
      <c r="C4" t="s">
        <v>65</v>
      </c>
    </row>
    <row r="5" spans="1:4" x14ac:dyDescent="0.2">
      <c r="B5" t="s">
        <v>24</v>
      </c>
      <c r="C5" t="s">
        <v>31</v>
      </c>
    </row>
    <row r="6" spans="1:4" x14ac:dyDescent="0.2">
      <c r="B6" t="s">
        <v>66</v>
      </c>
      <c r="C6" t="s">
        <v>32</v>
      </c>
      <c r="D6" t="s">
        <v>32</v>
      </c>
    </row>
    <row r="7" spans="1:4" x14ac:dyDescent="0.2">
      <c r="C7" t="s">
        <v>33</v>
      </c>
      <c r="D7" t="s">
        <v>33</v>
      </c>
    </row>
    <row r="8" spans="1:4" x14ac:dyDescent="0.2">
      <c r="C8" s="3" t="s">
        <v>100</v>
      </c>
      <c r="D8" s="3" t="s">
        <v>100</v>
      </c>
    </row>
    <row r="9" spans="1:4" x14ac:dyDescent="0.2">
      <c r="C9" t="s">
        <v>34</v>
      </c>
      <c r="D9" t="s">
        <v>34</v>
      </c>
    </row>
    <row r="10" spans="1:4" x14ac:dyDescent="0.2">
      <c r="A10" t="s">
        <v>74</v>
      </c>
      <c r="B10" t="s">
        <v>21</v>
      </c>
      <c r="C10" t="s">
        <v>73</v>
      </c>
    </row>
    <row r="11" spans="1:4" x14ac:dyDescent="0.2">
      <c r="B11" t="s">
        <v>24</v>
      </c>
      <c r="C11" t="s">
        <v>75</v>
      </c>
    </row>
    <row r="12" spans="1:4" x14ac:dyDescent="0.2">
      <c r="A12" s="3" t="s">
        <v>69</v>
      </c>
      <c r="B12" t="s">
        <v>21</v>
      </c>
      <c r="C12" t="s">
        <v>53</v>
      </c>
    </row>
    <row r="13" spans="1:4" x14ac:dyDescent="0.2">
      <c r="B13" t="s">
        <v>24</v>
      </c>
      <c r="C13" t="s">
        <v>52</v>
      </c>
    </row>
    <row r="14" spans="1:4" x14ac:dyDescent="0.2">
      <c r="A14" t="s">
        <v>70</v>
      </c>
      <c r="B14" t="s">
        <v>21</v>
      </c>
      <c r="C14" t="s">
        <v>53</v>
      </c>
    </row>
    <row r="15" spans="1:4" x14ac:dyDescent="0.2">
      <c r="B15" t="s">
        <v>24</v>
      </c>
      <c r="C15" t="s">
        <v>68</v>
      </c>
    </row>
    <row r="16" spans="1:4" x14ac:dyDescent="0.2">
      <c r="A16" t="s">
        <v>25</v>
      </c>
      <c r="B16" t="s">
        <v>21</v>
      </c>
      <c r="C16" s="3" t="s">
        <v>99</v>
      </c>
    </row>
    <row r="17" spans="1:3" x14ac:dyDescent="0.2">
      <c r="B17" t="s">
        <v>24</v>
      </c>
      <c r="C17" t="s">
        <v>98</v>
      </c>
    </row>
    <row r="18" spans="1:3" x14ac:dyDescent="0.2">
      <c r="A18" t="s">
        <v>60</v>
      </c>
      <c r="B18" t="s">
        <v>21</v>
      </c>
      <c r="C18" t="s">
        <v>63</v>
      </c>
    </row>
    <row r="19" spans="1:3" x14ac:dyDescent="0.2">
      <c r="B19" t="s">
        <v>24</v>
      </c>
      <c r="C19" t="s">
        <v>67</v>
      </c>
    </row>
    <row r="20" spans="1:3" x14ac:dyDescent="0.2">
      <c r="A20" t="s">
        <v>110</v>
      </c>
      <c r="B20" t="s">
        <v>21</v>
      </c>
      <c r="C20" t="s">
        <v>61</v>
      </c>
    </row>
    <row r="21" spans="1:3" x14ac:dyDescent="0.2">
      <c r="B21" t="s">
        <v>123</v>
      </c>
    </row>
    <row r="22" spans="1:3" x14ac:dyDescent="0.2">
      <c r="B22" t="s">
        <v>24</v>
      </c>
      <c r="C22" t="s">
        <v>36</v>
      </c>
    </row>
    <row r="23" spans="1:3" x14ac:dyDescent="0.2">
      <c r="A23" t="s">
        <v>111</v>
      </c>
      <c r="B23" t="s">
        <v>21</v>
      </c>
      <c r="C23" t="s">
        <v>62</v>
      </c>
    </row>
    <row r="24" spans="1:3" x14ac:dyDescent="0.2">
      <c r="B24" t="s">
        <v>24</v>
      </c>
      <c r="C24" t="s">
        <v>37</v>
      </c>
    </row>
    <row r="26" spans="1:3" x14ac:dyDescent="0.2">
      <c r="A26" t="s">
        <v>22</v>
      </c>
    </row>
  </sheetData>
  <phoneticPr fontId="1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"/>
  <sheetViews>
    <sheetView workbookViewId="0">
      <selection activeCell="D8" sqref="D8"/>
    </sheetView>
  </sheetViews>
  <sheetFormatPr defaultRowHeight="12.75" x14ac:dyDescent="0.2"/>
  <cols>
    <col min="1" max="1" width="13.140625" bestFit="1" customWidth="1"/>
  </cols>
  <sheetData>
    <row r="1" spans="1:2" x14ac:dyDescent="0.2">
      <c r="A1" t="s">
        <v>30</v>
      </c>
      <c r="B1" t="s">
        <v>31</v>
      </c>
    </row>
    <row r="2" spans="1:2" x14ac:dyDescent="0.2">
      <c r="A2" t="s">
        <v>96</v>
      </c>
      <c r="B2" t="s">
        <v>97</v>
      </c>
    </row>
    <row r="3" spans="1:2" x14ac:dyDescent="0.2">
      <c r="A3" t="s">
        <v>22</v>
      </c>
    </row>
  </sheetData>
  <phoneticPr fontId="1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7"/>
  <sheetViews>
    <sheetView tabSelected="1" workbookViewId="0">
      <selection activeCell="A4" sqref="A4"/>
    </sheetView>
  </sheetViews>
  <sheetFormatPr defaultRowHeight="12.75" x14ac:dyDescent="0.2"/>
  <sheetData>
    <row r="1" spans="1:1" x14ac:dyDescent="0.2">
      <c r="A1" t="s">
        <v>54</v>
      </c>
    </row>
    <row r="2" spans="1:1" x14ac:dyDescent="0.2">
      <c r="A2" t="s">
        <v>117</v>
      </c>
    </row>
    <row r="3" spans="1:1" x14ac:dyDescent="0.2">
      <c r="A3" t="s">
        <v>95</v>
      </c>
    </row>
    <row r="4" spans="1:1" x14ac:dyDescent="0.2">
      <c r="A4" t="s">
        <v>118</v>
      </c>
    </row>
    <row r="5" spans="1:1" x14ac:dyDescent="0.2">
      <c r="A5" t="s">
        <v>87</v>
      </c>
    </row>
    <row r="6" spans="1:1" x14ac:dyDescent="0.2">
      <c r="A6" t="s">
        <v>106</v>
      </c>
    </row>
    <row r="7" spans="1:1" x14ac:dyDescent="0.2">
      <c r="A7" t="s">
        <v>22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5</vt:i4>
      </vt:variant>
    </vt:vector>
  </HeadingPairs>
  <TitlesOfParts>
    <vt:vector size="14" baseType="lpstr">
      <vt:lpstr>Quote Detail by Sales Rep</vt:lpstr>
      <vt:lpstr>Quote Detail by Customer Svc.</vt:lpstr>
      <vt:lpstr>Quote Summary by Sales Rep</vt:lpstr>
      <vt:lpstr>Quote Summary by Customer Svc.</vt:lpstr>
      <vt:lpstr>Quote Conversion Analysis</vt:lpstr>
      <vt:lpstr>Quote Cancellation Analysis</vt:lpstr>
      <vt:lpstr>Filter</vt:lpstr>
      <vt:lpstr>Sort</vt:lpstr>
      <vt:lpstr>Optional Templates</vt:lpstr>
      <vt:lpstr>'Quote Cancellation Analysis'!Print_Area</vt:lpstr>
      <vt:lpstr>'Quote Conversion Analysis'!Print_Area</vt:lpstr>
      <vt:lpstr>'Quote Detail by Customer Svc.'!Print_Area</vt:lpstr>
      <vt:lpstr>'Quote Detail by Customer Svc.'!Print_Titles</vt:lpstr>
      <vt:lpstr>'Quote Detail by Sales Rep'!Print_Titles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CargoWise One by WiseTech Global (www.wisetechglobal.com)</dc:creator>
  <cp:lastModifiedBy>Rick Yuan</cp:lastModifiedBy>
  <cp:lastPrinted>2004-08-12T02:40:22Z</cp:lastPrinted>
  <dcterms:created xsi:type="dcterms:W3CDTF">2003-06-24T23:37:39Z</dcterms:created>
  <dcterms:modified xsi:type="dcterms:W3CDTF">2024-02-26T02:09:28Z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-1308994828</vt:i4>
  </property>
  <property fmtid="{D5CDD505-2E9C-101B-9397-08002B2CF9AE}" pid="3" name="_EmailSubject">
    <vt:lpwstr>Excel template for Invoice with payment slip and grouping</vt:lpwstr>
  </property>
  <property fmtid="{D5CDD505-2E9C-101B-9397-08002B2CF9AE}" pid="4" name="_AuthorEmail">
    <vt:lpwstr>davidj@edi.com.au</vt:lpwstr>
  </property>
  <property fmtid="{D5CDD505-2E9C-101B-9397-08002B2CF9AE}" pid="5" name="_AuthorEmailDisplayName">
    <vt:lpwstr>David James</vt:lpwstr>
  </property>
  <property fmtid="{D5CDD505-2E9C-101B-9397-08002B2CF9AE}" pid="6" name="_PreviousAdHocReviewCycleID">
    <vt:i4>-1308994828</vt:i4>
  </property>
  <property fmtid="{D5CDD505-2E9C-101B-9397-08002B2CF9AE}" pid="7" name="_ReviewingToolsShownOnce">
    <vt:lpwstr/>
  </property>
</Properties>
</file>
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ZA\"/>
    </mc:Choice>
  </mc:AlternateContent>
  <xr:revisionPtr revIDLastSave="0" documentId="13_ncr:1_{83FDB866-28F0-4370-AD26-021AD317B35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USTOMS WORKSHEET" sheetId="4" r:id="rId1"/>
  </sheets>
  <definedNames>
    <definedName name="_xlnm.Print_Area" localSheetId="0">'CUSTOMS WORKSHEET'!$A$1:$NY$66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Z61" i="4" l="1"/>
  <c r="X61" i="4" l="1" a="1"/>
  <c r="X61" i="4" s="1"/>
  <c r="Q61" i="4" l="1" a="1"/>
  <c r="Q61" i="4" s="1"/>
  <c r="J61" i="4" a="1"/>
  <c r="J61" i="4" s="1"/>
  <c r="C44" i="4" l="1"/>
  <c r="BB35" i="4" l="1"/>
  <c r="CE44" i="4"/>
  <c r="BB32" i="4"/>
  <c r="BB31" i="4"/>
  <c r="BB30" i="4"/>
  <c r="BB29" i="4"/>
  <c r="BB28" i="4"/>
  <c r="BB27" i="4"/>
  <c r="BB26" i="4"/>
  <c r="BB25" i="4"/>
  <c r="BL24" i="4"/>
  <c r="CE24" i="4" s="1"/>
  <c r="BB40" i="4" l="1"/>
  <c r="BB39" i="4"/>
  <c r="BB34" i="4"/>
  <c r="BL29" i="4"/>
  <c r="BL30" i="4" s="1"/>
  <c r="BL31" i="4" s="1"/>
  <c r="BL32" i="4" s="1"/>
  <c r="BL34" i="4" l="1"/>
  <c r="BL35" i="4" s="1"/>
  <c r="BL37" i="4" s="1"/>
  <c r="BL39" i="4" s="1"/>
  <c r="BL40" i="4" s="1"/>
  <c r="BL42" i="4" s="1"/>
  <c r="CE42" i="4" s="1"/>
  <c r="CO42" i="4" s="1"/>
  <c r="CO44" i="4" s="1"/>
  <c r="CO45" i="4" s="1"/>
  <c r="CO47" i="4" s="1"/>
  <c r="CE37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<sst xmlns="http://schemas.openxmlformats.org/spreadsheetml/2006/main" count="629" uniqueCount="297">
  <si>
    <t>VALUE</t>
  </si>
  <si>
    <t>TOTAL SUPPLIER INVOICE LINE VALUE</t>
  </si>
  <si>
    <t>TOTAL FREIGHT</t>
  </si>
  <si>
    <t>TOTAL INSURANCE</t>
  </si>
  <si>
    <t>TOTAL DUTIABLE CHARGES</t>
  </si>
  <si>
    <t>LESS FREIGHT</t>
  </si>
  <si>
    <t>LESS INSURANCE</t>
  </si>
  <si>
    <t>LESS NON-DUTIABLE CHARGES</t>
  </si>
  <si>
    <t>COO</t>
  </si>
  <si>
    <t>#config</t>
  </si>
  <si>
    <t>#DocumentHeader</t>
  </si>
  <si>
    <t>#EndOfReport</t>
  </si>
  <si>
    <t>UQ</t>
  </si>
  <si>
    <t>DataContext=CusEntryHeader</t>
  </si>
  <si>
    <t>&lt;LRN&gt;</t>
  </si>
  <si>
    <t>&lt;CustomsProcedureCode&gt;</t>
  </si>
  <si>
    <t>&lt;InvoiceLines.Invoice&gt;</t>
  </si>
  <si>
    <t>&lt;InvoiceLines.CountryOfOriginCode&gt;</t>
  </si>
  <si>
    <t>&lt;InvoiceLines.Tariff&gt;</t>
  </si>
  <si>
    <t>&lt;InvoiceLines.MarkupPercent&gt;</t>
  </si>
  <si>
    <t>&lt;InvoiceLines.Stat1Unit&gt;</t>
  </si>
  <si>
    <t>&lt;InvoiceLines.LineNo&gt;</t>
  </si>
  <si>
    <t>&lt;InvoiceLines.LinePrice&gt;</t>
  </si>
  <si>
    <t>&lt;Total InvoiceLines.LinePrice&gt;</t>
  </si>
  <si>
    <t>&lt;InvoiceLines.ComInvoiceHeader.InvoiceCurrExRate&gt;</t>
  </si>
  <si>
    <t>&lt;InvoiceLines.OverseasFreightNotIncludedInLinesInForeignCurrency&gt;</t>
  </si>
  <si>
    <t>&lt;InvoiceLines.OverseasFreightNotIncludedInLinesExRate&gt;</t>
  </si>
  <si>
    <t>&lt;InvoiceLines.OverseasInsuranceNotIncludedInLinesExRate&gt;</t>
  </si>
  <si>
    <t>&lt;Total InvoiceLines.OverseasFreightNotIncludedInLinesInForeignCurrency&gt;</t>
  </si>
  <si>
    <t>&lt;Total InvoiceLines.OverseasInsuranceNotIncludedInLinesInForeignCurrency&gt;</t>
  </si>
  <si>
    <t>&lt;InvoiceLines.OverseasInsuranceNotIncludedInLinesInForeignCurrency&gt;</t>
  </si>
  <si>
    <t>&lt;InvoiceLines.OverseasFreightIncludedInLinesInForeignCurrency&gt;</t>
  </si>
  <si>
    <t>&lt;InvoiceLines.OverseasInsuranceIncludedInLinesInForeignCurrency&gt;</t>
  </si>
  <si>
    <t>&lt;Total InvoiceLines.OverseasFreightIncludedInLinesInForeignCurrency&gt;</t>
  </si>
  <si>
    <t>&lt;Total InvoiceLines.OverseasInsuranceIncludedInLinesInForeignCurrency&gt;</t>
  </si>
  <si>
    <t>&lt;InvoiceLines.OverseasFreightIncludedInLinesExRate&gt;</t>
  </si>
  <si>
    <t>&lt;InvoiceLines.OverseasInsuranceIncludedInLinesExRate&gt;</t>
  </si>
  <si>
    <t>&lt;InvoiceLines.DutiableChargesNotIncludedInLinesInForeignCurrency&gt;</t>
  </si>
  <si>
    <t>&lt;Total InvoiceLines.DutiableChargesNotIncludedInLinesInForeignCurrency&gt;</t>
  </si>
  <si>
    <t>&lt;InvoiceLines.DutiableChargesNotIncludedInLinesExRate&gt;</t>
  </si>
  <si>
    <t>&lt;InvoiceLines.OverseasFreightIncludedInLinesCurrencyCode&gt;</t>
  </si>
  <si>
    <t>&lt;InvoiceLines.OverseasInsuranceIncludedInLinesCurrencyCode&gt;</t>
  </si>
  <si>
    <t>&lt;InvoiceLines.OverseasFreightNotIncludedInLinesCurrencyCode&gt;</t>
  </si>
  <si>
    <t>&lt;InvoiceLines.NonDutiableChargesNotIncludedInLinesExcludingFreightAndInsuranceInForeignCurrency&gt;</t>
  </si>
  <si>
    <t>&lt;Total InvoiceLines.NonDutiableChargesNotIncludedInLinesExcludingFreightAndInsuranceInForeignCurrency&gt;</t>
  </si>
  <si>
    <t>&lt;InvoiceLines.NonDutiableChargesNotIncludedInLinesExcludingFreightAndInsuranceExRate&gt;</t>
  </si>
  <si>
    <t>&lt;InvoiceLines.NonDutiableChargesNotIncludedInLinesExcludingFreightAndInsuranceCurrencyCode&gt;</t>
  </si>
  <si>
    <t>&lt;InvoiceLines.OverseasInsuranceNotIncludedInLinesCurrencyCode&gt;</t>
  </si>
  <si>
    <t>&lt;InvoiceLines.DutiableChargesNotIncludedInLinesCurrencyCode&gt;</t>
  </si>
  <si>
    <t>&lt;InvoiceLines.IncoTerm&gt;</t>
  </si>
  <si>
    <t>DISCOUNT</t>
  </si>
  <si>
    <t>CUSTOMS DUTY</t>
  </si>
  <si>
    <t>TOTAL DUTY</t>
  </si>
  <si>
    <t>FILE</t>
  </si>
  <si>
    <t>LRN</t>
  </si>
  <si>
    <t>CPC</t>
  </si>
  <si>
    <t>TRANSPORT DOC.</t>
  </si>
  <si>
    <t>AGENT</t>
  </si>
  <si>
    <t>ISSUED DATE</t>
  </si>
  <si>
    <t>IMPORTER</t>
  </si>
  <si>
    <t>VESSEL / FLIGHT</t>
  </si>
  <si>
    <t>EXPORTER</t>
  </si>
  <si>
    <t>HOUSE DOC.</t>
  </si>
  <si>
    <t>INVOICE NUMBER</t>
  </si>
  <si>
    <t>INCOTERM</t>
  </si>
  <si>
    <t>CURR.</t>
  </si>
  <si>
    <t>TOTAL NON-DUTIABLE CHARGES EXCL. FREIGHT AND INS.</t>
  </si>
  <si>
    <t>TOTAL CIF VALUE</t>
  </si>
  <si>
    <t>LINE</t>
  </si>
  <si>
    <t>TARIFF</t>
  </si>
  <si>
    <t>DUTY FORMULA</t>
  </si>
  <si>
    <t>B/E  LINE</t>
  </si>
  <si>
    <t>FACTOR</t>
  </si>
  <si>
    <t>MARKUP%</t>
  </si>
  <si>
    <t>CUSTOMS VALUE</t>
  </si>
  <si>
    <t>SCH 12B</t>
  </si>
  <si>
    <t>VAT</t>
  </si>
  <si>
    <t>STAT QTY</t>
  </si>
  <si>
    <t>&lt;Declaration.DeclarationReference&gt;</t>
  </si>
  <si>
    <t>&lt;Declaration.TransportDocumentNumber&gt;</t>
  </si>
  <si>
    <t>&lt;Declaration.VoyageFlightDetails&gt;</t>
  </si>
  <si>
    <t>&lt;Total InvoiceLines.NonDutiableChargesIncludedInLinesExcludingFreightAndInsuranceInForeignCurrency&gt;</t>
  </si>
  <si>
    <t>&lt;InvoiceLines.NonDutiableChargesIncludedInLinesExcludingFreightAndInsuranceCurrencyCode&gt;</t>
  </si>
  <si>
    <t>&lt;InvoiceLines.NonDutiableChargesIncludedInLinesExcludingFreightAndInsuranceExRate&gt;</t>
  </si>
  <si>
    <t>&lt;InvoiceLines.NonDutiableChargesIncludedInLinesExcludingFreightAndInsuranceInForeignCurrency&gt;</t>
  </si>
  <si>
    <t>&lt;HideRowIf(&lt;Total InvoiceLines.NonDutiableChargesIncludedInLinesExcludingFreightAndInsuranceInForeignCurrency&gt; == 0)&gt;</t>
  </si>
  <si>
    <t>&lt;HideRowIf(&lt;Total InvoiceLines.NonDutiableChargesIncludedInLinesExcludingFreightAndInsuranceInForeignCurrency&gt; != 0 &amp;&amp; &lt;Total InvoiceLines.NonDutiableChargesNotIncludedInLinesExcludingFreightAndInsuranceInForeignCurrency&gt; == 0)&gt;</t>
  </si>
  <si>
    <t>CURRENCY</t>
  </si>
  <si>
    <t>&lt;InvoiceLines.ComInvoiceHeader.InvoiceCurr&gt;</t>
  </si>
  <si>
    <t>&lt;InvoiceLines.LinePriceCurrencyCode&gt;</t>
  </si>
  <si>
    <t>EX. RATE (&lt;InvoiceLines.ComInvoiceHeader.InvoiceCurr&gt;)</t>
  </si>
  <si>
    <t>VALUE (&lt;InvoiceLines.ComInvoiceHeader.InvoiceCurr&gt;)</t>
  </si>
  <si>
    <t>CUMULATIVE (&lt;InvoiceLines.ComInvoiceHeader.InvoiceCurr&gt;)</t>
  </si>
  <si>
    <t>EX. RATE (ZAR)</t>
  </si>
  <si>
    <t>&lt;HideRowIf(&lt;Total InvoiceLines.OverseasInsuranceIncludedInLinesInForeignCurrency&gt; == 0)&gt;</t>
  </si>
  <si>
    <t>&lt;HideRowIf(&lt;Total InvoiceLines.OverseasFreightIncludedInLinesInForeignCurrency&gt; != 0 &amp;&amp; &lt;Total InvoiceLines.OverseasFreightNotIncludedInLinesInForeignCurrency&gt; == 0)&gt;</t>
  </si>
  <si>
    <t>&lt;HideRowIf(&lt;Total InvoiceLines.OverseasInsuranceIncludedInLinesInForeignCurrency&gt; != 0 &amp;&amp; &lt;Total InvoiceLines.OverseasInsuranceNotIncludedInLinesInForeignCurrency&gt; == 0)&gt;</t>
  </si>
  <si>
    <t>&lt;InvoiceLines.CIF&gt;</t>
  </si>
  <si>
    <t>Line Price</t>
  </si>
  <si>
    <t>Freight INC</t>
  </si>
  <si>
    <t>Freight NIC</t>
  </si>
  <si>
    <t>NDC NIC</t>
  </si>
  <si>
    <t>DC NIC</t>
  </si>
  <si>
    <t>Ins NIC</t>
  </si>
  <si>
    <t>Ins INC</t>
  </si>
  <si>
    <t>NDC INC</t>
  </si>
  <si>
    <t>&lt;InvoiceLines.FOB&gt;</t>
  </si>
  <si>
    <t>&lt;InvoiceLines.FOBInLocalCurrency&gt;</t>
  </si>
  <si>
    <t>&lt;Total InvoiceLines.DutiableChargesIncludedInLinesInForeignCurrency&gt;</t>
  </si>
  <si>
    <t>&lt;InvoiceLines.DutiableChargesIncludedInLinesCurrencyCode&gt;</t>
  </si>
  <si>
    <t>&lt;InvoiceLines.DutiableChargesIncludedInLinesExRate&gt;</t>
  </si>
  <si>
    <t>&lt;InvoiceLines.DutiableChargesIncludedInLinesInForeignCurrency&gt;</t>
  </si>
  <si>
    <t>DC INC</t>
  </si>
  <si>
    <t>VALUE (ZAR)</t>
  </si>
  <si>
    <t>MARKUP</t>
  </si>
  <si>
    <t>&lt;InvoiceLines.ValuationMarkup&gt;</t>
  </si>
  <si>
    <t>&lt;Total InvoiceLines.ValuationMarkup&gt;</t>
  </si>
  <si>
    <t>TOTAL FOB VALUE</t>
  </si>
  <si>
    <t>&lt;InvoiceLines.CustomsValueAdjustment&gt;</t>
  </si>
  <si>
    <t>&lt;Total InvoiceLines.CustomsValueAdjustment&gt;</t>
  </si>
  <si>
    <t>&lt;HideRowIf(&lt;Total InvoiceLines.DutiableChargesIncludedInLinesInForeignCurrency&gt; == 0)&gt;</t>
  </si>
  <si>
    <t>&lt;HideRowIf(&lt;Total InvoiceLines.DutiableChargesIncludedInLinesInForeignCurrency&gt; != 0 &amp;&amp; &lt;Total InvoiceLines.DutiableChargesNotIncludedInLinesInForeignCurrency&gt; == 0)&gt;</t>
  </si>
  <si>
    <t>CUMULATIVE (ZAR)</t>
  </si>
  <si>
    <t>TOTAL VALUATION MARKUP</t>
  </si>
  <si>
    <t>&lt;HideRowIf(&lt;Total InvoiceLines.CustomsValueAdjustment&gt; == 0)&gt;</t>
  </si>
  <si>
    <t>&lt;HideRowIf(&lt;Total InvoiceLines.ValuationMarkup&gt; == 0)&gt;</t>
  </si>
  <si>
    <t>CIF</t>
  </si>
  <si>
    <t>FOB</t>
  </si>
  <si>
    <t>FOB ZAR</t>
  </si>
  <si>
    <t>ADJ</t>
  </si>
  <si>
    <t>&lt;HideRowIf(&lt;Total InvoiceLines.CustomsValueAdjustment&gt; == 0 &amp;&amp; &lt;Total InvoiceLines.ValuationMarkup&gt; == 0)&gt;</t>
  </si>
  <si>
    <t>NOTES</t>
  </si>
  <si>
    <t>-</t>
  </si>
  <si>
    <t>Included in Invoice Line Value</t>
  </si>
  <si>
    <t>&lt;HideRowIf(&lt;Total InvoiceLines.OverseasFreightIncludedInLinesInForeignCurrency&gt; == 0)&gt;</t>
  </si>
  <si>
    <t>&lt;HideRowIf(&lt;Total InvoiceLines.OverseasFreightIncludedInLinesInForeignCurrency&gt; == 0 &amp;&amp; 
&lt;Total InvoiceLines.OverseasInsuranceIncludedInLinesInForeignCurrency&gt; == 0 &amp;&amp; 
&lt;Total InvoiceLines.DutiableChargesIncludedInLinesInForeignCurrency&gt; == 0 &amp;&amp; 
&lt;Total InvoiceLines.NonDutiableChargesIncludedInLinesExcludingFreightAndInsuranceInForeignCurrency&gt; == 0
)&gt;</t>
  </si>
  <si>
    <t>Rounded at Bill of Entry Line level</t>
  </si>
  <si>
    <t>&lt;HideRowIf(true)&gt;</t>
  </si>
  <si>
    <t>LESS DISCOUNT</t>
  </si>
  <si>
    <t>DIS NIC</t>
  </si>
  <si>
    <t>&lt;InvoiceLines.DiscountNotIncludedInLinesInForeignCurrency&gt;</t>
  </si>
  <si>
    <t>&lt;Total InvoiceLines.DiscountNotIncludedInLinesInForeignCurrency&gt;</t>
  </si>
  <si>
    <t>&lt;InvoiceLines.DiscountNotIncludedInLinesCurrencyCode&gt;</t>
  </si>
  <si>
    <t>&lt;InvoiceLines.DiscountNotIncludedInLinesExRate&gt;</t>
  </si>
  <si>
    <t>&lt;HideRowIf(&lt;Total InvoiceLines.DiscountNotIncludedInLinesInForeignCurrency&gt; == 0)&gt;</t>
  </si>
  <si>
    <t>TOTAL ADJUSTED FOB VALUE</t>
  </si>
  <si>
    <t>&lt;InvoiceLines.EntryLineNumber&gt;</t>
  </si>
  <si>
    <t>CUSTOMS WORKSHEET</t>
  </si>
  <si>
    <t>Name=Customs Worksheet</t>
  </si>
  <si>
    <t>MRN</t>
  </si>
  <si>
    <t>&lt;MRN&gt;</t>
  </si>
  <si>
    <t>&lt;DateTimeAsString('&lt;Declaration.IssuedAtDate&gt;', 'yyyy/MM/dd')&gt;</t>
  </si>
  <si>
    <t xml:space="preserve">&lt;shrinktofit&gt;&lt;InvoiceLines.FormattedLinePrice&gt; </t>
  </si>
  <si>
    <t xml:space="preserve">&lt;shrinktofit&gt;&lt;Total InvoiceLines.FormattedLinePrice&gt; </t>
  </si>
  <si>
    <t>ENTRY TOTALS</t>
  </si>
  <si>
    <t>INVOICE TOTALS:</t>
  </si>
  <si>
    <t>#SectionFooter</t>
  </si>
  <si>
    <t>#GroupBy:InvoiceLines.Invoice</t>
  </si>
  <si>
    <t>&lt;CustomsValue&gt;</t>
  </si>
  <si>
    <t>&lt;CustomsDuty&gt;</t>
  </si>
  <si>
    <t>&lt;TotalVAT&gt;</t>
  </si>
  <si>
    <t>&lt;shrinktofit&gt;&lt;InvoiceLines.CustomsValueInLocalCurrency&gt;</t>
  </si>
  <si>
    <t>&lt;shrinktofit&gt;&lt;InvoiceLines.CustomsDuty&gt;</t>
  </si>
  <si>
    <t>&lt;shrinktofit&gt;&lt;Total InvoiceLines.CustomsDuty&gt;</t>
  </si>
  <si>
    <t>&lt;shrinktofit&gt;&lt;InvoiceLines.Sch12BDuty&gt;</t>
  </si>
  <si>
    <t>&lt;shrinktofit&gt;&lt;InvoiceLines.TotalDuty&gt;</t>
  </si>
  <si>
    <t>&lt;shrinktofit&gt;&lt;InvoiceLines.CustomsVAT&gt;</t>
  </si>
  <si>
    <t>&lt;shrinktofit&gt;&lt;InvoiceLines.Stat1Qty&gt;</t>
  </si>
  <si>
    <t xml:space="preserve">&lt;shrinktofit&gt;&lt;InvoiceLines.DiscountInInvoiceCurrency&gt; </t>
  </si>
  <si>
    <t>&lt;shrinktofit&gt;&lt;Total InvoiceLines.Sch12BDuty&gt;</t>
  </si>
  <si>
    <t>&lt;shrinktofit&gt;&lt;Total InvoiceLines.TotalDuty&gt;</t>
  </si>
  <si>
    <t>&lt;shrinktofit&gt;&lt;Total InvoiceLines.CustomsVAT&gt;</t>
  </si>
  <si>
    <t xml:space="preserve">&lt;shrinktofit&gt;&lt;Total InvoiceLines.DiscountInInvoiceCurrency&gt; </t>
  </si>
  <si>
    <t>&lt;shrinktofit&gt;&lt;Total InvoiceLines.CustomsValueInLocalCurrency&gt;</t>
  </si>
  <si>
    <t>#GroupBy:InvoiceLines.Invoice:GroupTitle:</t>
  </si>
  <si>
    <t>&lt;shrinktofit&gt;&lt;InvoiceLines.TariffFormula&gt;</t>
  </si>
  <si>
    <r>
      <t xml:space="preserve">TOTAL FREIGHT </t>
    </r>
    <r>
      <rPr>
        <b/>
        <vertAlign val="superscript"/>
        <sz val="7"/>
        <rFont val="Arial"/>
        <family val="2"/>
      </rPr>
      <t>2</t>
    </r>
  </si>
  <si>
    <r>
      <t xml:space="preserve">TOTAL INSURANCE </t>
    </r>
    <r>
      <rPr>
        <b/>
        <vertAlign val="superscript"/>
        <sz val="7"/>
        <rFont val="Arial"/>
        <family val="2"/>
      </rPr>
      <t>2</t>
    </r>
  </si>
  <si>
    <r>
      <t xml:space="preserve">TOTAL DUTIABLE CHARGES </t>
    </r>
    <r>
      <rPr>
        <b/>
        <vertAlign val="superscript"/>
        <sz val="7"/>
        <rFont val="Arial"/>
        <family val="2"/>
      </rPr>
      <t>2</t>
    </r>
  </si>
  <si>
    <r>
      <t xml:space="preserve">TOTAL NON-DUTIABLE CHARGES EXCL. FREIGHT AND INS. </t>
    </r>
    <r>
      <rPr>
        <b/>
        <vertAlign val="superscript"/>
        <sz val="7"/>
        <rFont val="Arial"/>
        <family val="2"/>
      </rPr>
      <t>2</t>
    </r>
  </si>
  <si>
    <t>#PageFooter</t>
  </si>
  <si>
    <t>#SectionPageHeader</t>
  </si>
  <si>
    <t>HideColumnIf</t>
  </si>
  <si>
    <t>"&lt;IsDocumentCustomLabelHidden(CustomsWorksheetDocument.ProductCode,N)&gt;" == "Y"</t>
  </si>
  <si>
    <t>"&lt;IsDocumentCustomLabelHidden(CustomsWorksheetDocument.PartAttributes,N)&gt;" == "Y"</t>
  </si>
  <si>
    <t>&lt;shrinktofit&gt;&lt;InvoiceLines.PermitNumber&gt;</t>
  </si>
  <si>
    <t>&lt;shrinktofit&gt;&lt;InvoiceLines.TradeAgreement&gt;</t>
  </si>
  <si>
    <t>&lt;shrinktofit&gt;&lt;InvoiceLines.ROOCert&gt;</t>
  </si>
  <si>
    <t>&lt;InvoiceLines.Stat2Unit&gt;</t>
  </si>
  <si>
    <t>&lt;InvoiceLines.Stat3Unit&gt;</t>
  </si>
  <si>
    <t>"&lt;IsDocumentCustomLabelHidden(CustomsWorksheetDocument.AdditionalCustomsQuantities,N)&gt;" == "Y"</t>
  </si>
  <si>
    <t>"&lt;IsDocumentCustomLabelHidden(CustomsWorksheetDocument.CountableQuantity,N)&gt;" == "Y"</t>
  </si>
  <si>
    <t>&lt;InvoiceLines.InvoiceUQ&gt;</t>
  </si>
  <si>
    <t>"&lt;IsDocumentCustomLabelHidden(CustomsWorksheetDocument.InvoiceQuantity,N)&gt;" == "Y"</t>
  </si>
  <si>
    <t>&lt;shrinktofit&gt;&lt;InvoiceLines.PrevMRN&gt;</t>
  </si>
  <si>
    <t>&lt;shrinktofit&gt;&lt;InvoiceLines.PrevMRNLine&gt;</t>
  </si>
  <si>
    <t>"&lt;IsDocumentCustomLabelHidden(CustomsWorksheetDocument.PreviousMRNAndLine,N)&gt;" == "Y"</t>
  </si>
  <si>
    <t>&lt;shrinktofit&gt;&lt;InvoiceLines.CPCAndPPC&gt;</t>
  </si>
  <si>
    <t>"&lt;IsDocumentCustomLabelHidden(CustomsWorksheetDocument.CPCAndPPC,N)&gt;" == "Y"</t>
  </si>
  <si>
    <t>&lt;shrinktofit&gt;&lt;InvoiceLines.AddtionalTariffs&gt;</t>
  </si>
  <si>
    <t>"&lt;IsDocumentCustomLabelHidden(CustomsWorksheetDocument.AdditionalTariffs,N)&gt;" == "Y"</t>
  </si>
  <si>
    <t>&lt;Currency(&lt;InvoiceLines.Weight&gt;,&lt;InvoiceLines.LocalCurr.Code&gt;)&gt;</t>
  </si>
  <si>
    <t>&lt;shrinktofit&gt;&lt;InvoiceLines.WeightUQ&gt;</t>
  </si>
  <si>
    <t>&lt;shrinktofit&gt;&lt;InvoiceLines.VolumeUQ&gt;</t>
  </si>
  <si>
    <t>&lt;Currency(&lt;InvoiceLines.Volume&gt;,&lt;InvoiceLines.LocalCurr.Code&gt;)&gt;</t>
  </si>
  <si>
    <t>"&lt;IsDocumentCustomLabelHidden(CustomsWorksheetDocument.GrossWeight,N)&gt;" == "Y"</t>
  </si>
  <si>
    <t>"&lt;IsDocumentCustomLabelHidden(CustomsWorksheetDocument.Volume,N)&gt;" == "Y"</t>
  </si>
  <si>
    <t>&lt;shrinktofit&gt;&lt;InvoiceLines.VIN&gt;</t>
  </si>
  <si>
    <t>"&lt;IsDocumentCustomLabelHidden(CustomsWorksheetDocument.Description,N)&gt;" == "Y"</t>
  </si>
  <si>
    <t>"&lt;IsDocumentCustomLabelHidden(CustomsWorksheetDocument.VIN,N)&gt;" == "Y"</t>
  </si>
  <si>
    <t>&lt;shrinktofit&gt;&lt;InvoiceLines.EngineNumber&gt;</t>
  </si>
  <si>
    <t>"&lt;IsDocumentCustomLabelHidden(CustomsWorksheetDocument.EngineNumber,N)&gt;" == "Y"</t>
  </si>
  <si>
    <t>&lt;shrinktofit&gt;&lt;InvoiceLines.EngineCC&gt;</t>
  </si>
  <si>
    <t>"&lt;IsDocumentCustomLabelHidden(CustomsWorksheetDocument.EngineCC,N)&gt;" == "Y"</t>
  </si>
  <si>
    <t>&lt;shrinktofit&gt;&lt;InvoiceLines.Colour&gt;</t>
  </si>
  <si>
    <t>"&lt;IsDocumentCustomLabelHidden(CustomsWorksheetDocument.Colour,N)&gt;" == "Y"</t>
  </si>
  <si>
    <t>&lt;shrinktofit&gt;&lt;InvoiceLines.Make&gt;</t>
  </si>
  <si>
    <t>"&lt;IsDocumentCustomLabelHidden(CustomsWorksheetDocument.Make,N)&gt;" == "Y"</t>
  </si>
  <si>
    <t>&lt;shrinktofit&gt;&lt;InvoiceLines.Model&gt;</t>
  </si>
  <si>
    <t>"&lt;IsDocumentCustomLabelHidden(CustomsWorksheetDocument.Model,N)&gt;" == "Y"</t>
  </si>
  <si>
    <t>&lt;shrinktofit&gt;&lt;InvoiceLines.VehicleFormat&gt;</t>
  </si>
  <si>
    <t>"&lt;IsDocumentCustomLabelHidden(CustomsWorksheetDocument.VehicleFormat,N)&gt;" == "Y"</t>
  </si>
  <si>
    <t>&lt;shrinktofit&gt;&lt;InvoiceLines.VehicleType&gt;</t>
  </si>
  <si>
    <t>"&lt;IsDocumentCustomLabelHidden(CustomsWorksheetDocument.VehicleType,N)&gt;" == "Y"</t>
  </si>
  <si>
    <t>&lt;shrinktofit&gt;&lt;InvoiceLines.YoM&gt;</t>
  </si>
  <si>
    <t>"&lt;IsDocumentCustomLabelHidden(CustomsWorksheetDocument.YoM,N)&gt;" == "Y"</t>
  </si>
  <si>
    <t>"&lt;IsDocumentCustomLabelHidden(CustomsWorksheetDocument.PermitNumber,N)&gt;" == "Y"</t>
  </si>
  <si>
    <t>"&lt;IsDocumentCustomLabelHidden(CustomsWorksheetDocument.TradeAgreement,N)&gt;" == "Y"</t>
  </si>
  <si>
    <t>"&lt;IsDocumentCustomLabelHidden(CustomsWorksheetDocument.ROOCertificateNumber,N)&gt;" == "Y"</t>
  </si>
  <si>
    <t>&lt;InvoiceLines.BondedWarehouseUQ&gt;</t>
  </si>
  <si>
    <t xml:space="preserve">Page &lt;CurrentPage&gt; of &lt;TotalPages&gt;, PrintTimeStamp &lt;DateTimeAsString('&lt;now&gt;', 'yyyy/MM/dd hh:mm')&gt; </t>
  </si>
  <si>
    <t>&lt;DocumentCustomLabel(CustomsWorksheetDocument.ProductCode, PRODUCT CODE)&gt;</t>
  </si>
  <si>
    <t>&lt;DocumentCustomLabel(CustomsWorksheetDocument.CPCAndPPC, CPC/PPC)&gt;</t>
  </si>
  <si>
    <t>&lt;DocumentCustomLabel(CustomsWorksheetDocument.Volume, VOLUME)&gt;</t>
  </si>
  <si>
    <t>&lt;DocumentCustomLabel(CustomsWorksheetDocument.VIN, VIN)&gt;</t>
  </si>
  <si>
    <t>PART AT. 1</t>
  </si>
  <si>
    <t>PART AT. 2</t>
  </si>
  <si>
    <t>PART AT. 3</t>
  </si>
  <si>
    <t>&lt;DocumentCustomLabel(CustomsWorksheetDocument.PermitNumber, PERMIT NUMBER)&gt;</t>
  </si>
  <si>
    <t>&lt;DocumentCustomLabel(CustomsWorksheetDocument.PermitNumber,  PERMIT NUMBER)&gt;</t>
  </si>
  <si>
    <t>&lt;DocumentCustomLabel(CustomsWorksheetDocument.TradeAgreement, TRADE AGREEMENT)&gt;</t>
  </si>
  <si>
    <t>&lt;DocumentCustomLabel(CustomsWorksheetDocument.ROOCertificateNumber, ROO CERTIFICATE)&gt;</t>
  </si>
  <si>
    <t>&lt;DocumentCustomLabel(CustomsWorksheetDocument.YoM, YOM)&gt;</t>
  </si>
  <si>
    <t>&lt;DocumentCustomLabel(CustomsWorksheetDocument.VehicleType, VEH. TYPE)&gt;</t>
  </si>
  <si>
    <t>&lt;DocumentCustomLabel(CustomsWorksheetDocument.VehicleFormat, VEH. FORMAT)&gt;</t>
  </si>
  <si>
    <t>&lt;DocumentCustomLabel(CustomsWorksheetDocument.Model, MODEL)&gt;</t>
  </si>
  <si>
    <t>&lt;DocumentCustomLabel(CustomsWorksheetDocument.Make, MAKE)&gt;</t>
  </si>
  <si>
    <t>&lt;DocumentCustomLabel(CustomsWorksheetDocument.Colour, COLOUR)&gt;</t>
  </si>
  <si>
    <t>&lt;DocumentCustomLabel(CustomsWorksheetDocument.EngineCC, ENGINE CC.)&gt;</t>
  </si>
  <si>
    <t>&lt;DocumentCustomLabel(CustomsWorksheetDocument.EngineNumber, ENGINE NO.)&gt;</t>
  </si>
  <si>
    <t>&lt;DocumentCustomLabel(CustomsWorksheetDocument.Description, GOODS DESCRIPTION)&gt;</t>
  </si>
  <si>
    <t>&lt;DocumentCustomLabel(CustomsWorksheetDocument.GrossWeight, GROSS WEIGHT)&gt;</t>
  </si>
  <si>
    <t>&lt;DocumentCustomLabel(CustomsWorksheetDocument.AdditionalTariffs, ADDITIONAL TARIFFS)&gt;</t>
  </si>
  <si>
    <t>PREV. MRN LINE</t>
  </si>
  <si>
    <t>PREV. MRN</t>
  </si>
  <si>
    <t>&lt;autoheight&gt;&lt;InvoiceLines.PartNo&gt;</t>
  </si>
  <si>
    <t>&lt;HideRowIf(&lt;CurrentPage&gt;== 1)&gt;</t>
  </si>
  <si>
    <t>PageStyle=Continuous</t>
  </si>
  <si>
    <t>&lt;InvoiceLines.PartAttrib1&gt;</t>
  </si>
  <si>
    <t>&lt;InvoiceLines.PartAttrib2&gt;</t>
  </si>
  <si>
    <t>&lt;InvoiceLines.PartAttrib3&gt;</t>
  </si>
  <si>
    <t>ADD. QTY 1</t>
  </si>
  <si>
    <t>ADD. QTY 2</t>
  </si>
  <si>
    <t>&lt;DocumentCustomLabel(CustomsWorksheetDocument.CountableQuantity, CNT QTY)&gt;</t>
  </si>
  <si>
    <t>&lt;DocumentCustomLabel(CustomsWorksheetDocument.InvoiceQuantity,INV QTY)&gt;</t>
  </si>
  <si>
    <t>&lt;DocumentCustomLabel(CustomsWorksheetDocument.InvoiceQuantity, INV QTY)&gt;</t>
  </si>
  <si>
    <t>&lt;shrinktofit&gt;&lt;Currency(&lt;InvoiceLines.Stat2Qty&gt;,&lt;InvoiceLines.LocalCurr.Code&gt;)&gt;</t>
  </si>
  <si>
    <t>&lt;shrinktofit&gt;&lt;Currency(&lt;InvoiceLines.Stat3Qty&gt;,&lt;InvoiceLines.LocalCurr.Code&gt;)&gt;</t>
  </si>
  <si>
    <t>&lt;shrinktofit&gt;&lt;InvoiceLines.CountableQty&gt;</t>
  </si>
  <si>
    <t>&lt;shrinktofit&gt;&lt;Currency(&lt;InvoiceLines.InvoiceQuantity&gt;,&lt;InvoiceLines.LocalCurr.Code&gt;)&gt;</t>
  </si>
  <si>
    <t>&lt;InvoiceLines.Description&gt;</t>
  </si>
  <si>
    <t>&lt;Importer.Code&gt; &lt;Importer.MainAddress.PostalAddress&gt;</t>
  </si>
  <si>
    <t>&lt;Supplier.Code&gt; &lt;Supplier.MainAddress.PostalAddress&gt;</t>
  </si>
  <si>
    <t>&lt;Declaration.AgentCode&gt; &lt;Agent.MainAddress.PostalAddress&gt;</t>
  </si>
  <si>
    <t>&lt;HideRowIf("&lt;Count()&gt;" == "1")&gt;</t>
  </si>
  <si>
    <t>PRODUCT CODE</t>
  </si>
  <si>
    <t>&lt;shrinktofit&gt;&lt;InvoiceLines.PartNo&gt;</t>
  </si>
  <si>
    <t>#SectionBody:Data=InvoiceLines:OrderBy(InvoiceSequenceNum)</t>
  </si>
  <si>
    <t>&lt;ShrinkToFit&gt;&lt;InvoiceLines.ComInvoiceHeader.ConversionFactorAsString&gt;</t>
  </si>
  <si>
    <t>&lt;HouseBill&gt;</t>
  </si>
  <si>
    <t xml:space="preserve">  </t>
  </si>
  <si>
    <t>Charges Detail</t>
  </si>
  <si>
    <t>Invoice</t>
  </si>
  <si>
    <t>Charge</t>
  </si>
  <si>
    <t>Dutiable</t>
  </si>
  <si>
    <t>Included</t>
  </si>
  <si>
    <t>Currency</t>
  </si>
  <si>
    <t>Rate</t>
  </si>
  <si>
    <t>Amount</t>
  </si>
  <si>
    <t>Amount in ZAR</t>
  </si>
  <si>
    <t>&lt;Charges.ChargeAmount&gt;</t>
  </si>
  <si>
    <t>&lt;Charges.InvoiceNumber&gt;</t>
  </si>
  <si>
    <t>&lt;Charges.CurrencyCode&gt;</t>
  </si>
  <si>
    <t>&lt;Charges.ExchangeRate&gt;</t>
  </si>
  <si>
    <t>#GroupBy:InvoiceNumber</t>
  </si>
  <si>
    <t>#SectionBody:Data=Charges:OrderBy(InvoiceNumber)</t>
  </si>
  <si>
    <t>&lt;HideRowIf("&lt;ShowChargesBreakdown&gt;" == "N")&gt;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</si>
</sst>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7"/>
      <color indexed="10"/>
      <name val="Arial"/>
      <family val="2"/>
    </font>
    <font>
      <b/>
      <vertAlign val="superscript"/>
      <sz val="7"/>
      <name val="Arial"/>
      <family val="2"/>
    </font>
    <font>
      <sz val="7"/>
      <name val="Calibri"/>
      <family val="2"/>
    </font>
    <font>
      <b/>
      <sz val="11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2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2" fontId="4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left" vertical="center"/>
    </xf>
    <xf numFmtId="2" fontId="4" fillId="0" borderId="2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0" borderId="11" xfId="0" quotePrefix="1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quotePrefix="1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right" vertical="center"/>
    </xf>
    <xf numFmtId="2" fontId="5" fillId="0" borderId="5" xfId="0" applyNumberFormat="1" applyFont="1" applyBorder="1" applyAlignment="1">
      <alignment horizontal="right" vertical="center"/>
    </xf>
    <xf numFmtId="2" fontId="5" fillId="0" borderId="6" xfId="0" applyNumberFormat="1" applyFont="1" applyBorder="1" applyAlignment="1">
      <alignment horizontal="right" vertical="center"/>
    </xf>
    <xf numFmtId="2" fontId="5" fillId="0" borderId="1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4" fillId="0" borderId="10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2" fontId="4" fillId="0" borderId="10" xfId="0" applyNumberFormat="1" applyFont="1" applyBorder="1" applyAlignment="1">
      <alignment horizontal="right" vertical="center"/>
    </xf>
    <xf numFmtId="0" fontId="5" fillId="0" borderId="11" xfId="0" quotePrefix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right" vertical="center"/>
    </xf>
    <xf numFmtId="2" fontId="4" fillId="0" borderId="5" xfId="0" applyNumberFormat="1" applyFont="1" applyBorder="1" applyAlignment="1">
      <alignment horizontal="right" vertical="center"/>
    </xf>
    <xf numFmtId="2" fontId="4" fillId="0" borderId="6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0" fontId="4" fillId="0" borderId="4" xfId="0" applyNumberFormat="1" applyFont="1" applyBorder="1" applyAlignment="1">
      <alignment horizontal="right" vertical="center"/>
    </xf>
    <xf numFmtId="10" fontId="4" fillId="0" borderId="5" xfId="0" applyNumberFormat="1" applyFont="1" applyBorder="1" applyAlignment="1">
      <alignment horizontal="right" vertical="center"/>
    </xf>
    <xf numFmtId="10" fontId="4" fillId="0" borderId="6" xfId="0" applyNumberFormat="1" applyFont="1" applyBorder="1" applyAlignment="1">
      <alignment horizontal="right" vertical="center"/>
    </xf>
    <xf numFmtId="2" fontId="4" fillId="0" borderId="0" xfId="0" applyNumberFormat="1" applyFont="1" applyAlignment="1">
      <alignment horizontal="center"/>
    </xf>
    <xf numFmtId="0" fontId="4" fillId="0" borderId="11" xfId="0" applyFont="1" applyBorder="1" applyAlignment="1">
      <alignment vertical="center"/>
    </xf>
    <xf numFmtId="2" fontId="0" fillId="0" borderId="10" xfId="0" applyNumberFormat="1" applyBorder="1" applyAlignment="1">
      <alignment horizontal="right" vertical="center"/>
    </xf>
    <xf numFmtId="164" fontId="4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right" vertical="center"/>
    </xf>
    <xf numFmtId="2" fontId="5" fillId="3" borderId="5" xfId="0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right" vertical="center"/>
    </xf>
    <xf numFmtId="1" fontId="5" fillId="0" borderId="5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5" fillId="0" borderId="4" xfId="0" quotePrefix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0F0F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X69"/>
  <sheetViews>
    <sheetView tabSelected="1" zoomScale="205" zoomScaleNormal="205" workbookViewId="0">
      <selection activeCell="L22" sqref="L22:AL22"/>
    </sheetView>
  </sheetViews>
  <sheetFormatPr defaultColWidth="1.453125" defaultRowHeight="9" x14ac:dyDescent="0.25"/>
  <cols>
    <col min="1" max="2" width="1.453125" style="2"/>
    <col min="3" max="3" width="8.453125" style="2" customWidth="1"/>
    <col min="4" max="11" width="1.453125" style="2"/>
    <col min="12" max="12" width="9.26953125" style="2" bestFit="1" customWidth="1"/>
    <col min="13" max="30" width="1.453125" style="2"/>
    <col min="31" max="53" width="1.453125" style="2" customWidth="1"/>
    <col min="54" max="81" width="1.453125" style="2"/>
    <col min="82" max="82" width="6.453125" style="2" bestFit="1" customWidth="1"/>
    <col min="83" max="16384" width="1.453125" style="2"/>
  </cols>
  <sheetData>
    <row r="1" spans="1:388" ht="9" customHeight="1" x14ac:dyDescent="0.25">
      <c r="A1" s="1" t="s">
        <v>9</v>
      </c>
      <c r="B1" s="1"/>
    </row>
    <row r="2" spans="1:388" ht="9" customHeight="1" x14ac:dyDescent="0.25">
      <c r="A2" s="1" t="s">
        <v>13</v>
      </c>
      <c r="B2" s="1"/>
    </row>
    <row r="3" spans="1:388" ht="9" customHeight="1" x14ac:dyDescent="0.25">
      <c r="A3" s="1" t="s">
        <v>148</v>
      </c>
      <c r="B3" s="1"/>
    </row>
    <row r="4" spans="1:388" ht="9" customHeight="1" x14ac:dyDescent="0.25">
      <c r="A4" s="1" t="s">
        <v>257</v>
      </c>
      <c r="B4" s="1"/>
    </row>
    <row r="5" spans="1:388" ht="9" customHeight="1" x14ac:dyDescent="0.25">
      <c r="A5" s="1" t="s">
        <v>182</v>
      </c>
      <c r="B5" s="1"/>
      <c r="CY5" s="2" t="s">
        <v>183</v>
      </c>
      <c r="CZ5" s="2" t="s">
        <v>183</v>
      </c>
      <c r="DA5" s="2" t="s">
        <v>183</v>
      </c>
      <c r="DB5" s="2" t="s">
        <v>183</v>
      </c>
      <c r="DC5" s="2" t="s">
        <v>183</v>
      </c>
      <c r="DD5" s="2" t="s">
        <v>183</v>
      </c>
      <c r="DE5" s="2" t="s">
        <v>183</v>
      </c>
      <c r="DF5" s="2" t="s">
        <v>183</v>
      </c>
      <c r="DG5" s="2" t="s">
        <v>183</v>
      </c>
      <c r="DH5" s="2" t="s">
        <v>183</v>
      </c>
      <c r="DI5" s="2" t="s">
        <v>183</v>
      </c>
      <c r="DJ5" s="2" t="s">
        <v>183</v>
      </c>
      <c r="DK5" s="2" t="s">
        <v>183</v>
      </c>
      <c r="DL5" s="2" t="s">
        <v>183</v>
      </c>
      <c r="DM5" s="2" t="s">
        <v>183</v>
      </c>
      <c r="DN5" s="2" t="s">
        <v>184</v>
      </c>
      <c r="DO5" s="2" t="s">
        <v>184</v>
      </c>
      <c r="DP5" s="2" t="s">
        <v>184</v>
      </c>
      <c r="DQ5" s="2" t="s">
        <v>184</v>
      </c>
      <c r="DR5" s="2" t="s">
        <v>184</v>
      </c>
      <c r="DS5" s="2" t="s">
        <v>184</v>
      </c>
      <c r="DT5" s="2" t="s">
        <v>184</v>
      </c>
      <c r="DU5" s="2" t="s">
        <v>184</v>
      </c>
      <c r="DV5" s="2" t="s">
        <v>184</v>
      </c>
      <c r="DW5" s="2" t="s">
        <v>184</v>
      </c>
      <c r="DX5" s="2" t="s">
        <v>184</v>
      </c>
      <c r="DY5" s="2" t="s">
        <v>184</v>
      </c>
      <c r="DZ5" s="2" t="s">
        <v>184</v>
      </c>
      <c r="EA5" s="2" t="s">
        <v>184</v>
      </c>
      <c r="EB5" s="2" t="s">
        <v>184</v>
      </c>
      <c r="EC5" s="2" t="s">
        <v>184</v>
      </c>
      <c r="ED5" s="2" t="s">
        <v>184</v>
      </c>
      <c r="EE5" s="2" t="s">
        <v>184</v>
      </c>
      <c r="EF5" s="2" t="s">
        <v>184</v>
      </c>
      <c r="EG5" s="2" t="s">
        <v>184</v>
      </c>
      <c r="EH5" s="2" t="s">
        <v>184</v>
      </c>
      <c r="EI5" s="2" t="s">
        <v>184</v>
      </c>
      <c r="EJ5" s="2" t="s">
        <v>184</v>
      </c>
      <c r="EK5" s="2" t="s">
        <v>184</v>
      </c>
      <c r="EL5" s="2" t="s">
        <v>184</v>
      </c>
      <c r="EM5" s="2" t="s">
        <v>184</v>
      </c>
      <c r="EN5" s="2" t="s">
        <v>184</v>
      </c>
      <c r="EO5" s="2" t="s">
        <v>184</v>
      </c>
      <c r="EP5" s="2" t="s">
        <v>184</v>
      </c>
      <c r="EQ5" s="2" t="s">
        <v>184</v>
      </c>
      <c r="ER5" s="2" t="s">
        <v>184</v>
      </c>
      <c r="ES5" s="2" t="s">
        <v>184</v>
      </c>
      <c r="ET5" s="2" t="s">
        <v>184</v>
      </c>
      <c r="EU5" s="2" t="s">
        <v>184</v>
      </c>
      <c r="EV5" s="2" t="s">
        <v>184</v>
      </c>
      <c r="EW5" s="2" t="s">
        <v>184</v>
      </c>
      <c r="EX5" s="2" t="s">
        <v>226</v>
      </c>
      <c r="EY5" s="2" t="s">
        <v>226</v>
      </c>
      <c r="EZ5" s="2" t="s">
        <v>226</v>
      </c>
      <c r="FA5" s="2" t="s">
        <v>226</v>
      </c>
      <c r="FB5" s="2" t="s">
        <v>226</v>
      </c>
      <c r="FC5" s="2" t="s">
        <v>226</v>
      </c>
      <c r="FD5" s="2" t="s">
        <v>226</v>
      </c>
      <c r="FE5" s="2" t="s">
        <v>226</v>
      </c>
      <c r="FF5" s="2" t="s">
        <v>226</v>
      </c>
      <c r="FG5" s="2" t="s">
        <v>226</v>
      </c>
      <c r="FH5" s="2" t="s">
        <v>226</v>
      </c>
      <c r="FI5" s="2" t="s">
        <v>226</v>
      </c>
      <c r="FJ5" s="2" t="s">
        <v>227</v>
      </c>
      <c r="FK5" s="2" t="s">
        <v>227</v>
      </c>
      <c r="FL5" s="2" t="s">
        <v>227</v>
      </c>
      <c r="FM5" s="2" t="s">
        <v>227</v>
      </c>
      <c r="FN5" s="2" t="s">
        <v>227</v>
      </c>
      <c r="FO5" s="2" t="s">
        <v>227</v>
      </c>
      <c r="FP5" s="2" t="s">
        <v>227</v>
      </c>
      <c r="FQ5" s="2" t="s">
        <v>227</v>
      </c>
      <c r="FR5" s="2" t="s">
        <v>227</v>
      </c>
      <c r="FS5" s="2" t="s">
        <v>227</v>
      </c>
      <c r="FT5" s="2" t="s">
        <v>228</v>
      </c>
      <c r="FU5" s="2" t="s">
        <v>228</v>
      </c>
      <c r="FV5" s="2" t="s">
        <v>228</v>
      </c>
      <c r="FW5" s="2" t="s">
        <v>228</v>
      </c>
      <c r="FX5" s="2" t="s">
        <v>228</v>
      </c>
      <c r="FY5" s="2" t="s">
        <v>228</v>
      </c>
      <c r="FZ5" s="2" t="s">
        <v>228</v>
      </c>
      <c r="GA5" s="2" t="s">
        <v>228</v>
      </c>
      <c r="GB5" s="2" t="s">
        <v>228</v>
      </c>
      <c r="GC5" s="2" t="s">
        <v>228</v>
      </c>
      <c r="GD5" s="2" t="s">
        <v>228</v>
      </c>
      <c r="GE5" s="2" t="s">
        <v>228</v>
      </c>
      <c r="GF5" s="2" t="s">
        <v>190</v>
      </c>
      <c r="GG5" s="2" t="s">
        <v>190</v>
      </c>
      <c r="GH5" s="2" t="s">
        <v>190</v>
      </c>
      <c r="GI5" s="2" t="s">
        <v>190</v>
      </c>
      <c r="GJ5" s="2" t="s">
        <v>190</v>
      </c>
      <c r="GK5" s="2" t="s">
        <v>190</v>
      </c>
      <c r="GL5" s="2" t="s">
        <v>190</v>
      </c>
      <c r="GM5" s="2" t="s">
        <v>190</v>
      </c>
      <c r="GN5" s="2" t="s">
        <v>190</v>
      </c>
      <c r="GO5" s="2" t="s">
        <v>190</v>
      </c>
      <c r="GP5" s="2" t="s">
        <v>190</v>
      </c>
      <c r="GQ5" s="2" t="s">
        <v>190</v>
      </c>
      <c r="GR5" s="2" t="s">
        <v>190</v>
      </c>
      <c r="GS5" s="2" t="s">
        <v>190</v>
      </c>
      <c r="GT5" s="2" t="s">
        <v>190</v>
      </c>
      <c r="GU5" s="2" t="s">
        <v>190</v>
      </c>
      <c r="GV5" s="2" t="s">
        <v>191</v>
      </c>
      <c r="GW5" s="2" t="s">
        <v>191</v>
      </c>
      <c r="GX5" s="2" t="s">
        <v>191</v>
      </c>
      <c r="GY5" s="2" t="s">
        <v>191</v>
      </c>
      <c r="GZ5" s="2" t="s">
        <v>191</v>
      </c>
      <c r="HA5" s="2" t="s">
        <v>191</v>
      </c>
      <c r="HB5" s="2" t="s">
        <v>191</v>
      </c>
      <c r="HC5" s="2" t="s">
        <v>191</v>
      </c>
      <c r="HD5" s="2" t="s">
        <v>193</v>
      </c>
      <c r="HE5" s="2" t="s">
        <v>193</v>
      </c>
      <c r="HF5" s="2" t="s">
        <v>193</v>
      </c>
      <c r="HG5" s="2" t="s">
        <v>193</v>
      </c>
      <c r="HH5" s="2" t="s">
        <v>193</v>
      </c>
      <c r="HI5" s="2" t="s">
        <v>193</v>
      </c>
      <c r="HJ5" s="2" t="s">
        <v>193</v>
      </c>
      <c r="HK5" s="2" t="s">
        <v>193</v>
      </c>
      <c r="HL5" s="2" t="s">
        <v>196</v>
      </c>
      <c r="HM5" s="2" t="s">
        <v>196</v>
      </c>
      <c r="HN5" s="2" t="s">
        <v>196</v>
      </c>
      <c r="HO5" s="2" t="s">
        <v>196</v>
      </c>
      <c r="HP5" s="2" t="s">
        <v>196</v>
      </c>
      <c r="HQ5" s="2" t="s">
        <v>196</v>
      </c>
      <c r="HR5" s="2" t="s">
        <v>196</v>
      </c>
      <c r="HS5" s="2" t="s">
        <v>196</v>
      </c>
      <c r="HT5" s="2" t="s">
        <v>196</v>
      </c>
      <c r="HU5" s="2" t="s">
        <v>196</v>
      </c>
      <c r="HV5" s="2" t="s">
        <v>196</v>
      </c>
      <c r="HW5" s="2" t="s">
        <v>196</v>
      </c>
      <c r="HX5" s="2" t="s">
        <v>196</v>
      </c>
      <c r="HY5" s="2" t="s">
        <v>196</v>
      </c>
      <c r="HZ5" s="2" t="s">
        <v>196</v>
      </c>
      <c r="IA5" s="2" t="s">
        <v>196</v>
      </c>
      <c r="IB5" s="2" t="s">
        <v>196</v>
      </c>
      <c r="IC5" s="2" t="s">
        <v>196</v>
      </c>
      <c r="ID5" s="2" t="s">
        <v>198</v>
      </c>
      <c r="IE5" s="2" t="s">
        <v>198</v>
      </c>
      <c r="IF5" s="2" t="s">
        <v>198</v>
      </c>
      <c r="IG5" s="2" t="s">
        <v>198</v>
      </c>
      <c r="IH5" s="2" t="s">
        <v>198</v>
      </c>
      <c r="II5" s="2" t="s">
        <v>200</v>
      </c>
      <c r="IJ5" s="2" t="s">
        <v>200</v>
      </c>
      <c r="IK5" s="2" t="s">
        <v>200</v>
      </c>
      <c r="IL5" s="2" t="s">
        <v>200</v>
      </c>
      <c r="IM5" s="2" t="s">
        <v>200</v>
      </c>
      <c r="IN5" s="2" t="s">
        <v>200</v>
      </c>
      <c r="IO5" s="2" t="s">
        <v>200</v>
      </c>
      <c r="IP5" s="2" t="s">
        <v>200</v>
      </c>
      <c r="IQ5" s="2" t="s">
        <v>200</v>
      </c>
      <c r="IR5" s="2" t="s">
        <v>200</v>
      </c>
      <c r="IS5" s="2" t="s">
        <v>200</v>
      </c>
      <c r="IT5" s="2" t="s">
        <v>200</v>
      </c>
      <c r="IU5" s="2" t="s">
        <v>200</v>
      </c>
      <c r="IV5" s="2" t="s">
        <v>200</v>
      </c>
      <c r="IW5" s="2" t="s">
        <v>200</v>
      </c>
      <c r="IX5" s="2" t="s">
        <v>200</v>
      </c>
      <c r="IY5" s="2" t="s">
        <v>200</v>
      </c>
      <c r="IZ5" s="2" t="s">
        <v>200</v>
      </c>
      <c r="JA5" s="2" t="s">
        <v>200</v>
      </c>
      <c r="JB5" s="2" t="s">
        <v>200</v>
      </c>
      <c r="JC5" s="2" t="s">
        <v>200</v>
      </c>
      <c r="JD5" s="2" t="s">
        <v>200</v>
      </c>
      <c r="JE5" s="2" t="s">
        <v>200</v>
      </c>
      <c r="JF5" s="2" t="s">
        <v>200</v>
      </c>
      <c r="JG5" s="2" t="s">
        <v>200</v>
      </c>
      <c r="JH5" s="2" t="s">
        <v>200</v>
      </c>
      <c r="JI5" s="2" t="s">
        <v>200</v>
      </c>
      <c r="JJ5" s="2" t="s">
        <v>200</v>
      </c>
      <c r="JK5" s="2" t="s">
        <v>205</v>
      </c>
      <c r="JL5" s="2" t="s">
        <v>205</v>
      </c>
      <c r="JM5" s="2" t="s">
        <v>205</v>
      </c>
      <c r="JN5" s="2" t="s">
        <v>205</v>
      </c>
      <c r="JO5" s="2" t="s">
        <v>205</v>
      </c>
      <c r="JP5" s="2" t="s">
        <v>205</v>
      </c>
      <c r="JQ5" s="2" t="s">
        <v>205</v>
      </c>
      <c r="JR5" s="2" t="s">
        <v>205</v>
      </c>
      <c r="JS5" s="2" t="s">
        <v>205</v>
      </c>
      <c r="JT5" s="2" t="s">
        <v>205</v>
      </c>
      <c r="JU5" s="2" t="s">
        <v>206</v>
      </c>
      <c r="JV5" s="2" t="s">
        <v>206</v>
      </c>
      <c r="JW5" s="2" t="s">
        <v>206</v>
      </c>
      <c r="JX5" s="2" t="s">
        <v>206</v>
      </c>
      <c r="JY5" s="2" t="s">
        <v>206</v>
      </c>
      <c r="JZ5" s="2" t="s">
        <v>206</v>
      </c>
      <c r="KA5" s="2" t="s">
        <v>206</v>
      </c>
      <c r="KB5" s="2" t="s">
        <v>206</v>
      </c>
      <c r="KC5" s="2" t="s">
        <v>206</v>
      </c>
      <c r="KD5" s="2" t="s">
        <v>206</v>
      </c>
      <c r="KE5" s="2" t="s">
        <v>208</v>
      </c>
      <c r="KF5" s="2" t="s">
        <v>208</v>
      </c>
      <c r="KG5" s="2" t="s">
        <v>208</v>
      </c>
      <c r="KH5" s="2" t="s">
        <v>208</v>
      </c>
      <c r="KI5" s="2" t="s">
        <v>208</v>
      </c>
      <c r="KJ5" s="2" t="s">
        <v>208</v>
      </c>
      <c r="KK5" s="2" t="s">
        <v>208</v>
      </c>
      <c r="KL5" s="2" t="s">
        <v>208</v>
      </c>
      <c r="KM5" s="2" t="s">
        <v>208</v>
      </c>
      <c r="KN5" s="2" t="s">
        <v>208</v>
      </c>
      <c r="KO5" s="2" t="s">
        <v>208</v>
      </c>
      <c r="KP5" s="2" t="s">
        <v>208</v>
      </c>
      <c r="KQ5" s="2" t="s">
        <v>208</v>
      </c>
      <c r="KR5" s="2" t="s">
        <v>208</v>
      </c>
      <c r="KS5" s="2" t="s">
        <v>208</v>
      </c>
      <c r="KT5" s="2" t="s">
        <v>208</v>
      </c>
      <c r="KU5" s="2" t="s">
        <v>208</v>
      </c>
      <c r="KV5" s="2" t="s">
        <v>208</v>
      </c>
      <c r="KW5" s="2" t="s">
        <v>208</v>
      </c>
      <c r="KX5" s="2" t="s">
        <v>208</v>
      </c>
      <c r="KY5" s="2" t="s">
        <v>208</v>
      </c>
      <c r="KZ5" s="2" t="s">
        <v>208</v>
      </c>
      <c r="LA5" s="2" t="s">
        <v>208</v>
      </c>
      <c r="LB5" s="2" t="s">
        <v>208</v>
      </c>
      <c r="LC5" s="2" t="s">
        <v>208</v>
      </c>
      <c r="LD5" s="2" t="s">
        <v>208</v>
      </c>
      <c r="LE5" s="2" t="s">
        <v>209</v>
      </c>
      <c r="LF5" s="2" t="s">
        <v>209</v>
      </c>
      <c r="LG5" s="2" t="s">
        <v>209</v>
      </c>
      <c r="LH5" s="2" t="s">
        <v>209</v>
      </c>
      <c r="LI5" s="2" t="s">
        <v>209</v>
      </c>
      <c r="LJ5" s="2" t="s">
        <v>209</v>
      </c>
      <c r="LK5" s="2" t="s">
        <v>209</v>
      </c>
      <c r="LL5" s="2" t="s">
        <v>209</v>
      </c>
      <c r="LM5" s="2" t="s">
        <v>211</v>
      </c>
      <c r="LN5" s="2" t="s">
        <v>211</v>
      </c>
      <c r="LO5" s="2" t="s">
        <v>211</v>
      </c>
      <c r="LP5" s="2" t="s">
        <v>211</v>
      </c>
      <c r="LQ5" s="2" t="s">
        <v>211</v>
      </c>
      <c r="LR5" s="2" t="s">
        <v>211</v>
      </c>
      <c r="LS5" s="2" t="s">
        <v>211</v>
      </c>
      <c r="LT5" s="2" t="s">
        <v>211</v>
      </c>
      <c r="LU5" s="2" t="s">
        <v>213</v>
      </c>
      <c r="LV5" s="2" t="s">
        <v>213</v>
      </c>
      <c r="LW5" s="2" t="s">
        <v>213</v>
      </c>
      <c r="LX5" s="2" t="s">
        <v>213</v>
      </c>
      <c r="LY5" s="2" t="s">
        <v>213</v>
      </c>
      <c r="LZ5" s="2" t="s">
        <v>213</v>
      </c>
      <c r="MA5" s="2" t="s">
        <v>213</v>
      </c>
      <c r="MB5" s="2" t="s">
        <v>213</v>
      </c>
      <c r="MC5" s="2" t="s">
        <v>215</v>
      </c>
      <c r="MD5" s="2" t="s">
        <v>215</v>
      </c>
      <c r="ME5" s="2" t="s">
        <v>215</v>
      </c>
      <c r="MF5" s="2" t="s">
        <v>215</v>
      </c>
      <c r="MG5" s="2" t="s">
        <v>215</v>
      </c>
      <c r="MH5" s="2" t="s">
        <v>215</v>
      </c>
      <c r="MI5" s="2" t="s">
        <v>215</v>
      </c>
      <c r="MJ5" s="2" t="s">
        <v>215</v>
      </c>
      <c r="MK5" s="2" t="s">
        <v>217</v>
      </c>
      <c r="ML5" s="2" t="s">
        <v>217</v>
      </c>
      <c r="MM5" s="2" t="s">
        <v>217</v>
      </c>
      <c r="MN5" s="2" t="s">
        <v>217</v>
      </c>
      <c r="MO5" s="2" t="s">
        <v>217</v>
      </c>
      <c r="MP5" s="2" t="s">
        <v>217</v>
      </c>
      <c r="MQ5" s="2" t="s">
        <v>217</v>
      </c>
      <c r="MR5" s="2" t="s">
        <v>217</v>
      </c>
      <c r="MS5" s="2" t="s">
        <v>219</v>
      </c>
      <c r="MT5" s="2" t="s">
        <v>219</v>
      </c>
      <c r="MU5" s="2" t="s">
        <v>219</v>
      </c>
      <c r="MV5" s="2" t="s">
        <v>219</v>
      </c>
      <c r="MW5" s="2" t="s">
        <v>219</v>
      </c>
      <c r="MX5" s="2" t="s">
        <v>219</v>
      </c>
      <c r="MY5" s="2" t="s">
        <v>219</v>
      </c>
      <c r="MZ5" s="2" t="s">
        <v>219</v>
      </c>
      <c r="NA5" s="2" t="s">
        <v>219</v>
      </c>
      <c r="NB5" s="2" t="s">
        <v>221</v>
      </c>
      <c r="NC5" s="2" t="s">
        <v>221</v>
      </c>
      <c r="ND5" s="2" t="s">
        <v>221</v>
      </c>
      <c r="NE5" s="2" t="s">
        <v>221</v>
      </c>
      <c r="NF5" s="2" t="s">
        <v>221</v>
      </c>
      <c r="NG5" s="2" t="s">
        <v>221</v>
      </c>
      <c r="NH5" s="2" t="s">
        <v>221</v>
      </c>
      <c r="NI5" s="2" t="s">
        <v>221</v>
      </c>
      <c r="NJ5" s="2" t="s">
        <v>221</v>
      </c>
      <c r="NK5" s="2" t="s">
        <v>223</v>
      </c>
      <c r="NL5" s="2" t="s">
        <v>223</v>
      </c>
      <c r="NM5" s="2" t="s">
        <v>223</v>
      </c>
      <c r="NN5" s="2" t="s">
        <v>223</v>
      </c>
      <c r="NO5" s="2" t="s">
        <v>223</v>
      </c>
      <c r="NP5" s="2" t="s">
        <v>223</v>
      </c>
      <c r="NQ5" s="2" t="s">
        <v>223</v>
      </c>
      <c r="NR5" s="2" t="s">
        <v>223</v>
      </c>
      <c r="NS5" s="2" t="s">
        <v>225</v>
      </c>
      <c r="NT5" s="2" t="s">
        <v>225</v>
      </c>
      <c r="NU5" s="2" t="s">
        <v>225</v>
      </c>
      <c r="NV5" s="2" t="s">
        <v>225</v>
      </c>
      <c r="NW5" s="2" t="s">
        <v>225</v>
      </c>
      <c r="NX5" s="2" t="s">
        <v>225</v>
      </c>
    </row>
    <row r="6" spans="1:388" ht="9" customHeight="1" x14ac:dyDescent="0.25">
      <c r="A6" s="1" t="s">
        <v>10</v>
      </c>
      <c r="B6" s="1"/>
    </row>
    <row r="7" spans="1:388" ht="16" customHeight="1" x14ac:dyDescent="0.2">
      <c r="A7" s="3"/>
      <c r="B7" s="3"/>
      <c r="C7" s="116" t="s">
        <v>147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17"/>
      <c r="CK7" s="117"/>
      <c r="CL7" s="117"/>
      <c r="CM7" s="117"/>
      <c r="CN7" s="117"/>
      <c r="CO7" s="117"/>
      <c r="CP7" s="117"/>
      <c r="CQ7" s="117"/>
      <c r="CR7" s="117"/>
      <c r="CS7" s="117"/>
      <c r="CT7" s="117"/>
      <c r="CU7" s="117"/>
      <c r="CV7" s="117"/>
      <c r="CW7" s="117"/>
      <c r="CX7" s="118"/>
    </row>
    <row r="8" spans="1:388" ht="9" customHeight="1" x14ac:dyDescent="0.2">
      <c r="A8" s="3"/>
      <c r="B8" s="3"/>
      <c r="C8" s="4"/>
      <c r="D8" s="5"/>
      <c r="E8" s="5"/>
      <c r="F8" s="5"/>
      <c r="G8" s="5"/>
      <c r="H8" s="5"/>
      <c r="I8" s="6" t="s">
        <v>53</v>
      </c>
      <c r="J8" s="7"/>
      <c r="K8" s="72" t="s">
        <v>78</v>
      </c>
      <c r="L8" s="73"/>
      <c r="M8" s="73"/>
      <c r="N8" s="73"/>
      <c r="O8" s="73"/>
      <c r="P8" s="73"/>
      <c r="Q8" s="73"/>
      <c r="R8" s="73"/>
      <c r="S8" s="73"/>
      <c r="T8" s="84"/>
      <c r="U8" s="8"/>
      <c r="V8" s="9"/>
      <c r="W8" s="10" t="s">
        <v>54</v>
      </c>
      <c r="X8" s="11"/>
      <c r="Y8" s="72" t="s">
        <v>14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84"/>
      <c r="AM8" s="12"/>
      <c r="AN8" s="13"/>
      <c r="AO8" s="6" t="s">
        <v>55</v>
      </c>
      <c r="AP8" s="14"/>
      <c r="AQ8" s="72" t="s">
        <v>15</v>
      </c>
      <c r="AR8" s="73"/>
      <c r="AS8" s="73"/>
      <c r="AT8" s="73"/>
      <c r="AU8" s="73"/>
      <c r="AV8" s="12"/>
      <c r="AW8" s="13"/>
      <c r="AX8" s="6" t="s">
        <v>149</v>
      </c>
      <c r="AY8" s="14"/>
      <c r="AZ8" s="72" t="s">
        <v>150</v>
      </c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84"/>
      <c r="BN8" s="15"/>
      <c r="BO8" s="13"/>
      <c r="BP8" s="13"/>
      <c r="BQ8" s="13"/>
      <c r="BR8" s="16"/>
      <c r="BS8" s="16"/>
      <c r="BT8" s="16"/>
      <c r="BU8" s="16"/>
      <c r="BV8" s="6" t="s">
        <v>56</v>
      </c>
      <c r="BW8" s="7"/>
      <c r="BX8" s="129" t="s">
        <v>79</v>
      </c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</row>
    <row r="9" spans="1:388" ht="9" customHeight="1" x14ac:dyDescent="0.2">
      <c r="A9" s="3"/>
      <c r="B9" s="3"/>
      <c r="C9" s="17"/>
      <c r="D9" s="18"/>
      <c r="E9" s="9"/>
      <c r="F9" s="9"/>
      <c r="G9" s="9"/>
      <c r="H9" s="9"/>
      <c r="I9" s="10" t="s">
        <v>57</v>
      </c>
      <c r="J9" s="7"/>
      <c r="K9" s="69" t="s">
        <v>273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19"/>
      <c r="BO9" s="9"/>
      <c r="BP9" s="9"/>
      <c r="BQ9" s="9"/>
      <c r="BR9" s="19"/>
      <c r="BS9" s="19"/>
      <c r="BT9" s="19"/>
      <c r="BU9" s="19"/>
      <c r="BV9" s="10" t="s">
        <v>58</v>
      </c>
      <c r="BW9" s="20"/>
      <c r="BX9" s="129" t="s">
        <v>151</v>
      </c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</row>
    <row r="10" spans="1:388" ht="9" customHeight="1" x14ac:dyDescent="0.2">
      <c r="A10" s="3"/>
      <c r="B10" s="3"/>
      <c r="C10" s="17"/>
      <c r="D10" s="18"/>
      <c r="E10" s="9"/>
      <c r="F10" s="9"/>
      <c r="G10" s="9"/>
      <c r="H10" s="9"/>
      <c r="I10" s="10" t="s">
        <v>59</v>
      </c>
      <c r="J10" s="21"/>
      <c r="K10" s="69" t="s">
        <v>271</v>
      </c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19"/>
      <c r="BO10" s="9"/>
      <c r="BP10" s="9"/>
      <c r="BQ10" s="9"/>
      <c r="BR10" s="19"/>
      <c r="BS10" s="19"/>
      <c r="BT10" s="19"/>
      <c r="BU10" s="19"/>
      <c r="BV10" s="10" t="s">
        <v>60</v>
      </c>
      <c r="BW10" s="11"/>
      <c r="BX10" s="129" t="s">
        <v>80</v>
      </c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</row>
    <row r="11" spans="1:388" ht="9" customHeight="1" x14ac:dyDescent="0.2">
      <c r="A11" s="3"/>
      <c r="B11" s="3"/>
      <c r="C11" s="17"/>
      <c r="D11" s="18"/>
      <c r="E11" s="9"/>
      <c r="F11" s="9"/>
      <c r="G11" s="9"/>
      <c r="H11" s="9"/>
      <c r="I11" s="10" t="s">
        <v>61</v>
      </c>
      <c r="J11" s="11"/>
      <c r="K11" s="69" t="s">
        <v>272</v>
      </c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19"/>
      <c r="BO11" s="9"/>
      <c r="BP11" s="9"/>
      <c r="BQ11" s="9"/>
      <c r="BR11" s="19"/>
      <c r="BS11" s="19"/>
      <c r="BT11" s="19"/>
      <c r="BU11" s="19"/>
      <c r="BV11" s="10" t="s">
        <v>62</v>
      </c>
      <c r="BW11" s="11"/>
      <c r="BX11" s="129" t="s">
        <v>279</v>
      </c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</row>
    <row r="12" spans="1:388" ht="3" customHeight="1" x14ac:dyDescent="0.2">
      <c r="A12" s="3"/>
      <c r="B12" s="3"/>
    </row>
    <row r="13" spans="1:388" ht="9" customHeight="1" x14ac:dyDescent="0.2">
      <c r="A13" s="1" t="s">
        <v>181</v>
      </c>
      <c r="B13" s="3"/>
    </row>
    <row r="14" spans="1:388" ht="9" customHeight="1" x14ac:dyDescent="0.2">
      <c r="A14" s="1" t="s">
        <v>256</v>
      </c>
      <c r="B14" s="3"/>
      <c r="C14" s="25" t="s">
        <v>68</v>
      </c>
      <c r="D14" s="26"/>
      <c r="E14" s="27"/>
      <c r="F14" s="18" t="s">
        <v>8</v>
      </c>
      <c r="G14" s="26"/>
      <c r="H14" s="26"/>
      <c r="I14" s="25" t="s">
        <v>69</v>
      </c>
      <c r="J14" s="26"/>
      <c r="K14" s="26"/>
      <c r="L14" s="26"/>
      <c r="M14" s="10"/>
      <c r="N14" s="25" t="s">
        <v>275</v>
      </c>
      <c r="O14" s="10"/>
      <c r="P14" s="26"/>
      <c r="Q14" s="26"/>
      <c r="R14" s="10"/>
      <c r="S14" s="10"/>
      <c r="T14" s="10"/>
      <c r="U14" s="26"/>
      <c r="V14" s="77" t="s">
        <v>70</v>
      </c>
      <c r="W14" s="78"/>
      <c r="X14" s="78"/>
      <c r="Y14" s="78"/>
      <c r="Z14" s="78"/>
      <c r="AA14" s="78"/>
      <c r="AB14" s="78"/>
      <c r="AC14" s="78"/>
      <c r="AD14" s="80" t="s">
        <v>71</v>
      </c>
      <c r="AE14" s="81"/>
      <c r="AF14" s="81"/>
      <c r="AG14" s="81"/>
      <c r="AH14" s="82"/>
      <c r="AI14" s="80" t="s">
        <v>0</v>
      </c>
      <c r="AJ14" s="81"/>
      <c r="AK14" s="81"/>
      <c r="AL14" s="81"/>
      <c r="AM14" s="81"/>
      <c r="AN14" s="81"/>
      <c r="AO14" s="82"/>
      <c r="AP14" s="80" t="s">
        <v>50</v>
      </c>
      <c r="AQ14" s="81"/>
      <c r="AR14" s="81"/>
      <c r="AS14" s="81"/>
      <c r="AT14" s="81"/>
      <c r="AU14" s="82"/>
      <c r="AV14" s="26"/>
      <c r="AW14" s="10"/>
      <c r="AX14" s="10"/>
      <c r="AY14" s="10"/>
      <c r="AZ14" s="10" t="s">
        <v>72</v>
      </c>
      <c r="BA14" s="80" t="s">
        <v>73</v>
      </c>
      <c r="BB14" s="81"/>
      <c r="BC14" s="81"/>
      <c r="BD14" s="81"/>
      <c r="BE14" s="82"/>
      <c r="BF14" s="133" t="s">
        <v>74</v>
      </c>
      <c r="BG14" s="134"/>
      <c r="BH14" s="134"/>
      <c r="BI14" s="134"/>
      <c r="BJ14" s="134"/>
      <c r="BK14" s="134"/>
      <c r="BL14" s="134"/>
      <c r="BM14" s="134"/>
      <c r="BN14" s="135"/>
      <c r="BO14" s="80" t="s">
        <v>51</v>
      </c>
      <c r="BP14" s="81"/>
      <c r="BQ14" s="81"/>
      <c r="BR14" s="81"/>
      <c r="BS14" s="81"/>
      <c r="BT14" s="81"/>
      <c r="BU14" s="81"/>
      <c r="BV14" s="82"/>
      <c r="BW14" s="28"/>
      <c r="BX14" s="10"/>
      <c r="BY14" s="10"/>
      <c r="BZ14" s="26"/>
      <c r="CA14" s="10"/>
      <c r="CB14" s="10" t="s">
        <v>75</v>
      </c>
      <c r="CC14" s="28"/>
      <c r="CD14" s="26"/>
      <c r="CE14" s="26"/>
      <c r="CF14" s="26"/>
      <c r="CG14" s="28"/>
      <c r="CH14" s="10"/>
      <c r="CI14" s="10" t="s">
        <v>52</v>
      </c>
      <c r="CJ14" s="80" t="s">
        <v>76</v>
      </c>
      <c r="CK14" s="81"/>
      <c r="CL14" s="81"/>
      <c r="CM14" s="81"/>
      <c r="CN14" s="81"/>
      <c r="CO14" s="81"/>
      <c r="CP14" s="82"/>
      <c r="CQ14" s="81" t="s">
        <v>77</v>
      </c>
      <c r="CR14" s="81"/>
      <c r="CS14" s="81"/>
      <c r="CT14" s="81"/>
      <c r="CU14" s="81"/>
      <c r="CV14" s="82"/>
      <c r="CW14" s="111" t="s">
        <v>12</v>
      </c>
      <c r="CX14" s="113"/>
      <c r="CY14" s="93" t="s">
        <v>231</v>
      </c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5"/>
      <c r="DN14" s="93" t="s">
        <v>235</v>
      </c>
      <c r="DO14" s="94"/>
      <c r="DP14" s="94"/>
      <c r="DQ14" s="94"/>
      <c r="DR14" s="94"/>
      <c r="DS14" s="94"/>
      <c r="DT14" s="94"/>
      <c r="DU14" s="94"/>
      <c r="DV14" s="94"/>
      <c r="DW14" s="94"/>
      <c r="DX14" s="94"/>
      <c r="DY14" s="95"/>
      <c r="DZ14" s="93" t="s">
        <v>236</v>
      </c>
      <c r="EA14" s="94"/>
      <c r="EB14" s="94"/>
      <c r="EC14" s="94"/>
      <c r="ED14" s="94"/>
      <c r="EE14" s="94"/>
      <c r="EF14" s="94"/>
      <c r="EG14" s="94"/>
      <c r="EH14" s="94"/>
      <c r="EI14" s="94"/>
      <c r="EJ14" s="94"/>
      <c r="EK14" s="95"/>
      <c r="EL14" s="93" t="s">
        <v>237</v>
      </c>
      <c r="EM14" s="94"/>
      <c r="EN14" s="94"/>
      <c r="EO14" s="94"/>
      <c r="EP14" s="94"/>
      <c r="EQ14" s="94"/>
      <c r="ER14" s="94"/>
      <c r="ES14" s="94"/>
      <c r="ET14" s="94"/>
      <c r="EU14" s="94"/>
      <c r="EV14" s="94"/>
      <c r="EW14" s="95"/>
      <c r="EX14" s="93" t="s">
        <v>238</v>
      </c>
      <c r="EY14" s="94"/>
      <c r="EZ14" s="94"/>
      <c r="FA14" s="94"/>
      <c r="FB14" s="94"/>
      <c r="FC14" s="94"/>
      <c r="FD14" s="94"/>
      <c r="FE14" s="94"/>
      <c r="FF14" s="94"/>
      <c r="FG14" s="94"/>
      <c r="FH14" s="94"/>
      <c r="FI14" s="95"/>
      <c r="FJ14" s="93" t="s">
        <v>240</v>
      </c>
      <c r="FK14" s="94"/>
      <c r="FL14" s="94"/>
      <c r="FM14" s="94"/>
      <c r="FN14" s="94"/>
      <c r="FO14" s="94"/>
      <c r="FP14" s="94"/>
      <c r="FQ14" s="94"/>
      <c r="FR14" s="94"/>
      <c r="FS14" s="95"/>
      <c r="FT14" s="93" t="s">
        <v>241</v>
      </c>
      <c r="FU14" s="94"/>
      <c r="FV14" s="94"/>
      <c r="FW14" s="94"/>
      <c r="FX14" s="94"/>
      <c r="FY14" s="94"/>
      <c r="FZ14" s="94"/>
      <c r="GA14" s="94"/>
      <c r="GB14" s="94"/>
      <c r="GC14" s="94"/>
      <c r="GD14" s="94"/>
      <c r="GE14" s="95"/>
      <c r="GF14" s="99" t="s">
        <v>261</v>
      </c>
      <c r="GG14" s="100"/>
      <c r="GH14" s="100"/>
      <c r="GI14" s="100"/>
      <c r="GJ14" s="100"/>
      <c r="GK14" s="101"/>
      <c r="GL14" s="102" t="s">
        <v>12</v>
      </c>
      <c r="GM14" s="103"/>
      <c r="GN14" s="99" t="s">
        <v>262</v>
      </c>
      <c r="GO14" s="100"/>
      <c r="GP14" s="100"/>
      <c r="GQ14" s="100"/>
      <c r="GR14" s="100"/>
      <c r="GS14" s="101"/>
      <c r="GT14" s="102" t="s">
        <v>12</v>
      </c>
      <c r="GU14" s="103"/>
      <c r="GV14" s="99" t="s">
        <v>263</v>
      </c>
      <c r="GW14" s="100"/>
      <c r="GX14" s="100"/>
      <c r="GY14" s="100"/>
      <c r="GZ14" s="100"/>
      <c r="HA14" s="101"/>
      <c r="HB14" s="102" t="s">
        <v>12</v>
      </c>
      <c r="HC14" s="103"/>
      <c r="HD14" s="99" t="s">
        <v>264</v>
      </c>
      <c r="HE14" s="100"/>
      <c r="HF14" s="100"/>
      <c r="HG14" s="100"/>
      <c r="HH14" s="100"/>
      <c r="HI14" s="101"/>
      <c r="HJ14" s="102" t="s">
        <v>12</v>
      </c>
      <c r="HK14" s="103"/>
      <c r="HL14" s="93" t="s">
        <v>254</v>
      </c>
      <c r="HM14" s="94"/>
      <c r="HN14" s="94"/>
      <c r="HO14" s="94"/>
      <c r="HP14" s="94"/>
      <c r="HQ14" s="94"/>
      <c r="HR14" s="94"/>
      <c r="HS14" s="94"/>
      <c r="HT14" s="94"/>
      <c r="HU14" s="94"/>
      <c r="HV14" s="93" t="s">
        <v>253</v>
      </c>
      <c r="HW14" s="94"/>
      <c r="HX14" s="94"/>
      <c r="HY14" s="94"/>
      <c r="HZ14" s="94"/>
      <c r="IA14" s="94"/>
      <c r="IB14" s="94"/>
      <c r="IC14" s="95"/>
      <c r="ID14" s="93" t="s">
        <v>232</v>
      </c>
      <c r="IE14" s="94"/>
      <c r="IF14" s="94"/>
      <c r="IG14" s="94"/>
      <c r="IH14" s="95"/>
      <c r="II14" s="93" t="s">
        <v>252</v>
      </c>
      <c r="IJ14" s="94"/>
      <c r="IK14" s="94"/>
      <c r="IL14" s="94"/>
      <c r="IM14" s="94"/>
      <c r="IN14" s="94"/>
      <c r="IO14" s="94"/>
      <c r="IP14" s="94"/>
      <c r="IQ14" s="94"/>
      <c r="IR14" s="94"/>
      <c r="IS14" s="94"/>
      <c r="IT14" s="94"/>
      <c r="IU14" s="94"/>
      <c r="IV14" s="94"/>
      <c r="IW14" s="94"/>
      <c r="IX14" s="94"/>
      <c r="IY14" s="94"/>
      <c r="IZ14" s="94"/>
      <c r="JA14" s="94"/>
      <c r="JB14" s="94"/>
      <c r="JC14" s="94"/>
      <c r="JD14" s="94"/>
      <c r="JE14" s="94"/>
      <c r="JF14" s="94"/>
      <c r="JG14" s="94"/>
      <c r="JH14" s="94"/>
      <c r="JI14" s="94"/>
      <c r="JJ14" s="95"/>
      <c r="JK14" s="99" t="s">
        <v>251</v>
      </c>
      <c r="JL14" s="100"/>
      <c r="JM14" s="100"/>
      <c r="JN14" s="100"/>
      <c r="JO14" s="100"/>
      <c r="JP14" s="100"/>
      <c r="JQ14" s="100"/>
      <c r="JR14" s="101"/>
      <c r="JS14" s="102" t="s">
        <v>12</v>
      </c>
      <c r="JT14" s="103"/>
      <c r="JU14" s="99" t="s">
        <v>233</v>
      </c>
      <c r="JV14" s="100"/>
      <c r="JW14" s="100"/>
      <c r="JX14" s="100"/>
      <c r="JY14" s="100"/>
      <c r="JZ14" s="100"/>
      <c r="KA14" s="100"/>
      <c r="KB14" s="101"/>
      <c r="KC14" s="102" t="s">
        <v>12</v>
      </c>
      <c r="KD14" s="103"/>
      <c r="KE14" s="93" t="s">
        <v>250</v>
      </c>
      <c r="KF14" s="94"/>
      <c r="KG14" s="94"/>
      <c r="KH14" s="94"/>
      <c r="KI14" s="94"/>
      <c r="KJ14" s="94"/>
      <c r="KK14" s="94"/>
      <c r="KL14" s="94"/>
      <c r="KM14" s="94"/>
      <c r="KN14" s="94"/>
      <c r="KO14" s="94"/>
      <c r="KP14" s="94"/>
      <c r="KQ14" s="94"/>
      <c r="KR14" s="94"/>
      <c r="KS14" s="94"/>
      <c r="KT14" s="94"/>
      <c r="KU14" s="94"/>
      <c r="KV14" s="94"/>
      <c r="KW14" s="94"/>
      <c r="KX14" s="94"/>
      <c r="KY14" s="94"/>
      <c r="KZ14" s="94"/>
      <c r="LA14" s="94"/>
      <c r="LB14" s="94"/>
      <c r="LC14" s="94"/>
      <c r="LD14" s="95"/>
      <c r="LE14" s="93" t="s">
        <v>234</v>
      </c>
      <c r="LF14" s="94"/>
      <c r="LG14" s="94"/>
      <c r="LH14" s="94"/>
      <c r="LI14" s="94"/>
      <c r="LJ14" s="94"/>
      <c r="LK14" s="94"/>
      <c r="LL14" s="95"/>
      <c r="LM14" s="93" t="s">
        <v>249</v>
      </c>
      <c r="LN14" s="94"/>
      <c r="LO14" s="94"/>
      <c r="LP14" s="94"/>
      <c r="LQ14" s="94"/>
      <c r="LR14" s="94"/>
      <c r="LS14" s="94"/>
      <c r="LT14" s="95"/>
      <c r="LU14" s="93" t="s">
        <v>248</v>
      </c>
      <c r="LV14" s="94"/>
      <c r="LW14" s="94"/>
      <c r="LX14" s="94"/>
      <c r="LY14" s="94"/>
      <c r="LZ14" s="94"/>
      <c r="MA14" s="94"/>
      <c r="MB14" s="95"/>
      <c r="MC14" s="93" t="s">
        <v>247</v>
      </c>
      <c r="MD14" s="94"/>
      <c r="ME14" s="94"/>
      <c r="MF14" s="94"/>
      <c r="MG14" s="94"/>
      <c r="MH14" s="94"/>
      <c r="MI14" s="94"/>
      <c r="MJ14" s="95"/>
      <c r="MK14" s="93" t="s">
        <v>246</v>
      </c>
      <c r="ML14" s="94"/>
      <c r="MM14" s="94"/>
      <c r="MN14" s="94"/>
      <c r="MO14" s="94"/>
      <c r="MP14" s="94"/>
      <c r="MQ14" s="94"/>
      <c r="MR14" s="95"/>
      <c r="MS14" s="93" t="s">
        <v>245</v>
      </c>
      <c r="MT14" s="94"/>
      <c r="MU14" s="94"/>
      <c r="MV14" s="94"/>
      <c r="MW14" s="94"/>
      <c r="MX14" s="94"/>
      <c r="MY14" s="94"/>
      <c r="MZ14" s="94"/>
      <c r="NA14" s="95"/>
      <c r="NB14" s="93" t="s">
        <v>244</v>
      </c>
      <c r="NC14" s="94"/>
      <c r="ND14" s="94"/>
      <c r="NE14" s="94"/>
      <c r="NF14" s="94"/>
      <c r="NG14" s="94"/>
      <c r="NH14" s="94"/>
      <c r="NI14" s="94"/>
      <c r="NJ14" s="95"/>
      <c r="NK14" s="93" t="s">
        <v>243</v>
      </c>
      <c r="NL14" s="94"/>
      <c r="NM14" s="94"/>
      <c r="NN14" s="94"/>
      <c r="NO14" s="94"/>
      <c r="NP14" s="94"/>
      <c r="NQ14" s="94"/>
      <c r="NR14" s="95"/>
      <c r="NS14" s="93" t="s">
        <v>242</v>
      </c>
      <c r="NT14" s="94"/>
      <c r="NU14" s="94"/>
      <c r="NV14" s="94"/>
      <c r="NW14" s="94"/>
      <c r="NX14" s="95"/>
    </row>
    <row r="15" spans="1:388" s="22" customFormat="1" ht="9" customHeight="1" x14ac:dyDescent="0.25">
      <c r="A15" s="1" t="s">
        <v>277</v>
      </c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</row>
    <row r="16" spans="1:388" s="22" customFormat="1" ht="9" customHeight="1" x14ac:dyDescent="0.2">
      <c r="A16" s="29"/>
      <c r="B16" s="29"/>
      <c r="C16" s="3" t="s">
        <v>137</v>
      </c>
      <c r="D16" s="124" t="s">
        <v>98</v>
      </c>
      <c r="E16" s="124"/>
      <c r="F16" s="124"/>
      <c r="G16" s="124"/>
      <c r="H16" s="124"/>
      <c r="I16" s="124"/>
      <c r="J16" s="86" t="s">
        <v>99</v>
      </c>
      <c r="K16" s="86"/>
      <c r="L16" s="86"/>
      <c r="M16" s="86"/>
      <c r="N16" s="86"/>
      <c r="O16" s="86"/>
      <c r="P16" s="86" t="s">
        <v>100</v>
      </c>
      <c r="Q16" s="86"/>
      <c r="R16" s="86"/>
      <c r="S16" s="86"/>
      <c r="T16" s="86"/>
      <c r="U16" s="86"/>
      <c r="V16" s="86" t="s">
        <v>104</v>
      </c>
      <c r="W16" s="86"/>
      <c r="X16" s="86"/>
      <c r="Y16" s="86"/>
      <c r="Z16" s="86"/>
      <c r="AA16" s="86"/>
      <c r="AB16" s="86" t="s">
        <v>103</v>
      </c>
      <c r="AC16" s="86"/>
      <c r="AD16" s="86"/>
      <c r="AE16" s="86"/>
      <c r="AF16" s="86"/>
      <c r="AG16" s="86"/>
      <c r="AH16" s="86" t="s">
        <v>112</v>
      </c>
      <c r="AI16" s="86"/>
      <c r="AJ16" s="86"/>
      <c r="AK16" s="86"/>
      <c r="AL16" s="86"/>
      <c r="AM16" s="86"/>
      <c r="AN16" s="86" t="s">
        <v>102</v>
      </c>
      <c r="AO16" s="86"/>
      <c r="AP16" s="86"/>
      <c r="AQ16" s="86"/>
      <c r="AR16" s="86"/>
      <c r="AS16" s="86"/>
      <c r="AT16" s="86" t="s">
        <v>105</v>
      </c>
      <c r="AU16" s="86"/>
      <c r="AV16" s="86"/>
      <c r="AW16" s="86"/>
      <c r="AX16" s="86"/>
      <c r="AY16" s="86"/>
      <c r="AZ16" s="86" t="s">
        <v>101</v>
      </c>
      <c r="BA16" s="86"/>
      <c r="BB16" s="86"/>
      <c r="BC16" s="86"/>
      <c r="BD16" s="86"/>
      <c r="BE16" s="86"/>
      <c r="BF16" s="86" t="s">
        <v>114</v>
      </c>
      <c r="BG16" s="86"/>
      <c r="BH16" s="86"/>
      <c r="BI16" s="86"/>
      <c r="BJ16" s="86"/>
      <c r="BK16" s="86"/>
      <c r="BL16" s="86" t="s">
        <v>126</v>
      </c>
      <c r="BM16" s="86"/>
      <c r="BN16" s="86"/>
      <c r="BO16" s="86"/>
      <c r="BP16" s="86"/>
      <c r="BQ16" s="86"/>
      <c r="BR16" s="86" t="s">
        <v>127</v>
      </c>
      <c r="BS16" s="86"/>
      <c r="BT16" s="86"/>
      <c r="BU16" s="86"/>
      <c r="BV16" s="86"/>
      <c r="BW16" s="86"/>
      <c r="BX16" s="86" t="s">
        <v>128</v>
      </c>
      <c r="BY16" s="86"/>
      <c r="BZ16" s="86"/>
      <c r="CA16" s="86"/>
      <c r="CB16" s="86"/>
      <c r="CC16" s="86"/>
      <c r="CD16" s="86" t="s">
        <v>129</v>
      </c>
      <c r="CE16" s="86"/>
      <c r="CF16" s="86"/>
      <c r="CG16" s="86"/>
      <c r="CH16" s="86"/>
      <c r="CI16" s="86"/>
      <c r="CJ16" s="86" t="s">
        <v>139</v>
      </c>
      <c r="CK16" s="86"/>
      <c r="CL16" s="86"/>
      <c r="CM16" s="86"/>
      <c r="CN16" s="86"/>
      <c r="CO16" s="86"/>
    </row>
    <row r="17" spans="1:388" s="29" customFormat="1" ht="9" customHeight="1" x14ac:dyDescent="0.2">
      <c r="C17" s="3" t="s">
        <v>137</v>
      </c>
      <c r="D17" s="128" t="s">
        <v>22</v>
      </c>
      <c r="E17" s="128"/>
      <c r="F17" s="128"/>
      <c r="G17" s="128"/>
      <c r="H17" s="128"/>
      <c r="I17" s="128"/>
      <c r="J17" s="85" t="s">
        <v>31</v>
      </c>
      <c r="K17" s="85"/>
      <c r="L17" s="85"/>
      <c r="M17" s="85"/>
      <c r="N17" s="85"/>
      <c r="O17" s="85"/>
      <c r="P17" s="85" t="s">
        <v>25</v>
      </c>
      <c r="Q17" s="85"/>
      <c r="R17" s="85"/>
      <c r="S17" s="85"/>
      <c r="T17" s="85"/>
      <c r="U17" s="85"/>
      <c r="V17" s="85" t="s">
        <v>32</v>
      </c>
      <c r="W17" s="85"/>
      <c r="X17" s="85"/>
      <c r="Y17" s="85"/>
      <c r="Z17" s="85"/>
      <c r="AA17" s="85"/>
      <c r="AB17" s="85" t="s">
        <v>30</v>
      </c>
      <c r="AC17" s="85"/>
      <c r="AD17" s="85"/>
      <c r="AE17" s="85"/>
      <c r="AF17" s="85"/>
      <c r="AG17" s="85"/>
      <c r="AH17" s="85" t="s">
        <v>111</v>
      </c>
      <c r="AI17" s="85"/>
      <c r="AJ17" s="85"/>
      <c r="AK17" s="85"/>
      <c r="AL17" s="85"/>
      <c r="AM17" s="85"/>
      <c r="AN17" s="85" t="s">
        <v>37</v>
      </c>
      <c r="AO17" s="85"/>
      <c r="AP17" s="85"/>
      <c r="AQ17" s="85"/>
      <c r="AR17" s="85"/>
      <c r="AS17" s="85"/>
      <c r="AT17" s="85" t="s">
        <v>84</v>
      </c>
      <c r="AU17" s="85"/>
      <c r="AV17" s="85"/>
      <c r="AW17" s="85"/>
      <c r="AX17" s="85"/>
      <c r="AY17" s="85"/>
      <c r="AZ17" s="85" t="s">
        <v>43</v>
      </c>
      <c r="BA17" s="85"/>
      <c r="BB17" s="85"/>
      <c r="BC17" s="85"/>
      <c r="BD17" s="85"/>
      <c r="BE17" s="85"/>
      <c r="BF17" s="85" t="s">
        <v>115</v>
      </c>
      <c r="BG17" s="85"/>
      <c r="BH17" s="85"/>
      <c r="BI17" s="85"/>
      <c r="BJ17" s="85"/>
      <c r="BK17" s="85"/>
      <c r="BL17" s="85" t="s">
        <v>97</v>
      </c>
      <c r="BM17" s="85"/>
      <c r="BN17" s="85"/>
      <c r="BO17" s="85"/>
      <c r="BP17" s="85"/>
      <c r="BQ17" s="85"/>
      <c r="BR17" s="85" t="s">
        <v>106</v>
      </c>
      <c r="BS17" s="85"/>
      <c r="BT17" s="85"/>
      <c r="BU17" s="85"/>
      <c r="BV17" s="85"/>
      <c r="BW17" s="85"/>
      <c r="BX17" s="128" t="s">
        <v>107</v>
      </c>
      <c r="BY17" s="128"/>
      <c r="BZ17" s="128"/>
      <c r="CA17" s="128"/>
      <c r="CB17" s="128"/>
      <c r="CC17" s="128"/>
      <c r="CD17" s="128" t="s">
        <v>118</v>
      </c>
      <c r="CE17" s="128"/>
      <c r="CF17" s="128"/>
      <c r="CG17" s="128"/>
      <c r="CH17" s="128"/>
      <c r="CI17" s="128"/>
      <c r="CJ17" s="128" t="s">
        <v>140</v>
      </c>
      <c r="CK17" s="128"/>
      <c r="CL17" s="128"/>
      <c r="CM17" s="128"/>
      <c r="CN17" s="128"/>
      <c r="CO17" s="128"/>
    </row>
    <row r="18" spans="1:388" s="31" customFormat="1" ht="9" customHeight="1" x14ac:dyDescent="0.25">
      <c r="A18" s="23"/>
      <c r="B18" s="24"/>
      <c r="C18" s="72" t="s">
        <v>21</v>
      </c>
      <c r="D18" s="119"/>
      <c r="E18" s="120"/>
      <c r="F18" s="72" t="s">
        <v>17</v>
      </c>
      <c r="G18" s="73"/>
      <c r="H18" s="84"/>
      <c r="I18" s="72" t="s">
        <v>18</v>
      </c>
      <c r="J18" s="73"/>
      <c r="K18" s="73"/>
      <c r="L18" s="73"/>
      <c r="M18" s="84"/>
      <c r="N18" s="72" t="s">
        <v>276</v>
      </c>
      <c r="O18" s="73"/>
      <c r="P18" s="73"/>
      <c r="Q18" s="73"/>
      <c r="R18" s="73"/>
      <c r="S18" s="73"/>
      <c r="T18" s="73"/>
      <c r="U18" s="84"/>
      <c r="V18" s="72" t="s">
        <v>175</v>
      </c>
      <c r="W18" s="73"/>
      <c r="X18" s="73"/>
      <c r="Y18" s="73"/>
      <c r="Z18" s="73"/>
      <c r="AA18" s="73"/>
      <c r="AB18" s="73"/>
      <c r="AC18" s="84"/>
      <c r="AD18" s="83" t="s">
        <v>146</v>
      </c>
      <c r="AE18" s="75"/>
      <c r="AF18" s="75"/>
      <c r="AG18" s="75"/>
      <c r="AH18" s="76"/>
      <c r="AI18" s="83" t="s">
        <v>152</v>
      </c>
      <c r="AJ18" s="75"/>
      <c r="AK18" s="75"/>
      <c r="AL18" s="75"/>
      <c r="AM18" s="75"/>
      <c r="AN18" s="75"/>
      <c r="AO18" s="76"/>
      <c r="AP18" s="83" t="s">
        <v>168</v>
      </c>
      <c r="AQ18" s="75"/>
      <c r="AR18" s="75"/>
      <c r="AS18" s="75"/>
      <c r="AT18" s="75"/>
      <c r="AU18" s="76"/>
      <c r="AV18" s="83" t="s">
        <v>278</v>
      </c>
      <c r="AW18" s="75"/>
      <c r="AX18" s="75"/>
      <c r="AY18" s="75"/>
      <c r="AZ18" s="76"/>
      <c r="BA18" s="125" t="s">
        <v>19</v>
      </c>
      <c r="BB18" s="126"/>
      <c r="BC18" s="126"/>
      <c r="BD18" s="126"/>
      <c r="BE18" s="127"/>
      <c r="BF18" s="122" t="s">
        <v>161</v>
      </c>
      <c r="BG18" s="122"/>
      <c r="BH18" s="122"/>
      <c r="BI18" s="122"/>
      <c r="BJ18" s="122"/>
      <c r="BK18" s="122"/>
      <c r="BL18" s="122"/>
      <c r="BM18" s="122"/>
      <c r="BN18" s="123"/>
      <c r="BO18" s="121" t="s">
        <v>162</v>
      </c>
      <c r="BP18" s="122"/>
      <c r="BQ18" s="122"/>
      <c r="BR18" s="122"/>
      <c r="BS18" s="122"/>
      <c r="BT18" s="122"/>
      <c r="BU18" s="122"/>
      <c r="BV18" s="123"/>
      <c r="BW18" s="121" t="s">
        <v>164</v>
      </c>
      <c r="BX18" s="122"/>
      <c r="BY18" s="122"/>
      <c r="BZ18" s="122"/>
      <c r="CA18" s="122"/>
      <c r="CB18" s="123"/>
      <c r="CC18" s="121" t="s">
        <v>165</v>
      </c>
      <c r="CD18" s="122"/>
      <c r="CE18" s="122"/>
      <c r="CF18" s="122"/>
      <c r="CG18" s="122"/>
      <c r="CH18" s="122"/>
      <c r="CI18" s="123"/>
      <c r="CJ18" s="121" t="s">
        <v>166</v>
      </c>
      <c r="CK18" s="122"/>
      <c r="CL18" s="122"/>
      <c r="CM18" s="122"/>
      <c r="CN18" s="122"/>
      <c r="CO18" s="122"/>
      <c r="CP18" s="123"/>
      <c r="CQ18" s="121" t="s">
        <v>167</v>
      </c>
      <c r="CR18" s="122"/>
      <c r="CS18" s="122"/>
      <c r="CT18" s="122"/>
      <c r="CU18" s="122"/>
      <c r="CV18" s="123"/>
      <c r="CW18" s="83" t="s">
        <v>20</v>
      </c>
      <c r="CX18" s="76"/>
      <c r="CY18" s="96" t="s">
        <v>255</v>
      </c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8"/>
      <c r="DN18" s="72" t="s">
        <v>258</v>
      </c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84"/>
      <c r="DZ18" s="72" t="s">
        <v>259</v>
      </c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84"/>
      <c r="EL18" s="72" t="s">
        <v>260</v>
      </c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84"/>
      <c r="EX18" s="96" t="s">
        <v>185</v>
      </c>
      <c r="EY18" s="97"/>
      <c r="EZ18" s="97"/>
      <c r="FA18" s="97"/>
      <c r="FB18" s="97"/>
      <c r="FC18" s="97"/>
      <c r="FD18" s="97"/>
      <c r="FE18" s="97"/>
      <c r="FF18" s="97"/>
      <c r="FG18" s="97"/>
      <c r="FH18" s="97"/>
      <c r="FI18" s="98"/>
      <c r="FJ18" s="96" t="s">
        <v>186</v>
      </c>
      <c r="FK18" s="97"/>
      <c r="FL18" s="97"/>
      <c r="FM18" s="97"/>
      <c r="FN18" s="97"/>
      <c r="FO18" s="97"/>
      <c r="FP18" s="97"/>
      <c r="FQ18" s="97"/>
      <c r="FR18" s="97"/>
      <c r="FS18" s="98"/>
      <c r="FT18" s="96" t="s">
        <v>187</v>
      </c>
      <c r="FU18" s="97"/>
      <c r="FV18" s="97"/>
      <c r="FW18" s="97"/>
      <c r="FX18" s="97"/>
      <c r="FY18" s="97"/>
      <c r="FZ18" s="97"/>
      <c r="GA18" s="97"/>
      <c r="GB18" s="97"/>
      <c r="GC18" s="97"/>
      <c r="GD18" s="97"/>
      <c r="GE18" s="98"/>
      <c r="GF18" s="83" t="s">
        <v>266</v>
      </c>
      <c r="GG18" s="75"/>
      <c r="GH18" s="75"/>
      <c r="GI18" s="75"/>
      <c r="GJ18" s="75"/>
      <c r="GK18" s="76"/>
      <c r="GL18" s="83" t="s">
        <v>188</v>
      </c>
      <c r="GM18" s="76"/>
      <c r="GN18" s="83" t="s">
        <v>267</v>
      </c>
      <c r="GO18" s="75"/>
      <c r="GP18" s="75"/>
      <c r="GQ18" s="75"/>
      <c r="GR18" s="75"/>
      <c r="GS18" s="76"/>
      <c r="GT18" s="83" t="s">
        <v>189</v>
      </c>
      <c r="GU18" s="76"/>
      <c r="GV18" s="83" t="s">
        <v>268</v>
      </c>
      <c r="GW18" s="75"/>
      <c r="GX18" s="75"/>
      <c r="GY18" s="75"/>
      <c r="GZ18" s="75"/>
      <c r="HA18" s="76"/>
      <c r="HB18" s="83" t="s">
        <v>229</v>
      </c>
      <c r="HC18" s="76"/>
      <c r="HD18" s="83" t="s">
        <v>269</v>
      </c>
      <c r="HE18" s="75"/>
      <c r="HF18" s="75"/>
      <c r="HG18" s="75"/>
      <c r="HH18" s="75"/>
      <c r="HI18" s="76"/>
      <c r="HJ18" s="83" t="s">
        <v>192</v>
      </c>
      <c r="HK18" s="76"/>
      <c r="HL18" s="72" t="s">
        <v>194</v>
      </c>
      <c r="HM18" s="73"/>
      <c r="HN18" s="73"/>
      <c r="HO18" s="73"/>
      <c r="HP18" s="73"/>
      <c r="HQ18" s="73"/>
      <c r="HR18" s="73"/>
      <c r="HS18" s="73"/>
      <c r="HT18" s="73"/>
      <c r="HU18" s="73"/>
      <c r="HV18" s="72" t="s">
        <v>195</v>
      </c>
      <c r="HW18" s="73"/>
      <c r="HX18" s="73"/>
      <c r="HY18" s="73"/>
      <c r="HZ18" s="73"/>
      <c r="IA18" s="73"/>
      <c r="IB18" s="73"/>
      <c r="IC18" s="84"/>
      <c r="ID18" s="72" t="s">
        <v>197</v>
      </c>
      <c r="IE18" s="73"/>
      <c r="IF18" s="73"/>
      <c r="IG18" s="73"/>
      <c r="IH18" s="84"/>
      <c r="II18" s="72" t="s">
        <v>199</v>
      </c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84"/>
      <c r="JK18" s="83" t="s">
        <v>201</v>
      </c>
      <c r="JL18" s="75"/>
      <c r="JM18" s="75"/>
      <c r="JN18" s="75"/>
      <c r="JO18" s="75"/>
      <c r="JP18" s="75"/>
      <c r="JQ18" s="75"/>
      <c r="JR18" s="76"/>
      <c r="JS18" s="83" t="s">
        <v>202</v>
      </c>
      <c r="JT18" s="76"/>
      <c r="JU18" s="83" t="s">
        <v>204</v>
      </c>
      <c r="JV18" s="75"/>
      <c r="JW18" s="75"/>
      <c r="JX18" s="75"/>
      <c r="JY18" s="75"/>
      <c r="JZ18" s="75"/>
      <c r="KA18" s="75"/>
      <c r="KB18" s="76"/>
      <c r="KC18" s="83" t="s">
        <v>203</v>
      </c>
      <c r="KD18" s="76"/>
      <c r="KE18" s="72" t="s">
        <v>270</v>
      </c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  <c r="KQ18" s="73"/>
      <c r="KR18" s="73"/>
      <c r="KS18" s="73"/>
      <c r="KT18" s="73"/>
      <c r="KU18" s="73"/>
      <c r="KV18" s="73"/>
      <c r="KW18" s="73"/>
      <c r="KX18" s="73"/>
      <c r="KY18" s="73"/>
      <c r="KZ18" s="73"/>
      <c r="LA18" s="73"/>
      <c r="LB18" s="73"/>
      <c r="LC18" s="73"/>
      <c r="LD18" s="84"/>
      <c r="LE18" s="72" t="s">
        <v>207</v>
      </c>
      <c r="LF18" s="73"/>
      <c r="LG18" s="73"/>
      <c r="LH18" s="73"/>
      <c r="LI18" s="73"/>
      <c r="LJ18" s="73"/>
      <c r="LK18" s="73"/>
      <c r="LL18" s="84"/>
      <c r="LM18" s="72" t="s">
        <v>210</v>
      </c>
      <c r="LN18" s="73"/>
      <c r="LO18" s="73"/>
      <c r="LP18" s="73"/>
      <c r="LQ18" s="73"/>
      <c r="LR18" s="73"/>
      <c r="LS18" s="73"/>
      <c r="LT18" s="84"/>
      <c r="LU18" s="72" t="s">
        <v>212</v>
      </c>
      <c r="LV18" s="73"/>
      <c r="LW18" s="73"/>
      <c r="LX18" s="73"/>
      <c r="LY18" s="73"/>
      <c r="LZ18" s="73"/>
      <c r="MA18" s="73"/>
      <c r="MB18" s="84"/>
      <c r="MC18" s="72" t="s">
        <v>214</v>
      </c>
      <c r="MD18" s="73"/>
      <c r="ME18" s="73"/>
      <c r="MF18" s="73"/>
      <c r="MG18" s="73"/>
      <c r="MH18" s="73"/>
      <c r="MI18" s="73"/>
      <c r="MJ18" s="84"/>
      <c r="MK18" s="72" t="s">
        <v>216</v>
      </c>
      <c r="ML18" s="73"/>
      <c r="MM18" s="73"/>
      <c r="MN18" s="73"/>
      <c r="MO18" s="73"/>
      <c r="MP18" s="73"/>
      <c r="MQ18" s="73"/>
      <c r="MR18" s="84"/>
      <c r="MS18" s="72" t="s">
        <v>218</v>
      </c>
      <c r="MT18" s="73"/>
      <c r="MU18" s="73"/>
      <c r="MV18" s="73"/>
      <c r="MW18" s="73"/>
      <c r="MX18" s="73"/>
      <c r="MY18" s="73"/>
      <c r="MZ18" s="73"/>
      <c r="NA18" s="84"/>
      <c r="NB18" s="72" t="s">
        <v>220</v>
      </c>
      <c r="NC18" s="73"/>
      <c r="ND18" s="73"/>
      <c r="NE18" s="73"/>
      <c r="NF18" s="73"/>
      <c r="NG18" s="73"/>
      <c r="NH18" s="73"/>
      <c r="NI18" s="73"/>
      <c r="NJ18" s="84"/>
      <c r="NK18" s="72" t="s">
        <v>222</v>
      </c>
      <c r="NL18" s="73"/>
      <c r="NM18" s="73"/>
      <c r="NN18" s="73"/>
      <c r="NO18" s="73"/>
      <c r="NP18" s="73"/>
      <c r="NQ18" s="73"/>
      <c r="NR18" s="84"/>
      <c r="NS18" s="72" t="s">
        <v>224</v>
      </c>
      <c r="NT18" s="73"/>
      <c r="NU18" s="73"/>
      <c r="NV18" s="73"/>
      <c r="NW18" s="73"/>
      <c r="NX18" s="84"/>
    </row>
    <row r="19" spans="1:388" ht="9" customHeight="1" x14ac:dyDescent="0.25">
      <c r="A19" s="1" t="s">
        <v>174</v>
      </c>
      <c r="B19" s="1"/>
      <c r="N19" s="32"/>
      <c r="P19" s="32"/>
      <c r="Q19" s="32"/>
      <c r="R19" s="32"/>
    </row>
    <row r="20" spans="1:388" ht="9" customHeight="1" x14ac:dyDescent="0.2">
      <c r="A20" s="1"/>
      <c r="B20" s="1"/>
      <c r="C20" s="3" t="s">
        <v>137</v>
      </c>
      <c r="D20" s="2" t="s">
        <v>119</v>
      </c>
      <c r="N20" s="32"/>
      <c r="P20" s="32"/>
      <c r="Q20" s="32"/>
      <c r="R20" s="32"/>
    </row>
    <row r="21" spans="1:388" ht="9" customHeight="1" x14ac:dyDescent="0.25">
      <c r="A21" s="1"/>
      <c r="B21" s="1"/>
      <c r="N21" s="32"/>
      <c r="P21" s="32"/>
      <c r="Q21" s="32"/>
      <c r="R21" s="32"/>
    </row>
    <row r="22" spans="1:388" ht="9" customHeight="1" x14ac:dyDescent="0.25">
      <c r="A22" s="1"/>
      <c r="B22" s="138"/>
      <c r="C22" s="111" t="s">
        <v>63</v>
      </c>
      <c r="D22" s="112"/>
      <c r="E22" s="112"/>
      <c r="F22" s="112"/>
      <c r="G22" s="112"/>
      <c r="H22" s="112"/>
      <c r="I22" s="112"/>
      <c r="J22" s="112"/>
      <c r="K22" s="113"/>
      <c r="L22" s="72" t="s">
        <v>16</v>
      </c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111" t="s">
        <v>64</v>
      </c>
      <c r="AN22" s="112"/>
      <c r="AO22" s="112"/>
      <c r="AP22" s="112"/>
      <c r="AQ22" s="112"/>
      <c r="AR22" s="113"/>
      <c r="AS22" s="89" t="s">
        <v>49</v>
      </c>
      <c r="AT22" s="90"/>
      <c r="AU22" s="90"/>
      <c r="AV22" s="111" t="s">
        <v>87</v>
      </c>
      <c r="AW22" s="112"/>
      <c r="AX22" s="112"/>
      <c r="AY22" s="112"/>
      <c r="AZ22" s="112"/>
      <c r="BA22" s="113"/>
      <c r="BB22" s="89" t="s">
        <v>88</v>
      </c>
      <c r="BC22" s="90"/>
      <c r="BD22" s="91"/>
    </row>
    <row r="23" spans="1:388" s="31" customFormat="1" ht="9" customHeight="1" x14ac:dyDescent="0.25">
      <c r="B23" s="138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28"/>
      <c r="AF23" s="26"/>
      <c r="AG23" s="26"/>
      <c r="AH23" s="26"/>
      <c r="AI23" s="26"/>
      <c r="AJ23" s="26"/>
      <c r="AK23" s="26"/>
      <c r="AL23" s="10" t="s">
        <v>0</v>
      </c>
      <c r="AM23" s="26"/>
      <c r="AN23" s="28"/>
      <c r="AO23" s="18" t="s">
        <v>65</v>
      </c>
      <c r="AP23" s="26"/>
      <c r="AQ23" s="26"/>
      <c r="AR23" s="26"/>
      <c r="AS23" s="111" t="s">
        <v>90</v>
      </c>
      <c r="AT23" s="112"/>
      <c r="AU23" s="112"/>
      <c r="AV23" s="112"/>
      <c r="AW23" s="112"/>
      <c r="AX23" s="112"/>
      <c r="AY23" s="112"/>
      <c r="AZ23" s="113"/>
      <c r="BA23" s="26"/>
      <c r="BB23" s="81" t="s">
        <v>91</v>
      </c>
      <c r="BC23" s="81"/>
      <c r="BD23" s="81"/>
      <c r="BE23" s="81"/>
      <c r="BF23" s="81"/>
      <c r="BG23" s="81"/>
      <c r="BH23" s="81"/>
      <c r="BI23" s="81"/>
      <c r="BJ23" s="27"/>
      <c r="BK23" s="26"/>
      <c r="BL23" s="81" t="s">
        <v>92</v>
      </c>
      <c r="BM23" s="81"/>
      <c r="BN23" s="81"/>
      <c r="BO23" s="81"/>
      <c r="BP23" s="81"/>
      <c r="BQ23" s="81"/>
      <c r="BR23" s="81"/>
      <c r="BS23" s="81"/>
      <c r="BT23" s="81"/>
      <c r="BU23" s="27"/>
      <c r="BV23" s="111" t="s">
        <v>93</v>
      </c>
      <c r="BW23" s="112"/>
      <c r="BX23" s="112"/>
      <c r="BY23" s="112"/>
      <c r="BZ23" s="112"/>
      <c r="CA23" s="112"/>
      <c r="CB23" s="112"/>
      <c r="CC23" s="113"/>
      <c r="CD23" s="28"/>
      <c r="CE23" s="81" t="s">
        <v>113</v>
      </c>
      <c r="CF23" s="81"/>
      <c r="CG23" s="81"/>
      <c r="CH23" s="81"/>
      <c r="CI23" s="81"/>
      <c r="CJ23" s="81"/>
      <c r="CK23" s="81"/>
      <c r="CL23" s="81"/>
      <c r="CM23" s="27"/>
      <c r="CN23" s="28"/>
      <c r="CO23" s="81" t="s">
        <v>122</v>
      </c>
      <c r="CP23" s="81"/>
      <c r="CQ23" s="81"/>
      <c r="CR23" s="81"/>
      <c r="CS23" s="81"/>
      <c r="CT23" s="81"/>
      <c r="CU23" s="81"/>
      <c r="CV23" s="81"/>
      <c r="CW23" s="81"/>
      <c r="CX23" s="27"/>
    </row>
    <row r="24" spans="1:388" ht="9" customHeight="1" x14ac:dyDescent="0.25">
      <c r="B24" s="138"/>
      <c r="C24" s="35" t="s">
        <v>1</v>
      </c>
      <c r="D24" s="31"/>
      <c r="E24" s="31"/>
      <c r="F24" s="31"/>
      <c r="G24" s="31"/>
      <c r="AE24" s="114" t="s">
        <v>23</v>
      </c>
      <c r="AF24" s="114"/>
      <c r="AG24" s="114"/>
      <c r="AH24" s="114"/>
      <c r="AI24" s="114"/>
      <c r="AJ24" s="114"/>
      <c r="AK24" s="114"/>
      <c r="AL24" s="114"/>
      <c r="AO24" s="145" t="s">
        <v>89</v>
      </c>
      <c r="AP24" s="145"/>
      <c r="AQ24" s="145"/>
      <c r="AR24" s="36"/>
      <c r="AS24" s="109">
        <v>1</v>
      </c>
      <c r="AT24" s="109"/>
      <c r="AU24" s="109"/>
      <c r="AV24" s="109"/>
      <c r="AW24" s="109"/>
      <c r="AX24" s="109"/>
      <c r="AY24" s="109"/>
      <c r="AZ24" s="109"/>
      <c r="BB24" s="114" t="s">
        <v>23</v>
      </c>
      <c r="BC24" s="114"/>
      <c r="BD24" s="114"/>
      <c r="BE24" s="114"/>
      <c r="BF24" s="114"/>
      <c r="BG24" s="114"/>
      <c r="BH24" s="114"/>
      <c r="BI24" s="114"/>
      <c r="BL24" s="114" t="str">
        <f>BB24</f>
        <v>&lt;Total InvoiceLines.LinePrice&gt;</v>
      </c>
      <c r="BM24" s="114"/>
      <c r="BN24" s="114"/>
      <c r="BO24" s="114"/>
      <c r="BP24" s="114"/>
      <c r="BQ24" s="114"/>
      <c r="BR24" s="114"/>
      <c r="BS24" s="114"/>
      <c r="BT24" s="114"/>
      <c r="BV24" s="131" t="s">
        <v>24</v>
      </c>
      <c r="BW24" s="132"/>
      <c r="BX24" s="132"/>
      <c r="BY24" s="132"/>
      <c r="BZ24" s="132"/>
      <c r="CA24" s="132"/>
      <c r="CB24" s="132"/>
      <c r="CC24" s="132"/>
      <c r="CD24" s="44"/>
      <c r="CE24" s="114" t="e">
        <f>BL24/BV24</f>
        <v>#VALUE!</v>
      </c>
      <c r="CF24" s="130"/>
      <c r="CG24" s="130"/>
      <c r="CH24" s="130"/>
      <c r="CI24" s="130"/>
      <c r="CJ24" s="130"/>
      <c r="CK24" s="130"/>
      <c r="CL24" s="130"/>
      <c r="CM24" s="67"/>
      <c r="CX24" s="38"/>
    </row>
    <row r="25" spans="1:388" ht="9" customHeight="1" x14ac:dyDescent="0.25">
      <c r="A25" s="39" t="s">
        <v>134</v>
      </c>
      <c r="B25" s="138"/>
      <c r="C25" s="40" t="s">
        <v>176</v>
      </c>
      <c r="D25" s="31"/>
      <c r="E25" s="31"/>
      <c r="F25" s="31"/>
      <c r="G25" s="31"/>
      <c r="AE25" s="88" t="s">
        <v>33</v>
      </c>
      <c r="AF25" s="88"/>
      <c r="AG25" s="88"/>
      <c r="AH25" s="88"/>
      <c r="AI25" s="88"/>
      <c r="AJ25" s="88"/>
      <c r="AK25" s="88"/>
      <c r="AL25" s="88"/>
      <c r="AO25" s="87" t="s">
        <v>40</v>
      </c>
      <c r="AP25" s="87"/>
      <c r="AQ25" s="87"/>
      <c r="AS25" s="92" t="s">
        <v>35</v>
      </c>
      <c r="AT25" s="92"/>
      <c r="AU25" s="92"/>
      <c r="AV25" s="92"/>
      <c r="AW25" s="92"/>
      <c r="AX25" s="92"/>
      <c r="AY25" s="92"/>
      <c r="AZ25" s="92"/>
      <c r="BB25" s="88" t="e">
        <f t="shared" ref="BB25:BB32" si="0">ROUND(AE25/AS25, 2)</f>
        <v>#VALUE!</v>
      </c>
      <c r="BC25" s="88"/>
      <c r="BD25" s="88"/>
      <c r="BE25" s="88"/>
      <c r="BF25" s="88"/>
      <c r="BG25" s="88"/>
      <c r="BH25" s="88"/>
      <c r="BI25" s="88"/>
      <c r="BL25" s="42"/>
      <c r="BM25" s="42"/>
      <c r="BN25" s="42"/>
      <c r="BO25" s="42"/>
      <c r="BP25" s="42"/>
      <c r="BQ25" s="43"/>
      <c r="BR25" s="42"/>
      <c r="BS25" s="42"/>
      <c r="BU25" s="41"/>
      <c r="BV25" s="44"/>
      <c r="BW25" s="44"/>
      <c r="BX25" s="44"/>
      <c r="BY25" s="44"/>
      <c r="BZ25" s="44"/>
      <c r="CA25" s="44"/>
      <c r="CB25" s="44"/>
      <c r="CC25" s="44"/>
      <c r="CH25" s="44"/>
      <c r="CI25" s="44"/>
      <c r="CJ25" s="44"/>
      <c r="CK25" s="44"/>
      <c r="CL25" s="44"/>
      <c r="CM25" s="44"/>
      <c r="CN25" s="44"/>
      <c r="CO25" s="37"/>
      <c r="CU25" s="42"/>
      <c r="CX25" s="38"/>
    </row>
    <row r="26" spans="1:388" ht="9" customHeight="1" x14ac:dyDescent="0.25">
      <c r="A26" s="39" t="s">
        <v>94</v>
      </c>
      <c r="B26" s="138"/>
      <c r="C26" s="35" t="s">
        <v>177</v>
      </c>
      <c r="D26" s="31"/>
      <c r="E26" s="31"/>
      <c r="F26" s="31"/>
      <c r="G26" s="31"/>
      <c r="AE26" s="88" t="s">
        <v>34</v>
      </c>
      <c r="AF26" s="88"/>
      <c r="AG26" s="88"/>
      <c r="AH26" s="88"/>
      <c r="AI26" s="88"/>
      <c r="AJ26" s="88"/>
      <c r="AK26" s="88"/>
      <c r="AL26" s="88"/>
      <c r="AO26" s="87" t="s">
        <v>41</v>
      </c>
      <c r="AP26" s="87"/>
      <c r="AQ26" s="87"/>
      <c r="AS26" s="92" t="s">
        <v>36</v>
      </c>
      <c r="AT26" s="92"/>
      <c r="AU26" s="92"/>
      <c r="AV26" s="92"/>
      <c r="AW26" s="92"/>
      <c r="AX26" s="92"/>
      <c r="AY26" s="92"/>
      <c r="AZ26" s="92"/>
      <c r="BB26" s="88" t="e">
        <f t="shared" si="0"/>
        <v>#VALUE!</v>
      </c>
      <c r="BC26" s="88"/>
      <c r="BD26" s="88"/>
      <c r="BE26" s="88"/>
      <c r="BF26" s="88"/>
      <c r="BG26" s="88"/>
      <c r="BH26" s="88"/>
      <c r="BI26" s="88"/>
      <c r="BL26" s="42"/>
      <c r="BM26" s="42"/>
      <c r="BN26" s="42"/>
      <c r="BO26" s="42"/>
      <c r="BP26" s="42"/>
      <c r="BQ26" s="43"/>
      <c r="BR26" s="42"/>
      <c r="BS26" s="42"/>
      <c r="BU26" s="41"/>
      <c r="BV26" s="44"/>
      <c r="BW26" s="44"/>
      <c r="BX26" s="44"/>
      <c r="BY26" s="44"/>
      <c r="BZ26" s="44"/>
      <c r="CA26" s="44"/>
      <c r="CB26" s="44"/>
      <c r="CC26" s="44"/>
      <c r="CH26" s="44"/>
      <c r="CI26" s="44"/>
      <c r="CJ26" s="44"/>
      <c r="CK26" s="44"/>
      <c r="CL26" s="44"/>
      <c r="CM26" s="44"/>
      <c r="CN26" s="44"/>
      <c r="CO26" s="37"/>
      <c r="CU26" s="42"/>
      <c r="CX26" s="38"/>
    </row>
    <row r="27" spans="1:388" ht="9" customHeight="1" x14ac:dyDescent="0.25">
      <c r="A27" s="39" t="s">
        <v>120</v>
      </c>
      <c r="B27" s="138"/>
      <c r="C27" s="35" t="s">
        <v>178</v>
      </c>
      <c r="D27" s="31"/>
      <c r="E27" s="31"/>
      <c r="F27" s="31"/>
      <c r="G27" s="31"/>
      <c r="AE27" s="88" t="s">
        <v>108</v>
      </c>
      <c r="AF27" s="88"/>
      <c r="AG27" s="88"/>
      <c r="AH27" s="88"/>
      <c r="AI27" s="88"/>
      <c r="AJ27" s="88"/>
      <c r="AK27" s="88"/>
      <c r="AL27" s="88"/>
      <c r="AO27" s="87" t="s">
        <v>109</v>
      </c>
      <c r="AP27" s="87"/>
      <c r="AQ27" s="87"/>
      <c r="AS27" s="92" t="s">
        <v>110</v>
      </c>
      <c r="AT27" s="92"/>
      <c r="AU27" s="92"/>
      <c r="AV27" s="92"/>
      <c r="AW27" s="92"/>
      <c r="AX27" s="92"/>
      <c r="AY27" s="92"/>
      <c r="AZ27" s="92"/>
      <c r="BB27" s="88" t="e">
        <f t="shared" si="0"/>
        <v>#VALUE!</v>
      </c>
      <c r="BC27" s="88"/>
      <c r="BD27" s="88"/>
      <c r="BE27" s="88"/>
      <c r="BF27" s="88"/>
      <c r="BG27" s="88"/>
      <c r="BH27" s="88"/>
      <c r="BI27" s="88"/>
      <c r="BL27" s="42"/>
      <c r="BM27" s="42"/>
      <c r="BN27" s="42"/>
      <c r="BO27" s="42"/>
      <c r="BP27" s="42"/>
      <c r="BQ27" s="43"/>
      <c r="BR27" s="42"/>
      <c r="BS27" s="42"/>
      <c r="BU27" s="41"/>
      <c r="CH27" s="44"/>
      <c r="CI27" s="44"/>
      <c r="CJ27" s="44"/>
      <c r="CK27" s="44"/>
      <c r="CL27" s="44"/>
      <c r="CM27" s="44"/>
      <c r="CN27" s="44"/>
      <c r="CO27" s="37"/>
      <c r="CU27" s="42"/>
      <c r="CX27" s="38"/>
    </row>
    <row r="28" spans="1:388" ht="9" customHeight="1" x14ac:dyDescent="0.25">
      <c r="A28" s="39" t="s">
        <v>85</v>
      </c>
      <c r="B28" s="138"/>
      <c r="C28" s="35" t="s">
        <v>179</v>
      </c>
      <c r="D28" s="31"/>
      <c r="E28" s="31"/>
      <c r="F28" s="31"/>
      <c r="G28" s="31"/>
      <c r="AE28" s="88" t="s">
        <v>81</v>
      </c>
      <c r="AF28" s="88"/>
      <c r="AG28" s="88"/>
      <c r="AH28" s="88"/>
      <c r="AI28" s="88"/>
      <c r="AJ28" s="88"/>
      <c r="AK28" s="88"/>
      <c r="AL28" s="88"/>
      <c r="AO28" s="87" t="s">
        <v>82</v>
      </c>
      <c r="AP28" s="87"/>
      <c r="AQ28" s="87"/>
      <c r="AS28" s="92" t="s">
        <v>83</v>
      </c>
      <c r="AT28" s="92"/>
      <c r="AU28" s="92"/>
      <c r="AV28" s="92"/>
      <c r="AW28" s="92"/>
      <c r="AX28" s="92"/>
      <c r="AY28" s="92"/>
      <c r="AZ28" s="92"/>
      <c r="BB28" s="88" t="e">
        <f t="shared" si="0"/>
        <v>#VALUE!</v>
      </c>
      <c r="BC28" s="88"/>
      <c r="BD28" s="88"/>
      <c r="BE28" s="88"/>
      <c r="BF28" s="88"/>
      <c r="BG28" s="88"/>
      <c r="BH28" s="88"/>
      <c r="BI28" s="88"/>
      <c r="BL28" s="41"/>
      <c r="BM28" s="41"/>
      <c r="BN28" s="41"/>
      <c r="BO28" s="41"/>
      <c r="BP28" s="41"/>
      <c r="BQ28" s="41"/>
      <c r="BR28" s="42"/>
      <c r="BS28" s="42"/>
      <c r="BU28" s="41"/>
      <c r="CH28" s="44"/>
      <c r="CI28" s="44"/>
      <c r="CJ28" s="44"/>
      <c r="CK28" s="44"/>
      <c r="CL28" s="44"/>
      <c r="CM28" s="44"/>
      <c r="CN28" s="44"/>
      <c r="CO28" s="37"/>
      <c r="CU28" s="42"/>
      <c r="CX28" s="38"/>
    </row>
    <row r="29" spans="1:388" ht="9" customHeight="1" x14ac:dyDescent="0.25">
      <c r="A29" s="39" t="s">
        <v>95</v>
      </c>
      <c r="B29" s="138"/>
      <c r="C29" s="35" t="s">
        <v>2</v>
      </c>
      <c r="D29" s="31"/>
      <c r="E29" s="31"/>
      <c r="F29" s="31"/>
      <c r="G29" s="31"/>
      <c r="AE29" s="88" t="s">
        <v>28</v>
      </c>
      <c r="AF29" s="88"/>
      <c r="AG29" s="88"/>
      <c r="AH29" s="88"/>
      <c r="AI29" s="88"/>
      <c r="AJ29" s="88"/>
      <c r="AK29" s="88"/>
      <c r="AL29" s="88"/>
      <c r="AO29" s="87" t="s">
        <v>42</v>
      </c>
      <c r="AP29" s="87"/>
      <c r="AQ29" s="87"/>
      <c r="AS29" s="92" t="s">
        <v>26</v>
      </c>
      <c r="AT29" s="92"/>
      <c r="AU29" s="92"/>
      <c r="AV29" s="92"/>
      <c r="AW29" s="92"/>
      <c r="AX29" s="92"/>
      <c r="AY29" s="92"/>
      <c r="AZ29" s="92"/>
      <c r="BB29" s="88" t="e">
        <f t="shared" si="0"/>
        <v>#VALUE!</v>
      </c>
      <c r="BC29" s="88"/>
      <c r="BD29" s="88"/>
      <c r="BE29" s="88"/>
      <c r="BF29" s="88"/>
      <c r="BG29" s="88"/>
      <c r="BH29" s="88"/>
      <c r="BI29" s="88"/>
      <c r="BL29" s="88" t="e">
        <f>BL24+BB29</f>
        <v>#VALUE!</v>
      </c>
      <c r="BM29" s="88"/>
      <c r="BN29" s="88"/>
      <c r="BO29" s="88"/>
      <c r="BP29" s="88"/>
      <c r="BQ29" s="88"/>
      <c r="BR29" s="88"/>
      <c r="BS29" s="88"/>
      <c r="BT29" s="88"/>
      <c r="BU29" s="41"/>
      <c r="BV29" s="44"/>
      <c r="BW29" s="44"/>
      <c r="BX29" s="44"/>
      <c r="BY29" s="44"/>
      <c r="BZ29" s="44"/>
      <c r="CA29" s="44"/>
      <c r="CB29" s="44"/>
      <c r="CC29" s="44"/>
      <c r="CH29" s="44"/>
      <c r="CI29" s="44"/>
      <c r="CJ29" s="44"/>
      <c r="CK29" s="44"/>
      <c r="CL29" s="44"/>
      <c r="CM29" s="44"/>
      <c r="CN29" s="44"/>
      <c r="CO29" s="37"/>
      <c r="CU29" s="42"/>
      <c r="CX29" s="38"/>
    </row>
    <row r="30" spans="1:388" ht="9" customHeight="1" x14ac:dyDescent="0.25">
      <c r="A30" s="39" t="s">
        <v>96</v>
      </c>
      <c r="B30" s="138"/>
      <c r="C30" s="35" t="s">
        <v>3</v>
      </c>
      <c r="D30" s="31"/>
      <c r="E30" s="31"/>
      <c r="F30" s="31"/>
      <c r="G30" s="31"/>
      <c r="AE30" s="88" t="s">
        <v>29</v>
      </c>
      <c r="AF30" s="88"/>
      <c r="AG30" s="88"/>
      <c r="AH30" s="88"/>
      <c r="AI30" s="88"/>
      <c r="AJ30" s="88"/>
      <c r="AK30" s="88"/>
      <c r="AL30" s="88"/>
      <c r="AO30" s="87" t="s">
        <v>47</v>
      </c>
      <c r="AP30" s="87"/>
      <c r="AQ30" s="87"/>
      <c r="AS30" s="92" t="s">
        <v>27</v>
      </c>
      <c r="AT30" s="92"/>
      <c r="AU30" s="92"/>
      <c r="AV30" s="92"/>
      <c r="AW30" s="92"/>
      <c r="AX30" s="92"/>
      <c r="AY30" s="92"/>
      <c r="AZ30" s="92"/>
      <c r="BB30" s="88" t="e">
        <f t="shared" si="0"/>
        <v>#VALUE!</v>
      </c>
      <c r="BC30" s="88"/>
      <c r="BD30" s="88"/>
      <c r="BE30" s="88"/>
      <c r="BF30" s="88"/>
      <c r="BG30" s="88"/>
      <c r="BH30" s="88"/>
      <c r="BI30" s="88"/>
      <c r="BL30" s="88" t="e">
        <f>BL29+BB30</f>
        <v>#VALUE!</v>
      </c>
      <c r="BM30" s="88"/>
      <c r="BN30" s="88"/>
      <c r="BO30" s="88"/>
      <c r="BP30" s="88"/>
      <c r="BQ30" s="88"/>
      <c r="BR30" s="88"/>
      <c r="BS30" s="88"/>
      <c r="BT30" s="88"/>
      <c r="BU30" s="41"/>
      <c r="BV30" s="44"/>
      <c r="BW30" s="44"/>
      <c r="BX30" s="44"/>
      <c r="BY30" s="44"/>
      <c r="BZ30" s="44"/>
      <c r="CA30" s="44"/>
      <c r="CB30" s="44"/>
      <c r="CC30" s="44"/>
      <c r="CH30" s="44"/>
      <c r="CI30" s="44"/>
      <c r="CJ30" s="44"/>
      <c r="CK30" s="44"/>
      <c r="CL30" s="44"/>
      <c r="CM30" s="44"/>
      <c r="CN30" s="44"/>
      <c r="CO30" s="37"/>
      <c r="CU30" s="42"/>
      <c r="CX30" s="38"/>
    </row>
    <row r="31" spans="1:388" ht="9" customHeight="1" x14ac:dyDescent="0.25">
      <c r="A31" s="39" t="s">
        <v>121</v>
      </c>
      <c r="B31" s="138"/>
      <c r="C31" s="35" t="s">
        <v>4</v>
      </c>
      <c r="D31" s="31"/>
      <c r="E31" s="31"/>
      <c r="F31" s="31"/>
      <c r="G31" s="31"/>
      <c r="AE31" s="88" t="s">
        <v>38</v>
      </c>
      <c r="AF31" s="88"/>
      <c r="AG31" s="88"/>
      <c r="AH31" s="88"/>
      <c r="AI31" s="88"/>
      <c r="AJ31" s="88"/>
      <c r="AK31" s="88"/>
      <c r="AL31" s="88"/>
      <c r="AO31" s="87" t="s">
        <v>48</v>
      </c>
      <c r="AP31" s="87"/>
      <c r="AQ31" s="87"/>
      <c r="AS31" s="92" t="s">
        <v>39</v>
      </c>
      <c r="AT31" s="92"/>
      <c r="AU31" s="92"/>
      <c r="AV31" s="92"/>
      <c r="AW31" s="92"/>
      <c r="AX31" s="92"/>
      <c r="AY31" s="92"/>
      <c r="AZ31" s="92"/>
      <c r="BB31" s="88" t="e">
        <f t="shared" si="0"/>
        <v>#VALUE!</v>
      </c>
      <c r="BC31" s="88"/>
      <c r="BD31" s="88"/>
      <c r="BE31" s="88"/>
      <c r="BF31" s="88"/>
      <c r="BG31" s="88"/>
      <c r="BH31" s="88"/>
      <c r="BI31" s="88"/>
      <c r="BL31" s="88" t="e">
        <f>BL30+BB31</f>
        <v>#VALUE!</v>
      </c>
      <c r="BM31" s="88"/>
      <c r="BN31" s="88"/>
      <c r="BO31" s="88"/>
      <c r="BP31" s="88"/>
      <c r="BQ31" s="88"/>
      <c r="BR31" s="88"/>
      <c r="BS31" s="88"/>
      <c r="BT31" s="88"/>
      <c r="BU31" s="41"/>
      <c r="CH31" s="44"/>
      <c r="CI31" s="44"/>
      <c r="CJ31" s="44"/>
      <c r="CK31" s="44"/>
      <c r="CL31" s="44"/>
      <c r="CM31" s="44"/>
      <c r="CN31" s="44"/>
      <c r="CO31" s="37"/>
      <c r="CU31" s="42"/>
      <c r="CX31" s="38"/>
    </row>
    <row r="32" spans="1:388" ht="9" customHeight="1" x14ac:dyDescent="0.25">
      <c r="A32" s="39" t="s">
        <v>86</v>
      </c>
      <c r="B32" s="138"/>
      <c r="C32" s="35" t="s">
        <v>66</v>
      </c>
      <c r="AE32" s="88" t="s">
        <v>44</v>
      </c>
      <c r="AF32" s="88"/>
      <c r="AG32" s="88"/>
      <c r="AH32" s="88"/>
      <c r="AI32" s="88"/>
      <c r="AJ32" s="88"/>
      <c r="AK32" s="88"/>
      <c r="AL32" s="88"/>
      <c r="AO32" s="87" t="s">
        <v>46</v>
      </c>
      <c r="AP32" s="87"/>
      <c r="AQ32" s="87"/>
      <c r="AS32" s="92" t="s">
        <v>45</v>
      </c>
      <c r="AT32" s="92"/>
      <c r="AU32" s="92"/>
      <c r="AV32" s="92"/>
      <c r="AW32" s="92"/>
      <c r="AX32" s="92"/>
      <c r="AY32" s="92"/>
      <c r="AZ32" s="92"/>
      <c r="BB32" s="88" t="e">
        <f t="shared" si="0"/>
        <v>#VALUE!</v>
      </c>
      <c r="BC32" s="88"/>
      <c r="BD32" s="88"/>
      <c r="BE32" s="88"/>
      <c r="BF32" s="88"/>
      <c r="BG32" s="88"/>
      <c r="BH32" s="88"/>
      <c r="BI32" s="88"/>
      <c r="BL32" s="88" t="e">
        <f>BL31+BB32</f>
        <v>#VALUE!</v>
      </c>
      <c r="BM32" s="88"/>
      <c r="BN32" s="88"/>
      <c r="BO32" s="88"/>
      <c r="BP32" s="88"/>
      <c r="BQ32" s="88"/>
      <c r="BR32" s="88"/>
      <c r="BS32" s="88"/>
      <c r="BT32" s="88"/>
      <c r="BU32" s="41"/>
      <c r="CH32" s="44"/>
      <c r="CI32" s="44"/>
      <c r="CJ32" s="44"/>
      <c r="CK32" s="44"/>
      <c r="CL32" s="44"/>
      <c r="CM32" s="44"/>
      <c r="CN32" s="44"/>
      <c r="CO32" s="37"/>
      <c r="CU32" s="42"/>
      <c r="CX32" s="38"/>
    </row>
    <row r="33" spans="1:102" ht="6" customHeight="1" x14ac:dyDescent="0.25">
      <c r="B33" s="138"/>
      <c r="C33" s="35"/>
      <c r="D33" s="31"/>
      <c r="E33" s="31"/>
      <c r="F33" s="31"/>
      <c r="G33" s="31"/>
      <c r="AX33" s="44"/>
      <c r="AY33" s="45"/>
      <c r="AZ33" s="41"/>
      <c r="BA33" s="41"/>
      <c r="BB33" s="41"/>
      <c r="BC33" s="41"/>
      <c r="BD33" s="41"/>
      <c r="BE33" s="41"/>
      <c r="BF33" s="41"/>
      <c r="BG33" s="41"/>
      <c r="BH33" s="42"/>
      <c r="BI33" s="42"/>
      <c r="BL33" s="42"/>
      <c r="BM33" s="42"/>
      <c r="BN33" s="42"/>
      <c r="BO33" s="42"/>
      <c r="BP33" s="42"/>
      <c r="BQ33" s="43"/>
      <c r="BR33" s="42"/>
      <c r="BS33" s="42"/>
      <c r="BU33" s="41"/>
      <c r="CH33" s="37"/>
      <c r="CI33" s="37"/>
      <c r="CJ33" s="37"/>
      <c r="CK33" s="37"/>
      <c r="CL33" s="37"/>
      <c r="CM33" s="37"/>
      <c r="CN33" s="37"/>
      <c r="CU33" s="42"/>
      <c r="CX33" s="38"/>
    </row>
    <row r="34" spans="1:102" ht="9" customHeight="1" x14ac:dyDescent="0.25">
      <c r="B34" s="138"/>
      <c r="C34" s="35" t="s">
        <v>7</v>
      </c>
      <c r="D34" s="31"/>
      <c r="E34" s="31"/>
      <c r="F34" s="31"/>
      <c r="G34" s="31"/>
      <c r="AX34" s="44"/>
      <c r="AY34" s="45"/>
      <c r="AZ34" s="41"/>
      <c r="BA34" s="41"/>
      <c r="BB34" s="88" t="e">
        <f>BB32+BB28</f>
        <v>#VALUE!</v>
      </c>
      <c r="BC34" s="88"/>
      <c r="BD34" s="88"/>
      <c r="BE34" s="88"/>
      <c r="BF34" s="88"/>
      <c r="BG34" s="88"/>
      <c r="BH34" s="88"/>
      <c r="BI34" s="88"/>
      <c r="BL34" s="88" t="e">
        <f>BL32-BB34</f>
        <v>#VALUE!</v>
      </c>
      <c r="BM34" s="88"/>
      <c r="BN34" s="88"/>
      <c r="BO34" s="88"/>
      <c r="BP34" s="88"/>
      <c r="BQ34" s="88"/>
      <c r="BR34" s="88"/>
      <c r="BS34" s="88"/>
      <c r="BT34" s="88"/>
      <c r="BU34" s="41"/>
      <c r="CH34" s="37"/>
      <c r="CI34" s="37"/>
      <c r="CJ34" s="37"/>
      <c r="CK34" s="37"/>
      <c r="CL34" s="37"/>
      <c r="CM34" s="37"/>
      <c r="CN34" s="37"/>
      <c r="CU34" s="42"/>
      <c r="CX34" s="38"/>
    </row>
    <row r="35" spans="1:102" ht="9" customHeight="1" x14ac:dyDescent="0.25">
      <c r="A35" s="39" t="s">
        <v>144</v>
      </c>
      <c r="B35" s="138"/>
      <c r="C35" s="35" t="s">
        <v>138</v>
      </c>
      <c r="D35" s="31"/>
      <c r="E35" s="31"/>
      <c r="F35" s="31"/>
      <c r="G35" s="31"/>
      <c r="AE35" s="88" t="s">
        <v>141</v>
      </c>
      <c r="AF35" s="88"/>
      <c r="AG35" s="88"/>
      <c r="AH35" s="88"/>
      <c r="AI35" s="88"/>
      <c r="AJ35" s="88"/>
      <c r="AK35" s="88"/>
      <c r="AL35" s="88"/>
      <c r="AO35" s="87" t="s">
        <v>142</v>
      </c>
      <c r="AP35" s="87"/>
      <c r="AQ35" s="87"/>
      <c r="AS35" s="92" t="s">
        <v>143</v>
      </c>
      <c r="AT35" s="92"/>
      <c r="AU35" s="92"/>
      <c r="AV35" s="92"/>
      <c r="AW35" s="92"/>
      <c r="AX35" s="92"/>
      <c r="AY35" s="92"/>
      <c r="AZ35" s="92"/>
      <c r="BA35" s="41"/>
      <c r="BB35" s="88" t="e">
        <f>ROUND(AE35/AS35, 2)</f>
        <v>#VALUE!</v>
      </c>
      <c r="BC35" s="88"/>
      <c r="BD35" s="88"/>
      <c r="BE35" s="88"/>
      <c r="BF35" s="88"/>
      <c r="BG35" s="88"/>
      <c r="BH35" s="88"/>
      <c r="BI35" s="88"/>
      <c r="BL35" s="88" t="e">
        <f>BL34-BB35</f>
        <v>#VALUE!</v>
      </c>
      <c r="BM35" s="88"/>
      <c r="BN35" s="88"/>
      <c r="BO35" s="88"/>
      <c r="BP35" s="88"/>
      <c r="BQ35" s="88"/>
      <c r="BR35" s="88"/>
      <c r="BS35" s="88"/>
      <c r="BT35" s="88"/>
      <c r="BU35" s="41"/>
      <c r="CH35" s="37"/>
      <c r="CI35" s="37"/>
      <c r="CJ35" s="37"/>
      <c r="CK35" s="37"/>
      <c r="CL35" s="37"/>
      <c r="CM35" s="37"/>
      <c r="CN35" s="37"/>
      <c r="CU35" s="42"/>
      <c r="CX35" s="38"/>
    </row>
    <row r="36" spans="1:102" ht="6" customHeight="1" x14ac:dyDescent="0.25">
      <c r="B36" s="138"/>
      <c r="C36" s="35"/>
      <c r="D36" s="31"/>
      <c r="E36" s="31"/>
      <c r="F36" s="31"/>
      <c r="G36" s="31"/>
      <c r="AX36" s="44"/>
      <c r="AY36" s="45"/>
      <c r="AZ36" s="41"/>
      <c r="BA36" s="41"/>
      <c r="BB36" s="41"/>
      <c r="BC36" s="41"/>
      <c r="BD36" s="41"/>
      <c r="BE36" s="41"/>
      <c r="BF36" s="41"/>
      <c r="BG36" s="41"/>
      <c r="BH36" s="42"/>
      <c r="BI36" s="42"/>
      <c r="BL36" s="41"/>
      <c r="BM36" s="41"/>
      <c r="BN36" s="41"/>
      <c r="BO36" s="41"/>
      <c r="BP36" s="41"/>
      <c r="BQ36" s="41"/>
      <c r="BR36" s="42"/>
      <c r="BS36" s="42"/>
      <c r="BU36" s="41"/>
      <c r="CH36" s="37"/>
      <c r="CI36" s="37"/>
      <c r="CJ36" s="37"/>
      <c r="CK36" s="37"/>
      <c r="CL36" s="37"/>
      <c r="CM36" s="37"/>
      <c r="CN36" s="37"/>
      <c r="CX36" s="38"/>
    </row>
    <row r="37" spans="1:102" ht="9" customHeight="1" x14ac:dyDescent="0.25">
      <c r="B37" s="138"/>
      <c r="C37" s="35" t="s">
        <v>67</v>
      </c>
      <c r="D37" s="31"/>
      <c r="E37" s="31"/>
      <c r="F37" s="31"/>
      <c r="G37" s="31"/>
      <c r="AY37" s="45"/>
      <c r="AZ37" s="41"/>
      <c r="BA37" s="41"/>
      <c r="BB37" s="44"/>
      <c r="BC37" s="44"/>
      <c r="BD37" s="44"/>
      <c r="BE37" s="44"/>
      <c r="BF37" s="44"/>
      <c r="BG37" s="44"/>
      <c r="BH37" s="44"/>
      <c r="BI37" s="44"/>
      <c r="BL37" s="88" t="e">
        <f>BL35</f>
        <v>#VALUE!</v>
      </c>
      <c r="BM37" s="88"/>
      <c r="BN37" s="88"/>
      <c r="BO37" s="88"/>
      <c r="BP37" s="88"/>
      <c r="BQ37" s="88"/>
      <c r="BR37" s="88"/>
      <c r="BS37" s="88"/>
      <c r="BT37" s="88"/>
      <c r="BV37" s="92" t="s">
        <v>24</v>
      </c>
      <c r="BW37" s="92"/>
      <c r="BX37" s="92"/>
      <c r="BY37" s="92"/>
      <c r="BZ37" s="92"/>
      <c r="CA37" s="92"/>
      <c r="CB37" s="92"/>
      <c r="CC37" s="92"/>
      <c r="CE37" s="88" t="e">
        <f>BL37/BV37</f>
        <v>#VALUE!</v>
      </c>
      <c r="CF37" s="88"/>
      <c r="CG37" s="88"/>
      <c r="CH37" s="88"/>
      <c r="CI37" s="88"/>
      <c r="CJ37" s="88"/>
      <c r="CK37" s="88"/>
      <c r="CL37" s="88"/>
      <c r="CX37" s="38"/>
    </row>
    <row r="38" spans="1:102" ht="6" customHeight="1" x14ac:dyDescent="0.25">
      <c r="B38" s="138"/>
      <c r="C38" s="35"/>
      <c r="D38" s="31"/>
      <c r="E38" s="31"/>
      <c r="F38" s="31"/>
      <c r="G38" s="31"/>
      <c r="AX38" s="41"/>
      <c r="AY38" s="45"/>
      <c r="AZ38" s="41"/>
      <c r="BA38" s="41"/>
      <c r="BB38" s="41"/>
      <c r="BC38" s="41"/>
      <c r="BD38" s="41"/>
      <c r="BE38" s="41"/>
      <c r="BF38" s="41"/>
      <c r="BG38" s="41"/>
      <c r="BH38" s="42"/>
      <c r="BI38" s="42"/>
      <c r="BL38" s="42"/>
      <c r="BM38" s="42"/>
      <c r="BN38" s="42"/>
      <c r="BO38" s="42"/>
      <c r="BP38" s="42"/>
      <c r="BQ38" s="43"/>
      <c r="BR38" s="42"/>
      <c r="BS38" s="42"/>
      <c r="BU38" s="47"/>
      <c r="CQ38" s="48"/>
      <c r="CR38" s="48"/>
      <c r="CS38" s="48"/>
      <c r="CT38" s="48"/>
      <c r="CU38" s="48"/>
      <c r="CV38" s="48"/>
      <c r="CW38" s="48"/>
      <c r="CX38" s="38"/>
    </row>
    <row r="39" spans="1:102" ht="9" customHeight="1" x14ac:dyDescent="0.25">
      <c r="B39" s="138"/>
      <c r="C39" s="35" t="s">
        <v>5</v>
      </c>
      <c r="D39" s="31"/>
      <c r="E39" s="31"/>
      <c r="F39" s="31"/>
      <c r="G39" s="31"/>
      <c r="AE39" s="44"/>
      <c r="AF39" s="44"/>
      <c r="AG39" s="44"/>
      <c r="AH39" s="44"/>
      <c r="AI39" s="44"/>
      <c r="AJ39" s="44"/>
      <c r="AK39" s="44"/>
      <c r="AL39" s="44"/>
      <c r="AX39" s="41"/>
      <c r="AY39" s="45"/>
      <c r="AZ39" s="41"/>
      <c r="BB39" s="88" t="e">
        <f>BB25+BB29</f>
        <v>#VALUE!</v>
      </c>
      <c r="BC39" s="88"/>
      <c r="BD39" s="88"/>
      <c r="BE39" s="88"/>
      <c r="BF39" s="88"/>
      <c r="BG39" s="88"/>
      <c r="BH39" s="88"/>
      <c r="BI39" s="88"/>
      <c r="BL39" s="88" t="e">
        <f>BL37-BB39</f>
        <v>#VALUE!</v>
      </c>
      <c r="BM39" s="88"/>
      <c r="BN39" s="88"/>
      <c r="BO39" s="88"/>
      <c r="BP39" s="88"/>
      <c r="BQ39" s="88"/>
      <c r="BR39" s="88"/>
      <c r="BS39" s="88"/>
      <c r="BT39" s="88"/>
      <c r="BU39" s="37"/>
      <c r="BV39" s="37"/>
      <c r="BW39" s="37"/>
      <c r="BX39" s="37"/>
      <c r="BY39" s="37"/>
      <c r="BZ39" s="37"/>
      <c r="CA39" s="37"/>
      <c r="CU39" s="42"/>
      <c r="CX39" s="38"/>
    </row>
    <row r="40" spans="1:102" ht="9" customHeight="1" x14ac:dyDescent="0.25">
      <c r="B40" s="138"/>
      <c r="C40" s="35" t="s">
        <v>6</v>
      </c>
      <c r="D40" s="31"/>
      <c r="E40" s="31"/>
      <c r="F40" s="31"/>
      <c r="G40" s="31"/>
      <c r="AX40" s="41"/>
      <c r="AY40" s="45"/>
      <c r="AZ40" s="41"/>
      <c r="BB40" s="88" t="e">
        <f>BB26+BB30</f>
        <v>#VALUE!</v>
      </c>
      <c r="BC40" s="88"/>
      <c r="BD40" s="88"/>
      <c r="BE40" s="88"/>
      <c r="BF40" s="88"/>
      <c r="BG40" s="88"/>
      <c r="BH40" s="88"/>
      <c r="BI40" s="88"/>
      <c r="BL40" s="88" t="e">
        <f>BL39-BB40</f>
        <v>#VALUE!</v>
      </c>
      <c r="BM40" s="88"/>
      <c r="BN40" s="88"/>
      <c r="BO40" s="88"/>
      <c r="BP40" s="88"/>
      <c r="BQ40" s="88"/>
      <c r="BR40" s="88"/>
      <c r="BS40" s="88"/>
      <c r="BT40" s="88"/>
      <c r="BU40" s="37"/>
      <c r="BV40" s="37"/>
      <c r="BW40" s="37"/>
      <c r="BX40" s="37"/>
      <c r="BY40" s="37"/>
      <c r="BZ40" s="37"/>
      <c r="CA40" s="37"/>
      <c r="CX40" s="38"/>
    </row>
    <row r="41" spans="1:102" ht="6" customHeight="1" x14ac:dyDescent="0.25">
      <c r="B41" s="138"/>
      <c r="C41" s="35"/>
      <c r="D41" s="31"/>
      <c r="E41" s="31"/>
      <c r="F41" s="31"/>
      <c r="G41" s="31"/>
      <c r="AX41" s="41"/>
      <c r="AY41" s="45"/>
      <c r="AZ41" s="41"/>
      <c r="BL41" s="41"/>
      <c r="BM41" s="41"/>
      <c r="BN41" s="41"/>
      <c r="BO41" s="41"/>
      <c r="BP41" s="41"/>
      <c r="BQ41" s="41"/>
      <c r="BR41" s="41"/>
      <c r="BS41" s="41"/>
      <c r="BT41" s="41"/>
      <c r="BU41" s="47"/>
      <c r="BV41" s="47"/>
      <c r="BW41" s="47"/>
      <c r="BX41" s="47"/>
      <c r="BY41" s="47"/>
      <c r="BZ41" s="47"/>
      <c r="CA41" s="47"/>
      <c r="CX41" s="38"/>
    </row>
    <row r="42" spans="1:102" ht="9" customHeight="1" x14ac:dyDescent="0.25">
      <c r="B42" s="138"/>
      <c r="C42" s="35" t="s">
        <v>117</v>
      </c>
      <c r="D42" s="31"/>
      <c r="E42" s="31"/>
      <c r="F42" s="31"/>
      <c r="G42" s="31"/>
      <c r="AX42" s="41"/>
      <c r="AY42" s="45"/>
      <c r="AZ42" s="41"/>
      <c r="BB42" s="44"/>
      <c r="BC42" s="44"/>
      <c r="BD42" s="44"/>
      <c r="BE42" s="44"/>
      <c r="BF42" s="44"/>
      <c r="BG42" s="44"/>
      <c r="BH42" s="44"/>
      <c r="BI42" s="44"/>
      <c r="BL42" s="88" t="e">
        <f>BL40</f>
        <v>#VALUE!</v>
      </c>
      <c r="BM42" s="88"/>
      <c r="BN42" s="88"/>
      <c r="BO42" s="88"/>
      <c r="BP42" s="88"/>
      <c r="BQ42" s="88"/>
      <c r="BR42" s="88"/>
      <c r="BS42" s="88"/>
      <c r="BT42" s="88"/>
      <c r="BV42" s="92" t="s">
        <v>24</v>
      </c>
      <c r="BW42" s="92"/>
      <c r="BX42" s="92"/>
      <c r="BY42" s="92"/>
      <c r="BZ42" s="92"/>
      <c r="CA42" s="92"/>
      <c r="CB42" s="92"/>
      <c r="CC42" s="92"/>
      <c r="CE42" s="88" t="e">
        <f>BL42/BV42</f>
        <v>#VALUE!</v>
      </c>
      <c r="CF42" s="88"/>
      <c r="CG42" s="88"/>
      <c r="CH42" s="88"/>
      <c r="CI42" s="88"/>
      <c r="CJ42" s="88"/>
      <c r="CK42" s="88"/>
      <c r="CL42" s="88"/>
      <c r="CO42" s="88" t="e">
        <f>CE42</f>
        <v>#VALUE!</v>
      </c>
      <c r="CP42" s="88"/>
      <c r="CQ42" s="88"/>
      <c r="CR42" s="88"/>
      <c r="CS42" s="88"/>
      <c r="CT42" s="88"/>
      <c r="CU42" s="88"/>
      <c r="CV42" s="88"/>
      <c r="CW42" s="88"/>
      <c r="CX42" s="38"/>
    </row>
    <row r="43" spans="1:102" ht="6" customHeight="1" x14ac:dyDescent="0.25">
      <c r="A43" s="39" t="s">
        <v>130</v>
      </c>
      <c r="B43" s="138"/>
      <c r="C43" s="35"/>
      <c r="D43" s="31"/>
      <c r="E43" s="31"/>
      <c r="F43" s="31"/>
      <c r="G43" s="31"/>
      <c r="AX43" s="41"/>
      <c r="AY43" s="45"/>
      <c r="AZ43" s="41"/>
      <c r="BB43" s="44"/>
      <c r="BC43" s="44"/>
      <c r="BD43" s="44"/>
      <c r="BE43" s="44"/>
      <c r="BF43" s="44"/>
      <c r="BG43" s="44"/>
      <c r="BH43" s="44"/>
      <c r="BI43" s="44"/>
      <c r="BO43" s="41"/>
      <c r="BP43" s="41"/>
      <c r="BQ43" s="41"/>
      <c r="BR43" s="41"/>
      <c r="BS43" s="41"/>
      <c r="BT43" s="41"/>
      <c r="CC43" s="41"/>
      <c r="CD43" s="41"/>
      <c r="CM43" s="46"/>
      <c r="CN43" s="46"/>
      <c r="CX43" s="38"/>
    </row>
    <row r="44" spans="1:102" ht="9" customHeight="1" x14ac:dyDescent="0.25">
      <c r="A44" s="39" t="s">
        <v>124</v>
      </c>
      <c r="B44" s="138"/>
      <c r="C44" s="35" t="str">
        <f>IF(D20 &lt; 0, "LESS", "TOTAL")&amp;" CUSTOMS VALUE ADJUSTMENT"</f>
        <v>TOTAL CUSTOMS VALUE ADJUSTMENT</v>
      </c>
      <c r="D44" s="31"/>
      <c r="E44" s="31"/>
      <c r="F44" s="31"/>
      <c r="G44" s="31"/>
      <c r="AX44" s="41"/>
      <c r="AY44" s="45"/>
      <c r="AZ44" s="41"/>
      <c r="BO44" s="41"/>
      <c r="BP44" s="41"/>
      <c r="BQ44" s="41"/>
      <c r="BR44" s="41"/>
      <c r="BS44" s="41"/>
      <c r="BT44" s="41"/>
      <c r="BU44" s="41"/>
      <c r="CE44" s="88" t="e">
        <f>ABS(D20)</f>
        <v>#VALUE!</v>
      </c>
      <c r="CF44" s="88"/>
      <c r="CG44" s="88"/>
      <c r="CH44" s="88"/>
      <c r="CI44" s="88"/>
      <c r="CJ44" s="88"/>
      <c r="CK44" s="88"/>
      <c r="CL44" s="88"/>
      <c r="CM44" s="46"/>
      <c r="CO44" s="88" t="e">
        <f>CO42+SIGN(D20)*CE44</f>
        <v>#VALUE!</v>
      </c>
      <c r="CP44" s="88"/>
      <c r="CQ44" s="88"/>
      <c r="CR44" s="88"/>
      <c r="CS44" s="88"/>
      <c r="CT44" s="88"/>
      <c r="CU44" s="88"/>
      <c r="CV44" s="88"/>
      <c r="CW44" s="88"/>
      <c r="CX44" s="38"/>
    </row>
    <row r="45" spans="1:102" ht="9" customHeight="1" x14ac:dyDescent="0.25">
      <c r="A45" s="39" t="s">
        <v>125</v>
      </c>
      <c r="B45" s="138"/>
      <c r="C45" s="35" t="s">
        <v>123</v>
      </c>
      <c r="D45" s="31"/>
      <c r="E45" s="31"/>
      <c r="F45" s="31"/>
      <c r="G45" s="31"/>
      <c r="AX45" s="41"/>
      <c r="AY45" s="45"/>
      <c r="AZ45" s="41"/>
      <c r="BO45" s="41"/>
      <c r="BP45" s="41"/>
      <c r="BQ45" s="41"/>
      <c r="BR45" s="41"/>
      <c r="BS45" s="41"/>
      <c r="BT45" s="41"/>
      <c r="BU45" s="41"/>
      <c r="BZ45" s="41"/>
      <c r="CA45" s="41"/>
      <c r="CB45" s="41"/>
      <c r="CC45" s="41"/>
      <c r="CE45" s="88" t="s">
        <v>116</v>
      </c>
      <c r="CF45" s="88"/>
      <c r="CG45" s="88"/>
      <c r="CH45" s="88"/>
      <c r="CI45" s="88"/>
      <c r="CJ45" s="88"/>
      <c r="CK45" s="88"/>
      <c r="CL45" s="88"/>
      <c r="CM45" s="47"/>
      <c r="CO45" s="88" t="e">
        <f>CO44+CE45</f>
        <v>#VALUE!</v>
      </c>
      <c r="CP45" s="88"/>
      <c r="CQ45" s="88"/>
      <c r="CR45" s="88"/>
      <c r="CS45" s="88"/>
      <c r="CT45" s="88"/>
      <c r="CU45" s="88"/>
      <c r="CV45" s="88"/>
      <c r="CW45" s="88"/>
      <c r="CX45" s="38"/>
    </row>
    <row r="46" spans="1:102" ht="6" customHeight="1" x14ac:dyDescent="0.25">
      <c r="B46" s="138"/>
      <c r="C46" s="35"/>
      <c r="D46" s="31"/>
      <c r="E46" s="31"/>
      <c r="F46" s="31"/>
      <c r="G46" s="31"/>
      <c r="AX46" s="41"/>
      <c r="AY46" s="45"/>
      <c r="AZ46" s="41"/>
      <c r="BA46" s="41"/>
      <c r="BO46" s="44"/>
      <c r="BP46" s="44"/>
      <c r="BQ46" s="44"/>
      <c r="BR46" s="44"/>
      <c r="BS46" s="44"/>
      <c r="BT46" s="44"/>
      <c r="BU46" s="41"/>
      <c r="CM46" s="37"/>
      <c r="CX46" s="38"/>
    </row>
    <row r="47" spans="1:102" ht="9" customHeight="1" x14ac:dyDescent="0.25">
      <c r="B47" s="138"/>
      <c r="C47" s="49" t="s">
        <v>145</v>
      </c>
      <c r="D47" s="50"/>
      <c r="E47" s="50"/>
      <c r="F47" s="50"/>
      <c r="G47" s="50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2"/>
      <c r="AY47" s="53"/>
      <c r="AZ47" s="52"/>
      <c r="BA47" s="52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4"/>
      <c r="BP47" s="54"/>
      <c r="BQ47" s="54"/>
      <c r="BR47" s="54"/>
      <c r="BS47" s="54"/>
      <c r="BT47" s="54"/>
      <c r="BU47" s="52"/>
      <c r="BV47" s="51"/>
      <c r="BW47" s="51"/>
      <c r="BX47" s="51"/>
      <c r="BY47" s="51"/>
      <c r="BZ47" s="54"/>
      <c r="CA47" s="54"/>
      <c r="CB47" s="54"/>
      <c r="CC47" s="54"/>
      <c r="CD47" s="51"/>
      <c r="CE47" s="51"/>
      <c r="CF47" s="54"/>
      <c r="CG47" s="54"/>
      <c r="CH47" s="54"/>
      <c r="CI47" s="54"/>
      <c r="CJ47" s="54"/>
      <c r="CK47" s="54"/>
      <c r="CL47" s="55"/>
      <c r="CM47" s="55"/>
      <c r="CN47" s="55"/>
      <c r="CO47" s="136" t="e">
        <f>CO45</f>
        <v>#VALUE!</v>
      </c>
      <c r="CP47" s="136"/>
      <c r="CQ47" s="136"/>
      <c r="CR47" s="136"/>
      <c r="CS47" s="136"/>
      <c r="CT47" s="136"/>
      <c r="CU47" s="136"/>
      <c r="CV47" s="136"/>
      <c r="CW47" s="136"/>
      <c r="CX47" s="56"/>
    </row>
    <row r="48" spans="1:102" ht="9" customHeight="1" x14ac:dyDescent="0.25">
      <c r="A48" s="1"/>
    </row>
    <row r="49" spans="1:388" s="31" customFormat="1" ht="9" customHeight="1" x14ac:dyDescent="0.25">
      <c r="A49" s="23"/>
      <c r="B49" s="24"/>
      <c r="C49" s="25" t="s">
        <v>68</v>
      </c>
      <c r="D49" s="26"/>
      <c r="E49" s="27"/>
      <c r="F49" s="18" t="s">
        <v>8</v>
      </c>
      <c r="G49" s="26"/>
      <c r="H49" s="26"/>
      <c r="I49" s="25" t="s">
        <v>69</v>
      </c>
      <c r="J49" s="26"/>
      <c r="K49" s="26"/>
      <c r="L49" s="26"/>
      <c r="M49" s="10"/>
      <c r="N49" s="77" t="s">
        <v>275</v>
      </c>
      <c r="O49" s="78"/>
      <c r="P49" s="78"/>
      <c r="Q49" s="78"/>
      <c r="R49" s="78"/>
      <c r="S49" s="78"/>
      <c r="T49" s="78"/>
      <c r="U49" s="79"/>
      <c r="V49" s="77" t="s">
        <v>70</v>
      </c>
      <c r="W49" s="78"/>
      <c r="X49" s="78"/>
      <c r="Y49" s="78"/>
      <c r="Z49" s="78"/>
      <c r="AA49" s="78"/>
      <c r="AB49" s="78"/>
      <c r="AC49" s="79"/>
      <c r="AD49" s="80" t="s">
        <v>71</v>
      </c>
      <c r="AE49" s="81"/>
      <c r="AF49" s="81"/>
      <c r="AG49" s="81"/>
      <c r="AH49" s="82"/>
      <c r="AI49" s="80" t="s">
        <v>0</v>
      </c>
      <c r="AJ49" s="81"/>
      <c r="AK49" s="81"/>
      <c r="AL49" s="81"/>
      <c r="AM49" s="81"/>
      <c r="AN49" s="81"/>
      <c r="AO49" s="82"/>
      <c r="AP49" s="80" t="s">
        <v>50</v>
      </c>
      <c r="AQ49" s="81"/>
      <c r="AR49" s="81"/>
      <c r="AS49" s="81"/>
      <c r="AT49" s="81"/>
      <c r="AU49" s="82"/>
      <c r="AV49" s="80" t="s">
        <v>72</v>
      </c>
      <c r="AW49" s="81"/>
      <c r="AX49" s="81"/>
      <c r="AY49" s="81"/>
      <c r="AZ49" s="82"/>
      <c r="BA49" s="80" t="s">
        <v>73</v>
      </c>
      <c r="BB49" s="81"/>
      <c r="BC49" s="81"/>
      <c r="BD49" s="81"/>
      <c r="BE49" s="82"/>
      <c r="BF49" s="133" t="s">
        <v>74</v>
      </c>
      <c r="BG49" s="134"/>
      <c r="BH49" s="134"/>
      <c r="BI49" s="134"/>
      <c r="BJ49" s="134"/>
      <c r="BK49" s="134"/>
      <c r="BL49" s="134"/>
      <c r="BM49" s="134"/>
      <c r="BN49" s="135"/>
      <c r="BO49" s="80" t="s">
        <v>51</v>
      </c>
      <c r="BP49" s="81"/>
      <c r="BQ49" s="81"/>
      <c r="BR49" s="81"/>
      <c r="BS49" s="81"/>
      <c r="BT49" s="81"/>
      <c r="BU49" s="81"/>
      <c r="BV49" s="82"/>
      <c r="BW49" s="28"/>
      <c r="BX49" s="10"/>
      <c r="BY49" s="10"/>
      <c r="BZ49" s="26"/>
      <c r="CA49" s="10"/>
      <c r="CB49" s="10" t="s">
        <v>75</v>
      </c>
      <c r="CC49" s="28"/>
      <c r="CD49" s="26"/>
      <c r="CE49" s="26"/>
      <c r="CF49" s="26"/>
      <c r="CG49" s="28"/>
      <c r="CH49" s="10"/>
      <c r="CI49" s="10" t="s">
        <v>52</v>
      </c>
      <c r="CJ49" s="80" t="s">
        <v>76</v>
      </c>
      <c r="CK49" s="81"/>
      <c r="CL49" s="81"/>
      <c r="CM49" s="81"/>
      <c r="CN49" s="81"/>
      <c r="CO49" s="81"/>
      <c r="CP49" s="82"/>
      <c r="CQ49" s="81" t="s">
        <v>77</v>
      </c>
      <c r="CR49" s="81"/>
      <c r="CS49" s="81"/>
      <c r="CT49" s="81"/>
      <c r="CU49" s="81"/>
      <c r="CV49" s="82"/>
      <c r="CW49" s="111" t="s">
        <v>12</v>
      </c>
      <c r="CX49" s="113"/>
      <c r="CY49" s="93" t="s">
        <v>231</v>
      </c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5"/>
      <c r="DN49" s="93" t="s">
        <v>235</v>
      </c>
      <c r="DO49" s="94"/>
      <c r="DP49" s="94"/>
      <c r="DQ49" s="94"/>
      <c r="DR49" s="94"/>
      <c r="DS49" s="94"/>
      <c r="DT49" s="94"/>
      <c r="DU49" s="94"/>
      <c r="DV49" s="94"/>
      <c r="DW49" s="94"/>
      <c r="DX49" s="94"/>
      <c r="DY49" s="95"/>
      <c r="DZ49" s="93" t="s">
        <v>236</v>
      </c>
      <c r="EA49" s="94"/>
      <c r="EB49" s="94"/>
      <c r="EC49" s="94"/>
      <c r="ED49" s="94"/>
      <c r="EE49" s="94"/>
      <c r="EF49" s="94"/>
      <c r="EG49" s="94"/>
      <c r="EH49" s="94"/>
      <c r="EI49" s="94"/>
      <c r="EJ49" s="94"/>
      <c r="EK49" s="95"/>
      <c r="EL49" s="93" t="s">
        <v>237</v>
      </c>
      <c r="EM49" s="94"/>
      <c r="EN49" s="94"/>
      <c r="EO49" s="94"/>
      <c r="EP49" s="94"/>
      <c r="EQ49" s="94"/>
      <c r="ER49" s="94"/>
      <c r="ES49" s="94"/>
      <c r="ET49" s="94"/>
      <c r="EU49" s="94"/>
      <c r="EV49" s="94"/>
      <c r="EW49" s="95"/>
      <c r="EX49" s="93" t="s">
        <v>239</v>
      </c>
      <c r="EY49" s="94"/>
      <c r="EZ49" s="94"/>
      <c r="FA49" s="94"/>
      <c r="FB49" s="94"/>
      <c r="FC49" s="94"/>
      <c r="FD49" s="94"/>
      <c r="FE49" s="94"/>
      <c r="FF49" s="94"/>
      <c r="FG49" s="94"/>
      <c r="FH49" s="94"/>
      <c r="FI49" s="95"/>
      <c r="FJ49" s="93" t="s">
        <v>240</v>
      </c>
      <c r="FK49" s="94"/>
      <c r="FL49" s="94"/>
      <c r="FM49" s="94"/>
      <c r="FN49" s="94"/>
      <c r="FO49" s="94"/>
      <c r="FP49" s="94"/>
      <c r="FQ49" s="94"/>
      <c r="FR49" s="94"/>
      <c r="FS49" s="95"/>
      <c r="FT49" s="93" t="s">
        <v>241</v>
      </c>
      <c r="FU49" s="94"/>
      <c r="FV49" s="94"/>
      <c r="FW49" s="94"/>
      <c r="FX49" s="94"/>
      <c r="FY49" s="94"/>
      <c r="FZ49" s="94"/>
      <c r="GA49" s="94"/>
      <c r="GB49" s="94"/>
      <c r="GC49" s="94"/>
      <c r="GD49" s="94"/>
      <c r="GE49" s="95"/>
      <c r="GF49" s="99" t="s">
        <v>261</v>
      </c>
      <c r="GG49" s="100"/>
      <c r="GH49" s="100"/>
      <c r="GI49" s="100"/>
      <c r="GJ49" s="100"/>
      <c r="GK49" s="101"/>
      <c r="GL49" s="102" t="s">
        <v>12</v>
      </c>
      <c r="GM49" s="103"/>
      <c r="GN49" s="99" t="s">
        <v>262</v>
      </c>
      <c r="GO49" s="100"/>
      <c r="GP49" s="100"/>
      <c r="GQ49" s="100"/>
      <c r="GR49" s="100"/>
      <c r="GS49" s="101"/>
      <c r="GT49" s="102" t="s">
        <v>12</v>
      </c>
      <c r="GU49" s="103"/>
      <c r="GV49" s="99" t="s">
        <v>263</v>
      </c>
      <c r="GW49" s="100"/>
      <c r="GX49" s="100"/>
      <c r="GY49" s="100"/>
      <c r="GZ49" s="100"/>
      <c r="HA49" s="101"/>
      <c r="HB49" s="102" t="s">
        <v>12</v>
      </c>
      <c r="HC49" s="103"/>
      <c r="HD49" s="99" t="s">
        <v>265</v>
      </c>
      <c r="HE49" s="100"/>
      <c r="HF49" s="100"/>
      <c r="HG49" s="100"/>
      <c r="HH49" s="100"/>
      <c r="HI49" s="101"/>
      <c r="HJ49" s="102" t="s">
        <v>12</v>
      </c>
      <c r="HK49" s="103"/>
      <c r="HL49" s="93" t="s">
        <v>254</v>
      </c>
      <c r="HM49" s="94"/>
      <c r="HN49" s="94"/>
      <c r="HO49" s="94"/>
      <c r="HP49" s="94"/>
      <c r="HQ49" s="94"/>
      <c r="HR49" s="94"/>
      <c r="HS49" s="94"/>
      <c r="HT49" s="94"/>
      <c r="HU49" s="94"/>
      <c r="HV49" s="93" t="s">
        <v>253</v>
      </c>
      <c r="HW49" s="94"/>
      <c r="HX49" s="94"/>
      <c r="HY49" s="94"/>
      <c r="HZ49" s="94"/>
      <c r="IA49" s="94"/>
      <c r="IB49" s="94"/>
      <c r="IC49" s="95"/>
      <c r="ID49" s="93" t="s">
        <v>232</v>
      </c>
      <c r="IE49" s="94"/>
      <c r="IF49" s="94"/>
      <c r="IG49" s="94"/>
      <c r="IH49" s="95"/>
      <c r="II49" s="93" t="s">
        <v>252</v>
      </c>
      <c r="IJ49" s="94"/>
      <c r="IK49" s="94"/>
      <c r="IL49" s="94"/>
      <c r="IM49" s="94"/>
      <c r="IN49" s="94"/>
      <c r="IO49" s="94"/>
      <c r="IP49" s="94"/>
      <c r="IQ49" s="94"/>
      <c r="IR49" s="94"/>
      <c r="IS49" s="94"/>
      <c r="IT49" s="94"/>
      <c r="IU49" s="94"/>
      <c r="IV49" s="94"/>
      <c r="IW49" s="94"/>
      <c r="IX49" s="94"/>
      <c r="IY49" s="94"/>
      <c r="IZ49" s="94"/>
      <c r="JA49" s="94"/>
      <c r="JB49" s="94"/>
      <c r="JC49" s="94"/>
      <c r="JD49" s="94"/>
      <c r="JE49" s="94"/>
      <c r="JF49" s="94"/>
      <c r="JG49" s="94"/>
      <c r="JH49" s="94"/>
      <c r="JI49" s="94"/>
      <c r="JJ49" s="95"/>
      <c r="JK49" s="99" t="s">
        <v>251</v>
      </c>
      <c r="JL49" s="100"/>
      <c r="JM49" s="100"/>
      <c r="JN49" s="100"/>
      <c r="JO49" s="100"/>
      <c r="JP49" s="100"/>
      <c r="JQ49" s="100"/>
      <c r="JR49" s="101"/>
      <c r="JS49" s="102" t="s">
        <v>12</v>
      </c>
      <c r="JT49" s="103"/>
      <c r="JU49" s="99" t="s">
        <v>233</v>
      </c>
      <c r="JV49" s="100"/>
      <c r="JW49" s="100"/>
      <c r="JX49" s="100"/>
      <c r="JY49" s="100"/>
      <c r="JZ49" s="100"/>
      <c r="KA49" s="100"/>
      <c r="KB49" s="101"/>
      <c r="KC49" s="102" t="s">
        <v>12</v>
      </c>
      <c r="KD49" s="103"/>
      <c r="KE49" s="93" t="s">
        <v>250</v>
      </c>
      <c r="KF49" s="94"/>
      <c r="KG49" s="94"/>
      <c r="KH49" s="94"/>
      <c r="KI49" s="94"/>
      <c r="KJ49" s="94"/>
      <c r="KK49" s="94"/>
      <c r="KL49" s="94"/>
      <c r="KM49" s="94"/>
      <c r="KN49" s="94"/>
      <c r="KO49" s="94"/>
      <c r="KP49" s="94"/>
      <c r="KQ49" s="94"/>
      <c r="KR49" s="94"/>
      <c r="KS49" s="94"/>
      <c r="KT49" s="94"/>
      <c r="KU49" s="94"/>
      <c r="KV49" s="94"/>
      <c r="KW49" s="94"/>
      <c r="KX49" s="94"/>
      <c r="KY49" s="94"/>
      <c r="KZ49" s="94"/>
      <c r="LA49" s="94"/>
      <c r="LB49" s="94"/>
      <c r="LC49" s="94"/>
      <c r="LD49" s="95"/>
      <c r="LE49" s="93" t="s">
        <v>234</v>
      </c>
      <c r="LF49" s="94"/>
      <c r="LG49" s="94"/>
      <c r="LH49" s="94"/>
      <c r="LI49" s="94"/>
      <c r="LJ49" s="94"/>
      <c r="LK49" s="94"/>
      <c r="LL49" s="95"/>
      <c r="LM49" s="93" t="s">
        <v>249</v>
      </c>
      <c r="LN49" s="94"/>
      <c r="LO49" s="94"/>
      <c r="LP49" s="94"/>
      <c r="LQ49" s="94"/>
      <c r="LR49" s="94"/>
      <c r="LS49" s="94"/>
      <c r="LT49" s="95"/>
      <c r="LU49" s="93" t="s">
        <v>248</v>
      </c>
      <c r="LV49" s="94"/>
      <c r="LW49" s="94"/>
      <c r="LX49" s="94"/>
      <c r="LY49" s="94"/>
      <c r="LZ49" s="94"/>
      <c r="MA49" s="94"/>
      <c r="MB49" s="95"/>
      <c r="MC49" s="93" t="s">
        <v>247</v>
      </c>
      <c r="MD49" s="94"/>
      <c r="ME49" s="94"/>
      <c r="MF49" s="94"/>
      <c r="MG49" s="94"/>
      <c r="MH49" s="94"/>
      <c r="MI49" s="94"/>
      <c r="MJ49" s="95"/>
      <c r="MK49" s="93" t="s">
        <v>246</v>
      </c>
      <c r="ML49" s="94"/>
      <c r="MM49" s="94"/>
      <c r="MN49" s="94"/>
      <c r="MO49" s="94"/>
      <c r="MP49" s="94"/>
      <c r="MQ49" s="94"/>
      <c r="MR49" s="95"/>
      <c r="MS49" s="93" t="s">
        <v>245</v>
      </c>
      <c r="MT49" s="94"/>
      <c r="MU49" s="94"/>
      <c r="MV49" s="94"/>
      <c r="MW49" s="94"/>
      <c r="MX49" s="94"/>
      <c r="MY49" s="94"/>
      <c r="MZ49" s="94"/>
      <c r="NA49" s="95"/>
      <c r="NB49" s="93" t="s">
        <v>244</v>
      </c>
      <c r="NC49" s="94"/>
      <c r="ND49" s="94"/>
      <c r="NE49" s="94"/>
      <c r="NF49" s="94"/>
      <c r="NG49" s="94"/>
      <c r="NH49" s="94"/>
      <c r="NI49" s="94"/>
      <c r="NJ49" s="95"/>
      <c r="NK49" s="93" t="s">
        <v>243</v>
      </c>
      <c r="NL49" s="94"/>
      <c r="NM49" s="94"/>
      <c r="NN49" s="94"/>
      <c r="NO49" s="94"/>
      <c r="NP49" s="94"/>
      <c r="NQ49" s="94"/>
      <c r="NR49" s="95"/>
      <c r="NS49" s="93" t="s">
        <v>242</v>
      </c>
      <c r="NT49" s="94"/>
      <c r="NU49" s="94"/>
      <c r="NV49" s="94"/>
      <c r="NW49" s="94"/>
      <c r="NX49" s="95"/>
    </row>
    <row r="50" spans="1:388" ht="9" customHeight="1" x14ac:dyDescent="0.25">
      <c r="A50" s="1" t="s">
        <v>157</v>
      </c>
      <c r="B50" s="1"/>
      <c r="N50" s="32"/>
      <c r="P50" s="32"/>
      <c r="Q50" s="32"/>
      <c r="R50" s="32"/>
    </row>
    <row r="51" spans="1:388" ht="9" customHeight="1" x14ac:dyDescent="0.25">
      <c r="A51" s="108" t="s">
        <v>274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</row>
    <row r="52" spans="1:388" ht="9" customHeight="1" x14ac:dyDescent="0.25">
      <c r="A52" s="108" t="s">
        <v>274</v>
      </c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57"/>
      <c r="Y52" s="137" t="s">
        <v>155</v>
      </c>
      <c r="Z52" s="137"/>
      <c r="AA52" s="137"/>
      <c r="AB52" s="137"/>
      <c r="AC52" s="137"/>
      <c r="AD52" s="137"/>
      <c r="AE52" s="137"/>
      <c r="AF52" s="137"/>
      <c r="AG52" s="137"/>
      <c r="AH52" s="107" t="s">
        <v>153</v>
      </c>
      <c r="AI52" s="107"/>
      <c r="AJ52" s="107"/>
      <c r="AK52" s="107"/>
      <c r="AL52" s="107"/>
      <c r="AM52" s="107"/>
      <c r="AN52" s="107"/>
      <c r="AO52" s="104" t="s">
        <v>172</v>
      </c>
      <c r="AP52" s="146"/>
      <c r="AQ52" s="146"/>
      <c r="AR52" s="146"/>
      <c r="AS52" s="146"/>
      <c r="AT52" s="147"/>
      <c r="AU52" s="148" t="s">
        <v>132</v>
      </c>
      <c r="AV52" s="149"/>
      <c r="AW52" s="149"/>
      <c r="AX52" s="149"/>
      <c r="AY52" s="149"/>
      <c r="AZ52" s="150"/>
      <c r="BA52" s="115" t="s">
        <v>132</v>
      </c>
      <c r="BB52" s="71"/>
      <c r="BC52" s="71"/>
      <c r="BD52" s="71"/>
      <c r="BE52" s="71"/>
      <c r="BF52" s="104" t="s">
        <v>173</v>
      </c>
      <c r="BG52" s="105"/>
      <c r="BH52" s="105"/>
      <c r="BI52" s="105"/>
      <c r="BJ52" s="105"/>
      <c r="BK52" s="105"/>
      <c r="BL52" s="105"/>
      <c r="BM52" s="105"/>
      <c r="BN52" s="106"/>
      <c r="BO52" s="104" t="s">
        <v>163</v>
      </c>
      <c r="BP52" s="105"/>
      <c r="BQ52" s="105"/>
      <c r="BR52" s="105"/>
      <c r="BS52" s="105"/>
      <c r="BT52" s="105"/>
      <c r="BU52" s="105"/>
      <c r="BV52" s="106"/>
      <c r="BW52" s="107" t="s">
        <v>169</v>
      </c>
      <c r="BX52" s="107"/>
      <c r="BY52" s="107"/>
      <c r="BZ52" s="107"/>
      <c r="CA52" s="107"/>
      <c r="CB52" s="107"/>
      <c r="CC52" s="107" t="s">
        <v>170</v>
      </c>
      <c r="CD52" s="107"/>
      <c r="CE52" s="107"/>
      <c r="CF52" s="107"/>
      <c r="CG52" s="107"/>
      <c r="CH52" s="107"/>
      <c r="CI52" s="107"/>
      <c r="CJ52" s="107" t="s">
        <v>171</v>
      </c>
      <c r="CK52" s="107"/>
      <c r="CL52" s="107"/>
      <c r="CM52" s="107"/>
      <c r="CN52" s="107"/>
      <c r="CO52" s="107"/>
      <c r="CP52" s="107"/>
      <c r="CQ52" s="71" t="s">
        <v>132</v>
      </c>
      <c r="CR52" s="71"/>
      <c r="CS52" s="71"/>
      <c r="CT52" s="71"/>
      <c r="CU52" s="71"/>
      <c r="CV52" s="110"/>
      <c r="CW52" s="71" t="s">
        <v>132</v>
      </c>
      <c r="CX52" s="71"/>
      <c r="GF52" s="31"/>
      <c r="GG52" s="31"/>
      <c r="GH52" s="31"/>
      <c r="GI52" s="31"/>
      <c r="GJ52" s="31"/>
      <c r="GK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D52" s="31"/>
      <c r="HE52" s="31"/>
      <c r="HF52" s="31"/>
      <c r="HG52" s="31"/>
      <c r="HH52" s="31"/>
      <c r="HI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</row>
    <row r="53" spans="1:388" ht="9" customHeight="1" x14ac:dyDescent="0.25">
      <c r="A53" s="1"/>
      <c r="B53" s="1"/>
      <c r="Y53" s="30"/>
      <c r="Z53" s="30"/>
      <c r="AA53" s="30"/>
      <c r="AB53" s="30"/>
      <c r="AC53" s="30"/>
      <c r="AD53" s="30"/>
      <c r="AE53" s="30"/>
      <c r="AF53" s="30"/>
      <c r="AG53" s="30"/>
      <c r="AH53" s="39"/>
      <c r="AI53" s="39"/>
      <c r="AJ53" s="39"/>
      <c r="AK53" s="39"/>
      <c r="AL53" s="39"/>
      <c r="AM53" s="39"/>
      <c r="AN53" s="39"/>
      <c r="AO53" s="39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</row>
    <row r="54" spans="1:388" ht="9" customHeight="1" x14ac:dyDescent="0.25">
      <c r="A54" s="1" t="s">
        <v>156</v>
      </c>
      <c r="B54" s="1"/>
    </row>
    <row r="55" spans="1:388" ht="9" customHeight="1" x14ac:dyDescent="0.25">
      <c r="A55" s="60"/>
      <c r="B55" s="60"/>
      <c r="C55" s="58" t="s">
        <v>131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AR55" s="31"/>
      <c r="AS55" s="31"/>
      <c r="AT55" s="31"/>
      <c r="AU55" s="31"/>
      <c r="AV55" s="31"/>
      <c r="AW55" s="142" t="s">
        <v>154</v>
      </c>
      <c r="AX55" s="143"/>
      <c r="AY55" s="143"/>
      <c r="AZ55" s="143"/>
      <c r="BA55" s="143"/>
      <c r="BB55" s="143"/>
      <c r="BC55" s="143"/>
      <c r="BD55" s="143"/>
      <c r="BE55" s="144"/>
      <c r="BF55" s="139" t="s">
        <v>158</v>
      </c>
      <c r="BG55" s="140"/>
      <c r="BH55" s="140"/>
      <c r="BI55" s="140"/>
      <c r="BJ55" s="140"/>
      <c r="BK55" s="140"/>
      <c r="BL55" s="140"/>
      <c r="BM55" s="140"/>
      <c r="BN55" s="141"/>
      <c r="BO55" s="104"/>
      <c r="BP55" s="105"/>
      <c r="BQ55" s="105"/>
      <c r="BR55" s="105"/>
      <c r="BS55" s="105"/>
      <c r="BT55" s="105"/>
      <c r="BU55" s="105"/>
      <c r="BV55" s="106"/>
      <c r="BW55" s="107"/>
      <c r="BX55" s="107"/>
      <c r="BY55" s="107"/>
      <c r="BZ55" s="107"/>
      <c r="CA55" s="107"/>
      <c r="CB55" s="107"/>
      <c r="CC55" s="107" t="s">
        <v>159</v>
      </c>
      <c r="CD55" s="107"/>
      <c r="CE55" s="107"/>
      <c r="CF55" s="107"/>
      <c r="CG55" s="107"/>
      <c r="CH55" s="107"/>
      <c r="CI55" s="107"/>
      <c r="CJ55" s="107" t="s">
        <v>160</v>
      </c>
      <c r="CK55" s="107"/>
      <c r="CL55" s="107"/>
      <c r="CM55" s="107"/>
      <c r="CN55" s="107"/>
      <c r="CO55" s="107"/>
      <c r="CP55" s="107"/>
    </row>
    <row r="56" spans="1:388" ht="9" customHeight="1" x14ac:dyDescent="0.25">
      <c r="A56" s="60"/>
      <c r="B56" s="60"/>
      <c r="C56" s="61">
        <v>1</v>
      </c>
      <c r="D56" s="62" t="s">
        <v>132</v>
      </c>
      <c r="E56" s="61" t="s">
        <v>136</v>
      </c>
      <c r="F56" s="58"/>
      <c r="G56" s="58"/>
      <c r="H56" s="58"/>
      <c r="I56" s="58"/>
      <c r="J56" s="58"/>
      <c r="K56" s="58"/>
      <c r="L56" s="58"/>
      <c r="M56" s="58"/>
      <c r="N56" s="58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</row>
    <row r="57" spans="1:388" ht="9" customHeight="1" x14ac:dyDescent="0.25">
      <c r="A57" s="60" t="s">
        <v>135</v>
      </c>
      <c r="B57" s="60"/>
      <c r="C57" s="61">
        <v>2</v>
      </c>
      <c r="D57" s="62" t="s">
        <v>132</v>
      </c>
      <c r="E57" s="61" t="s">
        <v>133</v>
      </c>
      <c r="F57" s="58"/>
      <c r="G57" s="58"/>
      <c r="H57" s="58"/>
      <c r="I57" s="58"/>
      <c r="J57" s="58"/>
      <c r="K57" s="58"/>
      <c r="L57" s="58"/>
      <c r="M57" s="58"/>
      <c r="N57" s="58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</row>
    <row r="58" spans="1:388" ht="9" customHeight="1" x14ac:dyDescent="0.25">
      <c r="A58" s="1" t="s">
        <v>296</v>
      </c>
      <c r="B58" s="1"/>
      <c r="C58" s="58" t="s">
        <v>281</v>
      </c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</row>
    <row r="59" spans="1:388" ht="9" customHeight="1" x14ac:dyDescent="0.25">
      <c r="A59" s="1" t="s">
        <v>296</v>
      </c>
      <c r="B59" s="1"/>
      <c r="C59" s="71" t="s">
        <v>282</v>
      </c>
      <c r="D59" s="71"/>
      <c r="E59" s="71"/>
      <c r="F59" s="71"/>
      <c r="G59" s="71"/>
      <c r="H59" s="71"/>
      <c r="I59" s="71"/>
      <c r="J59" s="71" t="s">
        <v>283</v>
      </c>
      <c r="K59" s="71"/>
      <c r="L59" s="71"/>
      <c r="M59" s="71"/>
      <c r="N59" s="71"/>
      <c r="O59" s="71"/>
      <c r="P59" s="71"/>
      <c r="Q59" s="71" t="s">
        <v>284</v>
      </c>
      <c r="R59" s="71"/>
      <c r="S59" s="71"/>
      <c r="T59" s="71"/>
      <c r="U59" s="71"/>
      <c r="V59" s="71"/>
      <c r="W59" s="71"/>
      <c r="X59" s="71" t="s">
        <v>285</v>
      </c>
      <c r="Y59" s="71"/>
      <c r="Z59" s="71"/>
      <c r="AA59" s="71"/>
      <c r="AB59" s="71"/>
      <c r="AC59" s="71"/>
      <c r="AD59" s="71"/>
      <c r="AE59" s="71" t="s">
        <v>286</v>
      </c>
      <c r="AF59" s="71"/>
      <c r="AG59" s="71"/>
      <c r="AH59" s="71"/>
      <c r="AI59" s="71"/>
      <c r="AJ59" s="71"/>
      <c r="AK59" s="71"/>
      <c r="AL59" s="71" t="s">
        <v>287</v>
      </c>
      <c r="AM59" s="71"/>
      <c r="AN59" s="71"/>
      <c r="AO59" s="71"/>
      <c r="AP59" s="71"/>
      <c r="AQ59" s="71"/>
      <c r="AR59" s="71"/>
      <c r="AS59" s="71" t="s">
        <v>288</v>
      </c>
      <c r="AT59" s="71"/>
      <c r="AU59" s="71"/>
      <c r="AV59" s="71"/>
      <c r="AW59" s="71"/>
      <c r="AX59" s="71"/>
      <c r="AY59" s="71"/>
      <c r="AZ59" s="71" t="s">
        <v>289</v>
      </c>
      <c r="BA59" s="71"/>
      <c r="BB59" s="71"/>
      <c r="BC59" s="71"/>
      <c r="BD59" s="71"/>
      <c r="BE59" s="71"/>
      <c r="BF59" s="71"/>
    </row>
    <row r="60" spans="1:388" ht="9" customHeight="1" x14ac:dyDescent="0.25">
      <c r="A60" s="1" t="s">
        <v>295</v>
      </c>
      <c r="B60" s="1"/>
      <c r="C60" s="72"/>
      <c r="D60" s="73"/>
      <c r="E60" s="73"/>
      <c r="F60" s="73"/>
      <c r="G60" s="73"/>
      <c r="H60" s="73"/>
      <c r="I60" s="73"/>
      <c r="J60" s="74"/>
      <c r="K60" s="74"/>
      <c r="L60" s="74"/>
      <c r="M60" s="74"/>
      <c r="N60" s="74"/>
      <c r="O60" s="74"/>
      <c r="P60" s="74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6"/>
    </row>
    <row r="61" spans="1:388" ht="9" customHeight="1" x14ac:dyDescent="0.25">
      <c r="A61" s="1" t="s">
        <v>296</v>
      </c>
      <c r="B61" s="66"/>
      <c r="C61" s="69" t="s">
        <v>291</v>
      </c>
      <c r="D61" s="69"/>
      <c r="E61" s="69"/>
      <c r="F61" s="69"/>
      <c r="G61" s="69"/>
      <c r="H61" s="69"/>
      <c r="I61" s="69"/>
      <c r="J61" s="70" t="str" cm="1">
        <f t="array" ref="J61">_xlfn.IFS("&lt;Charges.IsFreight&gt;"="Y","Freight","&lt;Charges.IsInsurance&gt;"="Y","Insurance",TRUE, "Other")</f>
        <v>Other</v>
      </c>
      <c r="K61" s="70"/>
      <c r="L61" s="70"/>
      <c r="M61" s="70"/>
      <c r="N61" s="70"/>
      <c r="O61" s="70"/>
      <c r="P61" s="70"/>
      <c r="Q61" s="69" t="e" cm="1">
        <f t="array" ref="Q61">_xlfn.IFS("&lt;Charges.IsDutiable&gt;"="Y","Yes","&lt;Charges.IsDutiable&gt;"="N","No")</f>
        <v>#N/A</v>
      </c>
      <c r="R61" s="69"/>
      <c r="S61" s="69"/>
      <c r="T61" s="69"/>
      <c r="U61" s="69"/>
      <c r="V61" s="69"/>
      <c r="W61" s="69"/>
      <c r="X61" s="69" t="e" cm="1">
        <f t="array" ref="X61">_xlfn.IFS("&lt;Charges.IsIncludedInLines&gt;"="Y","Yes","&lt;Charges.IsIncludedInLines&gt;"="N","No")</f>
        <v>#N/A</v>
      </c>
      <c r="Y61" s="69"/>
      <c r="Z61" s="69"/>
      <c r="AA61" s="69"/>
      <c r="AB61" s="69"/>
      <c r="AC61" s="69"/>
      <c r="AD61" s="69"/>
      <c r="AE61" s="69" t="s">
        <v>292</v>
      </c>
      <c r="AF61" s="69"/>
      <c r="AG61" s="69"/>
      <c r="AH61" s="69"/>
      <c r="AI61" s="69"/>
      <c r="AJ61" s="69"/>
      <c r="AK61" s="69"/>
      <c r="AL61" s="68" t="s">
        <v>293</v>
      </c>
      <c r="AM61" s="68"/>
      <c r="AN61" s="68"/>
      <c r="AO61" s="68"/>
      <c r="AP61" s="68"/>
      <c r="AQ61" s="68"/>
      <c r="AR61" s="68"/>
      <c r="AS61" s="68" t="s">
        <v>290</v>
      </c>
      <c r="AT61" s="68"/>
      <c r="AU61" s="68"/>
      <c r="AV61" s="68"/>
      <c r="AW61" s="68"/>
      <c r="AX61" s="68"/>
      <c r="AY61" s="68"/>
      <c r="AZ61" s="68" t="e">
        <f>ROUND(AS61/AL61, 2)</f>
        <v>#VALUE!</v>
      </c>
      <c r="BA61" s="68"/>
      <c r="BB61" s="68"/>
      <c r="BC61" s="68"/>
      <c r="BD61" s="68"/>
      <c r="BE61" s="68"/>
      <c r="BF61" s="68"/>
      <c r="BG61" s="64"/>
      <c r="BH61" s="64"/>
      <c r="BI61" s="64"/>
      <c r="BJ61" s="64"/>
      <c r="BK61" s="64"/>
      <c r="BL61" s="64"/>
      <c r="BM61" s="64"/>
      <c r="BN61" s="64"/>
      <c r="BO61" s="32"/>
      <c r="BP61" s="64"/>
      <c r="BQ61" s="64"/>
      <c r="BR61" s="64"/>
      <c r="BS61" s="64"/>
      <c r="BT61" s="64"/>
      <c r="BU61" s="64"/>
      <c r="BV61" s="64"/>
      <c r="BW61" s="64"/>
    </row>
    <row r="62" spans="1:388" ht="9" customHeight="1" x14ac:dyDescent="0.25">
      <c r="A62" s="1" t="s">
        <v>294</v>
      </c>
      <c r="B62" s="58"/>
      <c r="C62" s="61"/>
      <c r="D62" s="65"/>
      <c r="E62" s="65"/>
      <c r="F62" s="65"/>
      <c r="G62" s="65"/>
      <c r="H62" s="65"/>
      <c r="I62" s="65"/>
      <c r="J62" s="62"/>
      <c r="K62" s="65"/>
      <c r="L62" s="65"/>
      <c r="M62" s="65"/>
      <c r="N62" s="65"/>
      <c r="O62" s="65"/>
      <c r="P62" s="65"/>
      <c r="Q62" s="61"/>
      <c r="R62" s="65"/>
      <c r="S62" s="65"/>
      <c r="T62" s="65"/>
      <c r="U62" s="65"/>
      <c r="V62" s="65"/>
      <c r="W62" s="65"/>
      <c r="X62" s="61"/>
      <c r="Y62" s="65"/>
      <c r="Z62" s="65"/>
      <c r="AA62" s="65"/>
      <c r="AB62" s="65"/>
      <c r="AC62" s="65"/>
      <c r="AD62" s="65"/>
      <c r="AE62" s="61"/>
      <c r="AF62" s="65"/>
      <c r="AG62" s="65"/>
      <c r="AH62" s="65"/>
      <c r="AI62" s="65"/>
      <c r="AJ62" s="65"/>
      <c r="AK62" s="65"/>
      <c r="AL62" s="61"/>
      <c r="AM62" s="65"/>
      <c r="AN62" s="65"/>
      <c r="AO62" s="65"/>
      <c r="AP62" s="65"/>
      <c r="AQ62" s="65"/>
      <c r="AR62" s="65"/>
      <c r="AS62" s="61"/>
      <c r="AT62" s="65"/>
      <c r="AU62" s="65"/>
      <c r="AV62" s="65"/>
      <c r="AW62" s="65"/>
      <c r="AX62" s="65"/>
      <c r="AY62" s="65"/>
      <c r="AZ62" s="61"/>
      <c r="BA62" s="65"/>
      <c r="BB62" s="65"/>
      <c r="BC62" s="65"/>
      <c r="BD62" s="65"/>
      <c r="BE62" s="65"/>
      <c r="BF62" s="65"/>
      <c r="BG62" s="64"/>
      <c r="BH62" s="64"/>
      <c r="BI62" s="64"/>
      <c r="BJ62" s="64"/>
      <c r="BK62" s="64"/>
      <c r="BL62" s="64"/>
      <c r="BM62" s="64"/>
      <c r="BN62" s="64"/>
      <c r="BO62" s="32"/>
      <c r="BP62" s="64"/>
      <c r="BQ62" s="64"/>
      <c r="BR62" s="64"/>
      <c r="BS62" s="64"/>
      <c r="BT62" s="64"/>
      <c r="BU62" s="64"/>
      <c r="BV62" s="64"/>
      <c r="BW62" s="64"/>
    </row>
    <row r="63" spans="1:388" ht="9" customHeight="1" x14ac:dyDescent="0.25">
      <c r="A63" s="1" t="s">
        <v>156</v>
      </c>
      <c r="B63" s="1"/>
      <c r="D63" s="62"/>
      <c r="E63" s="61"/>
      <c r="F63" s="58"/>
    </row>
    <row r="64" spans="1:388" x14ac:dyDescent="0.25">
      <c r="A64" s="1" t="s">
        <v>180</v>
      </c>
      <c r="B64" s="1"/>
      <c r="C64" s="61"/>
      <c r="D64" s="62"/>
      <c r="E64" s="61"/>
      <c r="F64" s="58"/>
    </row>
    <row r="65" spans="1:38" ht="9.5" x14ac:dyDescent="0.25">
      <c r="A65" s="1"/>
      <c r="B65" s="1"/>
      <c r="C65" s="63" t="s">
        <v>230</v>
      </c>
    </row>
    <row r="66" spans="1:38" x14ac:dyDescent="0.25">
      <c r="A66" s="1" t="s">
        <v>11</v>
      </c>
      <c r="B66" s="1"/>
    </row>
    <row r="69" spans="1:38" x14ac:dyDescent="0.25">
      <c r="AL69" s="2" t="s">
        <v>280</v>
      </c>
    </row>
  </sheetData>
  <mergeCells count="303">
    <mergeCell ref="L22:AL22"/>
    <mergeCell ref="AO52:AT52"/>
    <mergeCell ref="AU52:AZ52"/>
    <mergeCell ref="NS14:NX14"/>
    <mergeCell ref="NS18:NX18"/>
    <mergeCell ref="NS49:NX49"/>
    <mergeCell ref="MS14:NA14"/>
    <mergeCell ref="MS18:NA18"/>
    <mergeCell ref="MS49:NA49"/>
    <mergeCell ref="NB14:NJ14"/>
    <mergeCell ref="NB18:NJ18"/>
    <mergeCell ref="NB49:NJ49"/>
    <mergeCell ref="NK14:NR14"/>
    <mergeCell ref="NK18:NR18"/>
    <mergeCell ref="NK49:NR49"/>
    <mergeCell ref="LU14:MB14"/>
    <mergeCell ref="LU18:MB18"/>
    <mergeCell ref="LU49:MB49"/>
    <mergeCell ref="MC14:MJ14"/>
    <mergeCell ref="MC18:MJ18"/>
    <mergeCell ref="MC49:MJ49"/>
    <mergeCell ref="MK14:MR14"/>
    <mergeCell ref="MK18:MR18"/>
    <mergeCell ref="MK49:MR49"/>
    <mergeCell ref="KE14:LD14"/>
    <mergeCell ref="KE18:LD18"/>
    <mergeCell ref="KE49:LD49"/>
    <mergeCell ref="LE14:LL14"/>
    <mergeCell ref="LE18:LL18"/>
    <mergeCell ref="LE49:LL49"/>
    <mergeCell ref="LM14:LT14"/>
    <mergeCell ref="LM18:LT18"/>
    <mergeCell ref="LM49:LT49"/>
    <mergeCell ref="ID14:IH14"/>
    <mergeCell ref="ID18:IH18"/>
    <mergeCell ref="ID49:IH49"/>
    <mergeCell ref="JU14:KB14"/>
    <mergeCell ref="JU18:KB18"/>
    <mergeCell ref="JU49:KB49"/>
    <mergeCell ref="KC14:KD14"/>
    <mergeCell ref="KC18:KD18"/>
    <mergeCell ref="KC49:KD49"/>
    <mergeCell ref="JS14:JT14"/>
    <mergeCell ref="JS18:JT18"/>
    <mergeCell ref="JS49:JT49"/>
    <mergeCell ref="II14:JJ14"/>
    <mergeCell ref="II18:JJ18"/>
    <mergeCell ref="II49:JJ49"/>
    <mergeCell ref="JK14:JR14"/>
    <mergeCell ref="JK18:JR18"/>
    <mergeCell ref="JK49:JR49"/>
    <mergeCell ref="HJ14:HK14"/>
    <mergeCell ref="HJ18:HK18"/>
    <mergeCell ref="HJ49:HK49"/>
    <mergeCell ref="HL14:HU14"/>
    <mergeCell ref="HL18:HU18"/>
    <mergeCell ref="HL49:HU49"/>
    <mergeCell ref="HV14:IC14"/>
    <mergeCell ref="HV18:IC18"/>
    <mergeCell ref="HV49:IC49"/>
    <mergeCell ref="GV14:HA14"/>
    <mergeCell ref="GV18:HA18"/>
    <mergeCell ref="GV49:HA49"/>
    <mergeCell ref="HB14:HC14"/>
    <mergeCell ref="HB18:HC18"/>
    <mergeCell ref="HB49:HC49"/>
    <mergeCell ref="HD14:HI14"/>
    <mergeCell ref="HD18:HI18"/>
    <mergeCell ref="HD49:HI49"/>
    <mergeCell ref="Y52:AG52"/>
    <mergeCell ref="AH52:AN52"/>
    <mergeCell ref="A51:W51"/>
    <mergeCell ref="B22:B47"/>
    <mergeCell ref="CC55:CI55"/>
    <mergeCell ref="CJ55:CP55"/>
    <mergeCell ref="BF55:BN55"/>
    <mergeCell ref="AW55:BE55"/>
    <mergeCell ref="BF49:BN49"/>
    <mergeCell ref="BO49:BV49"/>
    <mergeCell ref="BO55:BV55"/>
    <mergeCell ref="AO32:AQ32"/>
    <mergeCell ref="CE45:CL45"/>
    <mergeCell ref="BV37:CC37"/>
    <mergeCell ref="CO42:CW42"/>
    <mergeCell ref="CO45:CW45"/>
    <mergeCell ref="BB25:BI25"/>
    <mergeCell ref="BL23:BT23"/>
    <mergeCell ref="AV22:BA22"/>
    <mergeCell ref="BL42:BT42"/>
    <mergeCell ref="AS25:AZ25"/>
    <mergeCell ref="AS26:AZ26"/>
    <mergeCell ref="AO24:AQ24"/>
    <mergeCell ref="BW55:CB55"/>
    <mergeCell ref="BA49:BE49"/>
    <mergeCell ref="BA14:BE14"/>
    <mergeCell ref="BF14:BN14"/>
    <mergeCell ref="BO14:BV14"/>
    <mergeCell ref="CJ14:CP14"/>
    <mergeCell ref="CQ14:CV14"/>
    <mergeCell ref="CW14:CX14"/>
    <mergeCell ref="BL35:BT35"/>
    <mergeCell ref="BL24:BT24"/>
    <mergeCell ref="CJ49:CP49"/>
    <mergeCell ref="CO47:CW47"/>
    <mergeCell ref="BV42:CC42"/>
    <mergeCell ref="CE37:CL37"/>
    <mergeCell ref="CE42:CL42"/>
    <mergeCell ref="CE44:CL44"/>
    <mergeCell ref="BB39:BI39"/>
    <mergeCell ref="CO44:CW44"/>
    <mergeCell ref="BB35:BI35"/>
    <mergeCell ref="BL32:BT32"/>
    <mergeCell ref="BB34:BI34"/>
    <mergeCell ref="BL31:BT31"/>
    <mergeCell ref="BL34:BT34"/>
    <mergeCell ref="BB40:BI40"/>
    <mergeCell ref="AS30:AZ30"/>
    <mergeCell ref="AE25:AL25"/>
    <mergeCell ref="AE27:AL27"/>
    <mergeCell ref="AO25:AQ25"/>
    <mergeCell ref="BX8:CX8"/>
    <mergeCell ref="BX9:CX9"/>
    <mergeCell ref="BX10:CX10"/>
    <mergeCell ref="BX11:CX11"/>
    <mergeCell ref="BW18:CB18"/>
    <mergeCell ref="CO23:CW23"/>
    <mergeCell ref="BR17:BW17"/>
    <mergeCell ref="BB23:BI23"/>
    <mergeCell ref="BF17:BK17"/>
    <mergeCell ref="BF18:BN18"/>
    <mergeCell ref="CW18:CX18"/>
    <mergeCell ref="CJ17:CO17"/>
    <mergeCell ref="CJ18:CP18"/>
    <mergeCell ref="CC18:CI18"/>
    <mergeCell ref="CD17:CI17"/>
    <mergeCell ref="CJ16:CO16"/>
    <mergeCell ref="BX17:CC17"/>
    <mergeCell ref="AB17:AG17"/>
    <mergeCell ref="CE24:CL24"/>
    <mergeCell ref="BV24:CC24"/>
    <mergeCell ref="P17:U17"/>
    <mergeCell ref="AH17:AM17"/>
    <mergeCell ref="AZ17:BE17"/>
    <mergeCell ref="BA18:BE18"/>
    <mergeCell ref="D17:I17"/>
    <mergeCell ref="F18:H18"/>
    <mergeCell ref="P16:U16"/>
    <mergeCell ref="I18:M18"/>
    <mergeCell ref="J16:O16"/>
    <mergeCell ref="BL40:BT40"/>
    <mergeCell ref="BB29:BI29"/>
    <mergeCell ref="BL29:BT29"/>
    <mergeCell ref="BB31:BI31"/>
    <mergeCell ref="BB30:BI30"/>
    <mergeCell ref="BL37:BT37"/>
    <mergeCell ref="C7:CX7"/>
    <mergeCell ref="C18:E18"/>
    <mergeCell ref="BR16:BW16"/>
    <mergeCell ref="J17:O17"/>
    <mergeCell ref="V17:AA17"/>
    <mergeCell ref="AE24:AL24"/>
    <mergeCell ref="CD16:CI16"/>
    <mergeCell ref="CE23:CL23"/>
    <mergeCell ref="BV23:CC23"/>
    <mergeCell ref="AT16:AY16"/>
    <mergeCell ref="AB16:AG16"/>
    <mergeCell ref="BX16:CC16"/>
    <mergeCell ref="AH16:AM16"/>
    <mergeCell ref="BO18:BV18"/>
    <mergeCell ref="AS23:AZ23"/>
    <mergeCell ref="BL16:BQ16"/>
    <mergeCell ref="CQ18:CV18"/>
    <mergeCell ref="D16:I16"/>
    <mergeCell ref="CQ52:CV52"/>
    <mergeCell ref="C22:K22"/>
    <mergeCell ref="AM22:AR22"/>
    <mergeCell ref="BB27:BI27"/>
    <mergeCell ref="CC52:CI52"/>
    <mergeCell ref="CW49:CX49"/>
    <mergeCell ref="CQ49:CV49"/>
    <mergeCell ref="AE35:AL35"/>
    <mergeCell ref="AS31:AZ31"/>
    <mergeCell ref="AE29:AL29"/>
    <mergeCell ref="AE30:AL30"/>
    <mergeCell ref="AS35:AZ35"/>
    <mergeCell ref="AO35:AQ35"/>
    <mergeCell ref="BL30:BT30"/>
    <mergeCell ref="AS32:AZ32"/>
    <mergeCell ref="AS22:AU22"/>
    <mergeCell ref="BB24:BI24"/>
    <mergeCell ref="BB26:BI26"/>
    <mergeCell ref="AE28:AL28"/>
    <mergeCell ref="AO26:AQ26"/>
    <mergeCell ref="AO27:AQ27"/>
    <mergeCell ref="BA52:BE52"/>
    <mergeCell ref="BL39:BT39"/>
    <mergeCell ref="BF52:BN52"/>
    <mergeCell ref="BO52:BV52"/>
    <mergeCell ref="BW52:CB52"/>
    <mergeCell ref="CJ52:CP52"/>
    <mergeCell ref="BB28:BI28"/>
    <mergeCell ref="AE32:AL32"/>
    <mergeCell ref="A52:W52"/>
    <mergeCell ref="AZ8:BM8"/>
    <mergeCell ref="AS28:AZ28"/>
    <mergeCell ref="K8:T8"/>
    <mergeCell ref="AQ8:AU8"/>
    <mergeCell ref="Y8:AL8"/>
    <mergeCell ref="K11:BM11"/>
    <mergeCell ref="K10:BM10"/>
    <mergeCell ref="BF16:BK16"/>
    <mergeCell ref="AN16:AS16"/>
    <mergeCell ref="K9:BM9"/>
    <mergeCell ref="BL17:BQ17"/>
    <mergeCell ref="AS24:AZ24"/>
    <mergeCell ref="AS27:AZ27"/>
    <mergeCell ref="AE31:AL31"/>
    <mergeCell ref="AO31:AQ31"/>
    <mergeCell ref="AO29:AQ29"/>
    <mergeCell ref="AD49:AH49"/>
    <mergeCell ref="V49:AC49"/>
    <mergeCell ref="FJ49:FS49"/>
    <mergeCell ref="DN14:DY14"/>
    <mergeCell ref="DN18:DY18"/>
    <mergeCell ref="DN49:DY49"/>
    <mergeCell ref="DZ14:EK14"/>
    <mergeCell ref="DZ18:EK18"/>
    <mergeCell ref="DZ49:EK49"/>
    <mergeCell ref="CW52:CX52"/>
    <mergeCell ref="CY49:DM49"/>
    <mergeCell ref="CY14:DM14"/>
    <mergeCell ref="CY18:DM18"/>
    <mergeCell ref="EL14:EW14"/>
    <mergeCell ref="EL18:EW18"/>
    <mergeCell ref="EL49:EW49"/>
    <mergeCell ref="EX14:FI14"/>
    <mergeCell ref="EX18:FI18"/>
    <mergeCell ref="EX49:FI49"/>
    <mergeCell ref="FJ14:FS14"/>
    <mergeCell ref="FJ18:FS18"/>
    <mergeCell ref="FT14:GE14"/>
    <mergeCell ref="FT18:GE18"/>
    <mergeCell ref="FT49:GE49"/>
    <mergeCell ref="GN14:GS14"/>
    <mergeCell ref="GN18:GS18"/>
    <mergeCell ref="GN49:GS49"/>
    <mergeCell ref="GT49:GU49"/>
    <mergeCell ref="GT18:GU18"/>
    <mergeCell ref="GT14:GU14"/>
    <mergeCell ref="GF14:GK14"/>
    <mergeCell ref="GF18:GK18"/>
    <mergeCell ref="GF49:GK49"/>
    <mergeCell ref="GL14:GM14"/>
    <mergeCell ref="GL18:GM18"/>
    <mergeCell ref="GL49:GM49"/>
    <mergeCell ref="N49:U49"/>
    <mergeCell ref="AP14:AU14"/>
    <mergeCell ref="AV18:AZ18"/>
    <mergeCell ref="AP18:AU18"/>
    <mergeCell ref="AI18:AO18"/>
    <mergeCell ref="AV49:AZ49"/>
    <mergeCell ref="AP49:AU49"/>
    <mergeCell ref="AI49:AO49"/>
    <mergeCell ref="V14:AC14"/>
    <mergeCell ref="AD14:AH14"/>
    <mergeCell ref="N18:U18"/>
    <mergeCell ref="AD18:AH18"/>
    <mergeCell ref="V18:AC18"/>
    <mergeCell ref="AI14:AO14"/>
    <mergeCell ref="AN17:AS17"/>
    <mergeCell ref="AZ16:BE16"/>
    <mergeCell ref="AT17:AY17"/>
    <mergeCell ref="AO28:AQ28"/>
    <mergeCell ref="AE26:AL26"/>
    <mergeCell ref="BB22:BD22"/>
    <mergeCell ref="AO30:AQ30"/>
    <mergeCell ref="AS29:AZ29"/>
    <mergeCell ref="BB32:BI32"/>
    <mergeCell ref="V16:AA16"/>
    <mergeCell ref="AZ61:BF61"/>
    <mergeCell ref="AS61:AY61"/>
    <mergeCell ref="AL61:AR61"/>
    <mergeCell ref="AE61:AK61"/>
    <mergeCell ref="X61:AD61"/>
    <mergeCell ref="Q61:W61"/>
    <mergeCell ref="J61:P61"/>
    <mergeCell ref="C61:I61"/>
    <mergeCell ref="C59:I59"/>
    <mergeCell ref="J59:P59"/>
    <mergeCell ref="Q59:W59"/>
    <mergeCell ref="X59:AD59"/>
    <mergeCell ref="AE59:AK59"/>
    <mergeCell ref="AL59:AR59"/>
    <mergeCell ref="AS59:AY59"/>
    <mergeCell ref="AZ59:BF59"/>
    <mergeCell ref="C60:I60"/>
    <mergeCell ref="J60:P60"/>
    <mergeCell ref="Q60:W60"/>
    <mergeCell ref="X60:AD60"/>
    <mergeCell ref="AE60:AK60"/>
    <mergeCell ref="AL60:AR60"/>
    <mergeCell ref="AS60:AY60"/>
    <mergeCell ref="AZ60:BF60"/>
  </mergeCells>
  <phoneticPr fontId="1" type="noConversion"/>
  <pageMargins left="0.23622047244094491" right="0.23622047244094491" top="0.31496062992125984" bottom="3.937007874015748E-2" header="0.15748031496062992" footer="3.937007874015748E-2"/>
  <pageSetup paperSize="9" scale="25" fitToHeight="0" orientation="landscape" horizontalDpi="300" verticalDpi="300" r:id="rId1"/>
  <headerFooter alignWithMargins="0"/>
  <ignoredErrors>
    <ignoredError sqref="X61 Q6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CUSTOMS WORKSHEET</vt:lpstr>
      <vt:lpstr>'CUSTOMS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Rick Chan</cp:lastModifiedBy>
  <cp:lastPrinted>2017-07-04T08:22:45Z</cp:lastPrinted>
  <dcterms:created xsi:type="dcterms:W3CDTF">2004-12-13T00:21:07Z</dcterms:created>
  <dcterms:modified xsi:type="dcterms:W3CDTF">2025-03-24T17:04:09Z</dcterms:modified>
</cp:coreProperties>
</file>
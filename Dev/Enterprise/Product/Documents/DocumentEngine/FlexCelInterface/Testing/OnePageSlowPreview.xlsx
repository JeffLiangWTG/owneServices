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nterprise\Product\Documents\DocumentEngine\FlexCelInterface\Testing\"/>
    </mc:Choice>
  </mc:AlternateContent>
  <bookViews>
    <workbookView xWindow="-15" yWindow="6150" windowWidth="19170" windowHeight="6195" tabRatio="320"/>
  </bookViews>
  <sheets>
    <sheet name="APOutstandingDetail - Local Cur" sheetId="3" r:id="rId1"/>
    <sheet name="Filter" sheetId="5" state="veryHidden" r:id="rId2"/>
    <sheet name="GroupBys" sheetId="6" state="veryHidden" r:id="rId3"/>
    <sheet name="Sort" sheetId="4" state="veryHidden" r:id="rId4"/>
  </sheets>
  <definedNames>
    <definedName name="_xlnm.Print_Titles" localSheetId="0">'APOutstandingDetail - Local Cur'!$1:$10</definedName>
    <definedName name="ShipmentHeadings">#REF!,#REF!,#REF!,#REF!,#REF!,#REF!,#REF!,#REF!,#REF!,#REF!,#REF!,#REF!,#REF!,#REF!,#REF!,#REF!,#REF!,#REF!</definedName>
  </definedNames>
  <calcPr calcId="152511" fullCalcOnLoad="1"/>
</workbook>
</file>

<file path=xl/calcChain.xml><?xml version="1.0" encoding="utf-8"?>
<calcChain xmlns="http://schemas.openxmlformats.org/spreadsheetml/2006/main">
  <c r="B3" i="3" l="1"/>
  <c r="B4" i="3"/>
  <c r="B5" i="3"/>
</calcChain>
</file>

<file path=xl/sharedStrings.xml><?xml version="1.0" encoding="utf-8"?>
<sst xmlns="http://schemas.openxmlformats.org/spreadsheetml/2006/main" count="217" uniqueCount="131">
  <si>
    <t>Type</t>
  </si>
  <si>
    <t>#end</t>
  </si>
  <si>
    <t>Br</t>
  </si>
  <si>
    <t>Due Date</t>
  </si>
  <si>
    <t xml:space="preserve">Type </t>
  </si>
  <si>
    <t>Date</t>
  </si>
  <si>
    <t>Ref 1</t>
  </si>
  <si>
    <t>Ref 2</t>
  </si>
  <si>
    <t>Cur</t>
  </si>
  <si>
    <t>Period</t>
  </si>
  <si>
    <t>Single Accounting Period</t>
  </si>
  <si>
    <t>Required</t>
  </si>
  <si>
    <t>Invoiced</t>
  </si>
  <si>
    <t>3 Period</t>
  </si>
  <si>
    <t>2 Period</t>
  </si>
  <si>
    <t>1 Period</t>
  </si>
  <si>
    <t>Current</t>
  </si>
  <si>
    <t>3+ Period</t>
  </si>
  <si>
    <t>NOT DUE FOR PAYMENT UNTIL</t>
  </si>
  <si>
    <t>OVERDUE</t>
  </si>
  <si>
    <t>Organisations</t>
  </si>
  <si>
    <t>Branch Multiple Selection lookup</t>
  </si>
  <si>
    <t>Field</t>
  </si>
  <si>
    <t>Checkbox</t>
  </si>
  <si>
    <t>Options</t>
  </si>
  <si>
    <t>Over Credit Limit</t>
  </si>
  <si>
    <t>LimitOver</t>
  </si>
  <si>
    <t>Ageing Options</t>
  </si>
  <si>
    <t>MultipleChoice</t>
  </si>
  <si>
    <t>Style</t>
  </si>
  <si>
    <t>DropDown</t>
  </si>
  <si>
    <t>Option</t>
  </si>
  <si>
    <t>PER</t>
  </si>
  <si>
    <t>Aged by Accounting Period</t>
  </si>
  <si>
    <t>DAY</t>
  </si>
  <si>
    <t>Aged by Days</t>
  </si>
  <si>
    <t>Organisation Multiple Selection lookup</t>
  </si>
  <si>
    <t>Number</t>
  </si>
  <si>
    <t>Period1</t>
  </si>
  <si>
    <t>Period2</t>
  </si>
  <si>
    <t>Period3</t>
  </si>
  <si>
    <t>decimal places</t>
  </si>
  <si>
    <t>Default</t>
  </si>
  <si>
    <t>Consolidation Category</t>
  </si>
  <si>
    <t>consolacccategory codelist</t>
  </si>
  <si>
    <t>Staff lookup Code</t>
  </si>
  <si>
    <t>Transaction Branches</t>
  </si>
  <si>
    <t>Accounts Relationship</t>
  </si>
  <si>
    <t>Y</t>
  </si>
  <si>
    <t>Staff Role</t>
  </si>
  <si>
    <t>CUS</t>
  </si>
  <si>
    <t>CRE</t>
  </si>
  <si>
    <t>SAL</t>
  </si>
  <si>
    <t>Credit Controller</t>
  </si>
  <si>
    <t>Customer Service Representative</t>
  </si>
  <si>
    <t>Sales Representative</t>
  </si>
  <si>
    <t>Staff Member</t>
  </si>
  <si>
    <t>Printed</t>
  </si>
  <si>
    <t>Printed by</t>
  </si>
  <si>
    <t>.</t>
  </si>
  <si>
    <t>AGEING BY INVOICE DATE</t>
  </si>
  <si>
    <t>Account</t>
  </si>
  <si>
    <t>Exchange</t>
  </si>
  <si>
    <t>Total Due</t>
  </si>
  <si>
    <t>Invoice Currency</t>
  </si>
  <si>
    <t>Currency Multiple Selection lookup</t>
  </si>
  <si>
    <t>DUE</t>
  </si>
  <si>
    <t>INV</t>
  </si>
  <si>
    <t>Ageing</t>
  </si>
  <si>
    <t>By Due Date</t>
  </si>
  <si>
    <t>By Invoice Date</t>
  </si>
  <si>
    <t>NON</t>
  </si>
  <si>
    <t>No Ageing</t>
  </si>
  <si>
    <t>Settlement Group</t>
  </si>
  <si>
    <t>REF</t>
  </si>
  <si>
    <t>default</t>
  </si>
  <si>
    <t>Account Code</t>
  </si>
  <si>
    <t>Organisation Branch</t>
  </si>
  <si>
    <t>Transaction Branch</t>
  </si>
  <si>
    <t>Sales Rep</t>
  </si>
  <si>
    <t>Customer Service Rep</t>
  </si>
  <si>
    <t>Accounts Relation</t>
  </si>
  <si>
    <t>Consolidation Cat</t>
  </si>
  <si>
    <t>Show Transaction's Second Refc</t>
  </si>
  <si>
    <t>Show Exchange</t>
  </si>
  <si>
    <t>Show Exchange Rate on each line</t>
  </si>
  <si>
    <t>Show 2nd Ref.</t>
  </si>
  <si>
    <t>Settlement Groups</t>
  </si>
  <si>
    <t>Settlement Group Multiple Selection lookup</t>
  </si>
  <si>
    <t>Creditor Groups</t>
  </si>
  <si>
    <t>Creditor group Multiple Selection lookup</t>
  </si>
  <si>
    <t>Show Creditor Code</t>
  </si>
  <si>
    <t>Show Creditor Code on each line</t>
  </si>
  <si>
    <t>Creditor Group</t>
  </si>
  <si>
    <t>Only list Creditors over credit limit</t>
  </si>
  <si>
    <t>apcategory codelist</t>
  </si>
  <si>
    <t>Order By</t>
  </si>
  <si>
    <t>Order by Invoice Date</t>
  </si>
  <si>
    <t>TRN</t>
  </si>
  <si>
    <t>Order by Transaction Number</t>
  </si>
  <si>
    <t>Tab</t>
  </si>
  <si>
    <t>Creditor Organisations</t>
  </si>
  <si>
    <t>Limit the Report to Only Listing Specific Types of Creditor</t>
  </si>
  <si>
    <t>Show User ID</t>
  </si>
  <si>
    <t>Show Transaction Create User</t>
  </si>
  <si>
    <t>User ID</t>
  </si>
  <si>
    <t>&lt;ReportData.OperatorInitials&gt;</t>
  </si>
  <si>
    <t>"&lt;Show User ID&gt;" != "Y"</t>
  </si>
  <si>
    <t>AccountCode</t>
  </si>
  <si>
    <t>AccountCode,ConsolidationCategory</t>
  </si>
  <si>
    <t>AccountCode,ARCategory</t>
  </si>
  <si>
    <t>AccountCode,OrgBranchCode</t>
  </si>
  <si>
    <t>AccountCode,BranchCode</t>
  </si>
  <si>
    <t>AccountCode,SalesRep</t>
  </si>
  <si>
    <t>AccountCode,CreditController</t>
  </si>
  <si>
    <t>AccountCode,CustomerService</t>
  </si>
  <si>
    <t>AccountCode,SettlementCode</t>
  </si>
  <si>
    <t>AccountCode,AccountGroup</t>
  </si>
  <si>
    <t>EDI Demonstration System AE (DAE)</t>
  </si>
  <si>
    <t>Payable Outstanding Transactions - Detail in Local Currency as at 200809</t>
  </si>
  <si>
    <t>Developer</t>
  </si>
  <si>
    <t>Local Currency: AED</t>
  </si>
  <si>
    <r>
      <t>≤</t>
    </r>
    <r>
      <rPr>
        <b/>
        <sz val="8"/>
        <rFont val="Arial"/>
        <family val="2"/>
      </rPr>
      <t xml:space="preserve"> 200809</t>
    </r>
  </si>
  <si>
    <t>≤ 200808</t>
  </si>
  <si>
    <t>≤ 200807</t>
  </si>
  <si>
    <t>≤ 200806</t>
  </si>
  <si>
    <t>200806 +</t>
  </si>
  <si>
    <t>200812 +</t>
  </si>
  <si>
    <t>≤ 200811</t>
  </si>
  <si>
    <t>≤ 200810</t>
  </si>
  <si>
    <t>≤ 200809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</si>
</sst>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16"/>
      <name val="Arial"/>
      <family val="2"/>
    </font>
    <font>
      <sz val="8"/>
      <color indexed="9"/>
      <name val="Arial"/>
      <family val="2"/>
    </font>
    <font>
      <b/>
      <sz val="8"/>
      <name val="Arial"/>
    </font>
    <font>
      <b/>
      <sz val="8"/>
      <color indexed="18"/>
      <name val="Arial"/>
      <family val="2"/>
    </font>
    <font>
      <b/>
      <sz val="10"/>
      <color indexed="18"/>
      <name val="Arial"/>
      <family val="2"/>
    </font>
    <font>
      <b/>
      <sz val="14"/>
      <color indexed="18"/>
      <name val="Arial"/>
      <family val="2"/>
    </font>
    <font>
      <b/>
      <sz val="9"/>
      <color indexed="1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54">
    <xf numFmtId="0" fontId="0" fillId="0" borderId="0" xfId="0"/>
    <xf numFmtId="0" fontId="3" fillId="0" borderId="0" xfId="0" applyFont="1"/>
    <xf numFmtId="0" fontId="2" fillId="0" borderId="0" xfId="0" applyFont="1" applyBorder="1"/>
    <xf numFmtId="0" fontId="2" fillId="0" borderId="0" xfId="0" applyFont="1" applyFill="1" applyBorder="1"/>
    <xf numFmtId="0" fontId="4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2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2" fillId="0" borderId="0" xfId="0" applyFont="1" applyAlignment="1"/>
    <xf numFmtId="0" fontId="3" fillId="0" borderId="0" xfId="0" applyFont="1" applyFill="1"/>
    <xf numFmtId="0" fontId="4" fillId="0" borderId="0" xfId="0" applyFont="1" applyFill="1" applyBorder="1" applyAlignment="1">
      <alignment horizontal="centerContinuous"/>
    </xf>
    <xf numFmtId="0" fontId="3" fillId="0" borderId="0" xfId="0" applyFont="1" applyAlignment="1"/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right" wrapText="1"/>
    </xf>
    <xf numFmtId="0" fontId="5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right"/>
    </xf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22" fontId="2" fillId="0" borderId="0" xfId="0" applyNumberFormat="1" applyFont="1" applyAlignment="1">
      <alignment horizontal="left" vertical="center"/>
    </xf>
    <xf numFmtId="0" fontId="5" fillId="2" borderId="0" xfId="0" applyFont="1" applyFill="1" applyBorder="1" applyAlignment="1">
      <alignment horizontal="centerContinuous"/>
    </xf>
    <xf numFmtId="1" fontId="8" fillId="0" borderId="0" xfId="0" applyNumberFormat="1" applyFont="1" applyFill="1" applyBorder="1" applyAlignment="1">
      <alignment horizontal="right"/>
    </xf>
    <xf numFmtId="0" fontId="3" fillId="0" borderId="0" xfId="0" applyFont="1" applyProtection="1"/>
    <xf numFmtId="0" fontId="3" fillId="0" borderId="0" xfId="1"/>
    <xf numFmtId="0" fontId="3" fillId="0" borderId="0" xfId="1" applyFont="1"/>
    <xf numFmtId="0" fontId="3" fillId="0" borderId="0" xfId="2" applyFont="1"/>
    <xf numFmtId="0" fontId="2" fillId="0" borderId="0" xfId="2" applyNumberFormat="1" applyFont="1" applyAlignment="1">
      <alignment horizontal="left"/>
    </xf>
    <xf numFmtId="0" fontId="4" fillId="0" borderId="0" xfId="2" applyFont="1" applyBorder="1" applyAlignment="1">
      <alignment horizontal="centerContinuous"/>
    </xf>
    <xf numFmtId="0" fontId="2" fillId="0" borderId="0" xfId="2" applyFont="1" applyBorder="1"/>
    <xf numFmtId="0" fontId="2" fillId="0" borderId="0" xfId="2" applyFont="1" applyBorder="1" applyAlignment="1">
      <alignment horizontal="left"/>
    </xf>
    <xf numFmtId="22" fontId="2" fillId="0" borderId="0" xfId="2" applyNumberFormat="1" applyFont="1" applyAlignment="1">
      <alignment horizontal="left"/>
    </xf>
    <xf numFmtId="0" fontId="5" fillId="0" borderId="1" xfId="2" applyFont="1" applyFill="1" applyBorder="1" applyAlignment="1">
      <alignment horizontal="left" wrapText="1"/>
    </xf>
    <xf numFmtId="49" fontId="2" fillId="0" borderId="0" xfId="2" applyNumberFormat="1" applyFont="1" applyBorder="1" applyAlignment="1">
      <alignment horizontal="left" vertical="top"/>
    </xf>
    <xf numFmtId="49" fontId="2" fillId="0" borderId="0" xfId="2" applyNumberFormat="1" applyFont="1" applyBorder="1"/>
    <xf numFmtId="49" fontId="5" fillId="0" borderId="0" xfId="2" applyNumberFormat="1" applyFont="1" applyBorder="1"/>
    <xf numFmtId="0" fontId="2" fillId="0" borderId="0" xfId="2" applyFont="1" applyBorder="1" applyAlignment="1">
      <alignment horizontal="left" vertical="center"/>
    </xf>
    <xf numFmtId="49" fontId="2" fillId="0" borderId="0" xfId="2" applyNumberFormat="1" applyFont="1" applyFill="1" applyBorder="1"/>
    <xf numFmtId="0" fontId="2" fillId="0" borderId="0" xfId="2" applyFont="1"/>
    <xf numFmtId="0" fontId="2" fillId="0" borderId="1" xfId="2" applyFont="1" applyBorder="1"/>
    <xf numFmtId="0" fontId="5" fillId="0" borderId="2" xfId="2" applyFont="1" applyFill="1" applyBorder="1" applyAlignment="1">
      <alignment vertical="center"/>
    </xf>
    <xf numFmtId="0" fontId="3" fillId="0" borderId="0" xfId="2"/>
    <xf numFmtId="0" fontId="10" fillId="0" borderId="0" xfId="0" applyFont="1"/>
    <xf numFmtId="0" fontId="9" fillId="0" borderId="0" xfId="0" applyFont="1"/>
    <xf numFmtId="0" fontId="9" fillId="0" borderId="0" xfId="0" applyFont="1" applyFill="1" applyAlignment="1">
      <alignment horizontal="left"/>
    </xf>
    <xf numFmtId="0" fontId="9" fillId="0" borderId="0" xfId="0" applyFont="1" applyFill="1" applyBorder="1" applyAlignment="1">
      <alignment horizontal="right"/>
    </xf>
    <xf numFmtId="0" fontId="9" fillId="0" borderId="0" xfId="0" applyFont="1" applyFill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/>
    <xf numFmtId="0" fontId="9" fillId="0" borderId="0" xfId="0" applyFont="1" applyAlignment="1"/>
    <xf numFmtId="22" fontId="2" fillId="0" borderId="0" xfId="0" applyNumberFormat="1" applyFont="1" applyAlignment="1">
      <alignment horizontal="left"/>
    </xf>
  </cellXfs>
  <cellStyles count="3">
    <cellStyle name="Normal" xfId="0" builtinId="0"/>
    <cellStyle name="Normal_Filter" xfId="1"/>
    <cellStyle name="Normal_Sort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0"/>
  <sheetViews>
    <sheetView tabSelected="1" topLeftCell="B1" zoomScaleNormal="100" workbookViewId="0">
      <selection activeCell="R23" sqref="R23"/>
    </sheetView>
  </sheetViews>
  <sheetFormatPr defaultRowHeight="12.75" x14ac:dyDescent="0.2"/>
  <cols>
    <col min="1" max="1" width="0" style="44" hidden="1" customWidth="1"/>
    <col min="2" max="2" width="0.85546875" style="1" customWidth="1"/>
    <col min="3" max="3" width="17.42578125" style="1" customWidth="1"/>
    <col min="4" max="4" width="4.140625" style="1" customWidth="1"/>
    <col min="5" max="5" width="0" style="1" hidden="1" customWidth="1"/>
    <col min="6" max="6" width="4.42578125" style="1" customWidth="1"/>
    <col min="7" max="8" width="23.5703125" style="1" customWidth="1"/>
    <col min="9" max="10" width="0" style="1" hidden="1" customWidth="1"/>
    <col min="11" max="11" width="11.7109375" style="1" customWidth="1"/>
    <col min="12" max="12" width="3.7109375" style="1" customWidth="1"/>
    <col min="13" max="13" width="0" style="1" hidden="1" customWidth="1"/>
    <col min="14" max="14" width="8.28515625" style="1" customWidth="1"/>
    <col min="15" max="15" width="11.85546875" style="9" customWidth="1"/>
    <col min="16" max="19" width="12.7109375" style="1" customWidth="1"/>
    <col min="20" max="20" width="11.85546875" style="1" customWidth="1"/>
    <col min="21" max="21" width="11.85546875" style="9" customWidth="1"/>
    <col min="22" max="30" width="11.85546875" style="1" customWidth="1"/>
    <col min="31" max="31" width="11.85546875" style="48" customWidth="1"/>
    <col min="32" max="35" width="11.85546875" style="1" customWidth="1"/>
    <col min="36" max="16384" width="9.140625" style="1"/>
  </cols>
  <sheetData>
    <row r="1" spans="1:32" s="8" customFormat="1" ht="20.25" x14ac:dyDescent="0.3">
      <c r="A1" s="49"/>
      <c r="B1" s="5" t="s">
        <v>118</v>
      </c>
      <c r="C1" s="5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0"/>
      <c r="P1" s="4"/>
      <c r="Q1" s="4"/>
      <c r="R1" s="4"/>
      <c r="S1" s="4"/>
      <c r="T1" s="4"/>
      <c r="U1" s="10"/>
      <c r="V1" s="4"/>
      <c r="W1" s="4"/>
      <c r="X1" s="4"/>
      <c r="Y1" s="4"/>
      <c r="Z1" s="4"/>
      <c r="AA1" s="4"/>
      <c r="AB1" s="4"/>
      <c r="AC1" s="4"/>
      <c r="AD1" s="4"/>
      <c r="AE1" s="46"/>
    </row>
    <row r="2" spans="1:32" s="11" customFormat="1" ht="18" x14ac:dyDescent="0.25">
      <c r="A2" s="50"/>
      <c r="B2" s="4" t="s">
        <v>119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0"/>
      <c r="P2" s="4"/>
      <c r="Q2" s="4"/>
      <c r="R2" s="4"/>
      <c r="S2" s="4"/>
      <c r="T2" s="4"/>
      <c r="U2" s="10"/>
      <c r="V2" s="4"/>
      <c r="W2" s="4"/>
      <c r="X2" s="4"/>
      <c r="Y2" s="4"/>
      <c r="Z2" s="4"/>
      <c r="AA2" s="4"/>
      <c r="AB2" s="4"/>
      <c r="AC2" s="4"/>
      <c r="AD2" s="4"/>
      <c r="AE2" s="46"/>
    </row>
    <row r="3" spans="1:32" x14ac:dyDescent="0.2">
      <c r="A3" s="51"/>
      <c r="B3" s="2" t="str">
        <f>IF("INV" = "INV", "Aged by Invoice Date", IF("INV" = "DUE", "Aged by Due Date", "No Ageing")) &amp;IF("PER" = "PER",  ", Period", " Days")</f>
        <v>Aged by Invoice Date, Period</v>
      </c>
      <c r="C3" s="2"/>
      <c r="D3" s="2"/>
      <c r="E3" s="2"/>
      <c r="F3" s="2"/>
      <c r="G3" s="2"/>
      <c r="H3" s="2"/>
      <c r="I3" s="6"/>
      <c r="J3" s="6"/>
      <c r="K3" s="2"/>
      <c r="L3" s="2"/>
      <c r="M3" s="2"/>
      <c r="N3" s="2"/>
      <c r="O3" s="3"/>
      <c r="P3" s="6"/>
      <c r="Q3" s="2"/>
      <c r="R3" s="6"/>
      <c r="S3" s="6"/>
      <c r="U3" s="3"/>
      <c r="V3" s="6"/>
      <c r="W3" s="6"/>
      <c r="X3" s="6"/>
      <c r="Y3" s="6"/>
      <c r="Z3" s="6"/>
      <c r="AA3" s="2"/>
      <c r="AB3" s="6"/>
      <c r="AC3" s="6"/>
      <c r="AD3" s="7"/>
    </row>
    <row r="4" spans="1:32" x14ac:dyDescent="0.2">
      <c r="A4" s="51"/>
      <c r="B4" s="2" t="str">
        <f>IF(AE4 &lt;&gt; "",  "Organisations:"&amp;AE4, "") &amp;IF(AF4 &lt;&gt; "",  " Settlement Groups: "&amp;AF4, "") &amp;IF(AG4 &lt;&gt; "",  " Creditor Groups: "&amp;AG4, "") &amp;IF("" &lt;&gt; "",  " Consolidation Cat: ", "") &amp;IF("" &lt;&gt; "",  " Accounts Relation: ", "")</f>
        <v/>
      </c>
      <c r="C4" s="2"/>
      <c r="D4" s="2"/>
      <c r="E4" s="2"/>
      <c r="F4" s="2"/>
      <c r="G4" s="2"/>
      <c r="H4" s="2"/>
      <c r="I4" s="6"/>
      <c r="J4" s="6"/>
      <c r="K4" s="2"/>
      <c r="L4" s="2"/>
      <c r="M4" s="2"/>
      <c r="N4" s="2"/>
      <c r="O4" s="3"/>
      <c r="P4" s="6"/>
      <c r="Q4" s="2"/>
      <c r="R4" s="6"/>
      <c r="S4" s="6"/>
      <c r="U4" s="3"/>
      <c r="V4" s="6"/>
      <c r="W4" s="6"/>
      <c r="X4" s="6"/>
      <c r="Y4" s="6"/>
      <c r="Z4" s="6"/>
      <c r="AA4" s="2"/>
      <c r="AB4" s="6"/>
      <c r="AC4" s="6"/>
      <c r="AD4" s="7"/>
      <c r="AE4" s="45"/>
      <c r="AF4" s="25"/>
    </row>
    <row r="5" spans="1:32" x14ac:dyDescent="0.2">
      <c r="A5" s="51"/>
      <c r="B5" s="2" t="str">
        <f>IF("" &lt;&gt; "",  "Credit Limit: ", "") &amp;IF(AE5 &lt;&gt; "",  " Transaction Branches: "&amp;AE5, "") &amp;IF(AF5 &lt;&gt; "",  " Invoice Currency: "&amp;AF5, "") &amp;IF("" &lt;&gt; "",  " Staff Member: ", "") &amp;IF("" &lt;&gt; "",  " Staff Role: ", "")</f>
        <v/>
      </c>
      <c r="C5" s="2"/>
      <c r="D5" s="2"/>
      <c r="E5" s="2"/>
      <c r="F5" s="2"/>
      <c r="G5" s="2"/>
      <c r="H5" s="2"/>
      <c r="I5" s="6"/>
      <c r="J5" s="6"/>
      <c r="K5" s="2"/>
      <c r="L5" s="2"/>
      <c r="M5" s="2"/>
      <c r="N5" s="2"/>
      <c r="O5" s="3"/>
      <c r="P5" s="6"/>
      <c r="Q5" s="2"/>
      <c r="R5" s="6"/>
      <c r="S5" s="6"/>
      <c r="T5" s="7"/>
      <c r="U5" s="3"/>
      <c r="V5" s="6"/>
      <c r="W5" s="6"/>
      <c r="X5" s="6"/>
      <c r="Y5" s="6"/>
      <c r="Z5" s="6"/>
      <c r="AA5" s="2"/>
      <c r="AB5" s="6"/>
      <c r="AC5" s="6"/>
      <c r="AD5" s="7"/>
      <c r="AE5" s="45"/>
    </row>
    <row r="6" spans="1:32" x14ac:dyDescent="0.2">
      <c r="A6" s="51"/>
      <c r="B6" s="2" t="s">
        <v>58</v>
      </c>
      <c r="C6" s="2"/>
      <c r="D6" s="6" t="s">
        <v>120</v>
      </c>
      <c r="E6" s="6"/>
      <c r="F6" s="2"/>
      <c r="G6" s="2"/>
      <c r="H6" s="2"/>
      <c r="I6" s="6"/>
      <c r="J6" s="6"/>
      <c r="K6" s="2"/>
      <c r="L6" s="2"/>
      <c r="M6" s="2"/>
      <c r="N6" s="2"/>
      <c r="O6" s="3"/>
      <c r="P6" s="6"/>
      <c r="Q6" s="2"/>
      <c r="R6" s="6"/>
      <c r="S6" s="6"/>
      <c r="T6" s="21" t="s">
        <v>59</v>
      </c>
      <c r="U6" s="3"/>
      <c r="V6" s="6"/>
      <c r="W6" s="6"/>
      <c r="X6" s="6"/>
      <c r="Y6" s="6"/>
      <c r="Z6" s="6"/>
      <c r="AA6" s="2"/>
      <c r="AB6" s="6"/>
      <c r="AC6" s="6"/>
      <c r="AD6" s="21" t="s">
        <v>59</v>
      </c>
    </row>
    <row r="7" spans="1:32" x14ac:dyDescent="0.2">
      <c r="A7" s="51"/>
      <c r="B7" s="2" t="s">
        <v>57</v>
      </c>
      <c r="C7" s="2"/>
      <c r="D7" s="53">
        <v>39702.308783946763</v>
      </c>
      <c r="E7" s="53"/>
      <c r="F7" s="53"/>
      <c r="G7" s="53"/>
      <c r="H7" s="53"/>
      <c r="I7" s="53"/>
      <c r="J7" s="6"/>
      <c r="K7" s="2"/>
      <c r="L7" s="2"/>
      <c r="M7" s="2"/>
      <c r="N7" s="2"/>
      <c r="O7" s="3"/>
      <c r="P7" s="6"/>
      <c r="Q7" s="2"/>
      <c r="R7" s="6"/>
      <c r="S7" s="6"/>
      <c r="T7" s="20"/>
      <c r="U7" s="3"/>
      <c r="V7" s="6"/>
      <c r="W7" s="6"/>
      <c r="X7" s="6"/>
      <c r="Y7" s="6"/>
      <c r="Z7" s="6"/>
      <c r="AA7" s="2"/>
      <c r="AB7" s="6"/>
      <c r="AC7" s="6"/>
      <c r="AD7" s="20"/>
    </row>
    <row r="8" spans="1:32" x14ac:dyDescent="0.2">
      <c r="A8" s="51"/>
      <c r="B8" s="6" t="s">
        <v>121</v>
      </c>
      <c r="C8" s="6"/>
      <c r="J8" s="22"/>
      <c r="K8" s="2"/>
      <c r="L8" s="2"/>
      <c r="M8" s="2"/>
      <c r="N8" s="2"/>
      <c r="O8" s="3"/>
      <c r="P8" s="23" t="s">
        <v>60</v>
      </c>
      <c r="Q8" s="23"/>
      <c r="R8" s="23"/>
      <c r="S8" s="23"/>
      <c r="T8" s="23"/>
      <c r="U8" s="3"/>
      <c r="V8" s="23" t="s">
        <v>18</v>
      </c>
      <c r="W8" s="23"/>
      <c r="X8" s="23"/>
      <c r="Y8" s="23"/>
      <c r="Z8" s="17"/>
      <c r="AA8" s="23" t="s">
        <v>19</v>
      </c>
      <c r="AB8" s="23"/>
      <c r="AC8" s="23"/>
      <c r="AD8" s="23"/>
    </row>
    <row r="9" spans="1:32" x14ac:dyDescent="0.2">
      <c r="A9" s="51"/>
      <c r="B9" s="2"/>
      <c r="C9" s="2"/>
      <c r="D9" s="2"/>
      <c r="E9" s="2"/>
      <c r="F9" s="2"/>
      <c r="G9" s="2"/>
      <c r="H9" s="2"/>
      <c r="I9" s="6"/>
      <c r="J9" s="6"/>
      <c r="K9" s="2"/>
      <c r="L9" s="2"/>
      <c r="M9" s="2"/>
      <c r="N9" s="2"/>
      <c r="O9" s="3"/>
      <c r="P9" s="24" t="s">
        <v>122</v>
      </c>
      <c r="Q9" s="18" t="s">
        <v>123</v>
      </c>
      <c r="R9" s="18" t="s">
        <v>124</v>
      </c>
      <c r="S9" s="18" t="s">
        <v>125</v>
      </c>
      <c r="T9" s="18" t="s">
        <v>126</v>
      </c>
      <c r="U9" s="3"/>
      <c r="V9" s="18" t="s">
        <v>127</v>
      </c>
      <c r="W9" s="18" t="s">
        <v>128</v>
      </c>
      <c r="X9" s="18" t="s">
        <v>129</v>
      </c>
      <c r="Y9" s="18" t="s">
        <v>130</v>
      </c>
      <c r="Z9" s="19"/>
      <c r="AA9" s="18" t="s">
        <v>123</v>
      </c>
      <c r="AB9" s="18" t="s">
        <v>124</v>
      </c>
      <c r="AC9" s="18" t="s">
        <v>125</v>
      </c>
      <c r="AD9" s="18" t="s">
        <v>126</v>
      </c>
    </row>
    <row r="10" spans="1:32" s="11" customFormat="1" ht="13.5" customHeight="1" x14ac:dyDescent="0.2">
      <c r="A10" s="52"/>
      <c r="B10" s="12"/>
      <c r="C10" s="12" t="s">
        <v>5</v>
      </c>
      <c r="D10" s="13" t="s">
        <v>2</v>
      </c>
      <c r="E10" s="34" t="s">
        <v>105</v>
      </c>
      <c r="F10" s="12" t="s">
        <v>0</v>
      </c>
      <c r="G10" s="12" t="s">
        <v>6</v>
      </c>
      <c r="H10" s="12"/>
      <c r="I10" s="12" t="s">
        <v>7</v>
      </c>
      <c r="J10" s="12" t="s">
        <v>61</v>
      </c>
      <c r="K10" s="14" t="s">
        <v>12</v>
      </c>
      <c r="L10" s="13" t="s">
        <v>8</v>
      </c>
      <c r="M10" s="14" t="s">
        <v>62</v>
      </c>
      <c r="N10" s="16" t="s">
        <v>3</v>
      </c>
      <c r="O10" s="15" t="s">
        <v>63</v>
      </c>
      <c r="P10" s="15" t="s">
        <v>16</v>
      </c>
      <c r="Q10" s="14" t="s">
        <v>15</v>
      </c>
      <c r="R10" s="15" t="s">
        <v>14</v>
      </c>
      <c r="S10" s="15" t="s">
        <v>13</v>
      </c>
      <c r="T10" s="15" t="s">
        <v>17</v>
      </c>
      <c r="U10" s="15"/>
      <c r="V10" s="15" t="s">
        <v>13</v>
      </c>
      <c r="W10" s="15" t="s">
        <v>14</v>
      </c>
      <c r="X10" s="15" t="s">
        <v>15</v>
      </c>
      <c r="Y10" s="15" t="s">
        <v>16</v>
      </c>
      <c r="Z10" s="15"/>
      <c r="AA10" s="14" t="s">
        <v>15</v>
      </c>
      <c r="AB10" s="15" t="s">
        <v>14</v>
      </c>
      <c r="AC10" s="15" t="s">
        <v>13</v>
      </c>
      <c r="AD10" s="15" t="s">
        <v>17</v>
      </c>
      <c r="AE10" s="47"/>
    </row>
  </sheetData>
  <mergeCells count="1">
    <mergeCell ref="D7:I7"/>
  </mergeCells>
  <phoneticPr fontId="1" type="noConversion"/>
  <printOptions horizontalCentered="1"/>
  <pageMargins left="0.39370078740157483" right="0.39370078740157483" top="0.39370078740157483" bottom="0.39370078740157483" header="0.51181102362204722" footer="0.31496062992125984"/>
  <pageSetup paperSize="9" scale="32" fitToHeight="0" pageOrder="overThenDown" orientation="landscape" verticalDpi="200" r:id="rId1"/>
  <headerFooter alignWithMargins="0">
    <oddHeader>&amp;R&amp;8Page &amp;P of &amp;N</oddHeader>
    <oddFooter>&amp;R&amp;G</oddFooter>
  </headerFooter>
  <rowBreaks count="1" manualBreakCount="1">
    <brk id="10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opLeftCell="A30" workbookViewId="0">
      <selection activeCell="A70" sqref="A70:D71"/>
    </sheetView>
  </sheetViews>
  <sheetFormatPr defaultRowHeight="12.75" x14ac:dyDescent="0.2"/>
  <cols>
    <col min="1" max="1" width="24.140625" customWidth="1"/>
    <col min="2" max="2" width="13.5703125" bestFit="1" customWidth="1"/>
  </cols>
  <sheetData>
    <row r="1" spans="1:4" x14ac:dyDescent="0.2">
      <c r="A1" t="s">
        <v>9</v>
      </c>
      <c r="B1" t="s">
        <v>4</v>
      </c>
      <c r="C1" t="s">
        <v>10</v>
      </c>
    </row>
    <row r="2" spans="1:4" x14ac:dyDescent="0.2">
      <c r="B2" t="s">
        <v>11</v>
      </c>
    </row>
    <row r="3" spans="1:4" x14ac:dyDescent="0.2">
      <c r="A3" t="s">
        <v>68</v>
      </c>
      <c r="B3" t="s">
        <v>0</v>
      </c>
      <c r="C3" t="s">
        <v>28</v>
      </c>
    </row>
    <row r="4" spans="1:4" x14ac:dyDescent="0.2">
      <c r="B4" t="s">
        <v>29</v>
      </c>
      <c r="C4" t="s">
        <v>30</v>
      </c>
    </row>
    <row r="5" spans="1:4" x14ac:dyDescent="0.2">
      <c r="B5" t="s">
        <v>42</v>
      </c>
      <c r="C5" t="s">
        <v>67</v>
      </c>
    </row>
    <row r="6" spans="1:4" x14ac:dyDescent="0.2">
      <c r="B6" t="s">
        <v>31</v>
      </c>
      <c r="C6" t="s">
        <v>67</v>
      </c>
      <c r="D6" t="s">
        <v>70</v>
      </c>
    </row>
    <row r="7" spans="1:4" x14ac:dyDescent="0.2">
      <c r="C7" t="s">
        <v>66</v>
      </c>
      <c r="D7" t="s">
        <v>69</v>
      </c>
    </row>
    <row r="8" spans="1:4" x14ac:dyDescent="0.2">
      <c r="C8" t="s">
        <v>71</v>
      </c>
      <c r="D8" t="s">
        <v>72</v>
      </c>
    </row>
    <row r="10" spans="1:4" x14ac:dyDescent="0.2">
      <c r="A10" t="s">
        <v>27</v>
      </c>
      <c r="B10" t="s">
        <v>0</v>
      </c>
      <c r="C10" t="s">
        <v>28</v>
      </c>
    </row>
    <row r="11" spans="1:4" x14ac:dyDescent="0.2">
      <c r="B11" t="s">
        <v>29</v>
      </c>
      <c r="C11" t="s">
        <v>30</v>
      </c>
    </row>
    <row r="12" spans="1:4" x14ac:dyDescent="0.2">
      <c r="B12" t="s">
        <v>42</v>
      </c>
      <c r="C12" t="s">
        <v>32</v>
      </c>
    </row>
    <row r="13" spans="1:4" x14ac:dyDescent="0.2">
      <c r="B13" t="s">
        <v>31</v>
      </c>
      <c r="C13" t="s">
        <v>32</v>
      </c>
      <c r="D13" t="s">
        <v>33</v>
      </c>
    </row>
    <row r="14" spans="1:4" x14ac:dyDescent="0.2">
      <c r="C14" t="s">
        <v>34</v>
      </c>
      <c r="D14" t="s">
        <v>35</v>
      </c>
    </row>
    <row r="15" spans="1:4" x14ac:dyDescent="0.2">
      <c r="A15" t="s">
        <v>16</v>
      </c>
      <c r="B15" t="s">
        <v>0</v>
      </c>
      <c r="C15" t="s">
        <v>37</v>
      </c>
    </row>
    <row r="16" spans="1:4" x14ac:dyDescent="0.2">
      <c r="B16" t="s">
        <v>41</v>
      </c>
      <c r="C16">
        <v>0</v>
      </c>
    </row>
    <row r="17" spans="1:4" x14ac:dyDescent="0.2">
      <c r="A17" t="s">
        <v>38</v>
      </c>
      <c r="B17" t="s">
        <v>0</v>
      </c>
      <c r="C17" t="s">
        <v>37</v>
      </c>
    </row>
    <row r="18" spans="1:4" x14ac:dyDescent="0.2">
      <c r="B18" t="s">
        <v>41</v>
      </c>
      <c r="C18">
        <v>0</v>
      </c>
    </row>
    <row r="19" spans="1:4" x14ac:dyDescent="0.2">
      <c r="A19" t="s">
        <v>39</v>
      </c>
      <c r="B19" t="s">
        <v>0</v>
      </c>
      <c r="C19" t="s">
        <v>37</v>
      </c>
    </row>
    <row r="20" spans="1:4" x14ac:dyDescent="0.2">
      <c r="B20" t="s">
        <v>41</v>
      </c>
      <c r="C20">
        <v>0</v>
      </c>
    </row>
    <row r="21" spans="1:4" x14ac:dyDescent="0.2">
      <c r="A21" t="s">
        <v>40</v>
      </c>
      <c r="B21" t="s">
        <v>0</v>
      </c>
      <c r="C21" t="s">
        <v>37</v>
      </c>
    </row>
    <row r="22" spans="1:4" x14ac:dyDescent="0.2">
      <c r="B22" t="s">
        <v>41</v>
      </c>
      <c r="C22">
        <v>0</v>
      </c>
    </row>
    <row r="23" spans="1:4" x14ac:dyDescent="0.2">
      <c r="A23" t="s">
        <v>20</v>
      </c>
    </row>
    <row r="24" spans="1:4" x14ac:dyDescent="0.2">
      <c r="B24" t="s">
        <v>0</v>
      </c>
      <c r="C24" t="s">
        <v>36</v>
      </c>
    </row>
    <row r="25" spans="1:4" x14ac:dyDescent="0.2">
      <c r="B25" t="s">
        <v>100</v>
      </c>
      <c r="C25" t="s">
        <v>101</v>
      </c>
      <c r="D25" t="s">
        <v>102</v>
      </c>
    </row>
    <row r="26" spans="1:4" x14ac:dyDescent="0.2">
      <c r="A26" t="s">
        <v>87</v>
      </c>
    </row>
    <row r="27" spans="1:4" x14ac:dyDescent="0.2">
      <c r="B27" t="s">
        <v>0</v>
      </c>
      <c r="C27" t="s">
        <v>88</v>
      </c>
    </row>
    <row r="28" spans="1:4" x14ac:dyDescent="0.2">
      <c r="B28" t="s">
        <v>100</v>
      </c>
      <c r="C28" t="s">
        <v>101</v>
      </c>
    </row>
    <row r="29" spans="1:4" x14ac:dyDescent="0.2">
      <c r="A29" t="s">
        <v>89</v>
      </c>
    </row>
    <row r="30" spans="1:4" x14ac:dyDescent="0.2">
      <c r="B30" t="s">
        <v>0</v>
      </c>
      <c r="C30" t="s">
        <v>90</v>
      </c>
    </row>
    <row r="31" spans="1:4" x14ac:dyDescent="0.2">
      <c r="B31" t="s">
        <v>100</v>
      </c>
      <c r="C31" t="s">
        <v>101</v>
      </c>
    </row>
    <row r="32" spans="1:4" x14ac:dyDescent="0.2">
      <c r="A32" t="s">
        <v>82</v>
      </c>
      <c r="B32" t="s">
        <v>0</v>
      </c>
      <c r="C32" t="s">
        <v>44</v>
      </c>
    </row>
    <row r="33" spans="1:4" x14ac:dyDescent="0.2">
      <c r="B33" t="s">
        <v>100</v>
      </c>
      <c r="C33" t="s">
        <v>101</v>
      </c>
    </row>
    <row r="34" spans="1:4" x14ac:dyDescent="0.2">
      <c r="A34" t="s">
        <v>81</v>
      </c>
      <c r="B34" t="s">
        <v>0</v>
      </c>
      <c r="C34" t="s">
        <v>95</v>
      </c>
    </row>
    <row r="35" spans="1:4" x14ac:dyDescent="0.2">
      <c r="B35" t="s">
        <v>100</v>
      </c>
      <c r="C35" t="s">
        <v>101</v>
      </c>
    </row>
    <row r="36" spans="1:4" x14ac:dyDescent="0.2">
      <c r="A36" t="s">
        <v>46</v>
      </c>
      <c r="B36" t="s">
        <v>4</v>
      </c>
      <c r="C36" t="s">
        <v>21</v>
      </c>
    </row>
    <row r="38" spans="1:4" x14ac:dyDescent="0.2">
      <c r="A38" t="s">
        <v>64</v>
      </c>
      <c r="B38" t="s">
        <v>0</v>
      </c>
      <c r="C38" t="s">
        <v>65</v>
      </c>
    </row>
    <row r="40" spans="1:4" x14ac:dyDescent="0.2">
      <c r="A40" t="s">
        <v>56</v>
      </c>
      <c r="B40" t="s">
        <v>0</v>
      </c>
      <c r="C40" t="s">
        <v>45</v>
      </c>
    </row>
    <row r="42" spans="1:4" x14ac:dyDescent="0.2">
      <c r="A42" t="s">
        <v>49</v>
      </c>
      <c r="B42" t="s">
        <v>0</v>
      </c>
      <c r="C42" t="s">
        <v>23</v>
      </c>
    </row>
    <row r="43" spans="1:4" x14ac:dyDescent="0.2">
      <c r="B43" t="s">
        <v>24</v>
      </c>
      <c r="C43" t="s">
        <v>51</v>
      </c>
      <c r="D43" t="s">
        <v>53</v>
      </c>
    </row>
    <row r="44" spans="1:4" x14ac:dyDescent="0.2">
      <c r="C44" t="s">
        <v>50</v>
      </c>
      <c r="D44" t="s">
        <v>54</v>
      </c>
    </row>
    <row r="45" spans="1:4" x14ac:dyDescent="0.2">
      <c r="C45" t="s">
        <v>52</v>
      </c>
      <c r="D45" t="s">
        <v>55</v>
      </c>
    </row>
    <row r="48" spans="1:4" x14ac:dyDescent="0.2">
      <c r="A48" t="s">
        <v>25</v>
      </c>
      <c r="B48" t="s">
        <v>0</v>
      </c>
      <c r="C48" t="s">
        <v>23</v>
      </c>
    </row>
    <row r="49" spans="1:4" x14ac:dyDescent="0.2">
      <c r="B49" t="s">
        <v>22</v>
      </c>
      <c r="C49" t="s">
        <v>26</v>
      </c>
    </row>
    <row r="50" spans="1:4" x14ac:dyDescent="0.2">
      <c r="B50" t="s">
        <v>24</v>
      </c>
      <c r="C50" t="s">
        <v>48</v>
      </c>
      <c r="D50" s="1" t="s">
        <v>94</v>
      </c>
    </row>
    <row r="51" spans="1:4" x14ac:dyDescent="0.2">
      <c r="D51" s="1"/>
    </row>
    <row r="52" spans="1:4" x14ac:dyDescent="0.2">
      <c r="A52" t="s">
        <v>96</v>
      </c>
      <c r="B52" t="s">
        <v>0</v>
      </c>
      <c r="C52" t="s">
        <v>28</v>
      </c>
    </row>
    <row r="53" spans="1:4" x14ac:dyDescent="0.2">
      <c r="B53" t="s">
        <v>29</v>
      </c>
      <c r="C53" t="s">
        <v>30</v>
      </c>
    </row>
    <row r="54" spans="1:4" x14ac:dyDescent="0.2">
      <c r="B54" t="s">
        <v>42</v>
      </c>
      <c r="C54" t="s">
        <v>67</v>
      </c>
    </row>
    <row r="55" spans="1:4" x14ac:dyDescent="0.2">
      <c r="B55" t="s">
        <v>31</v>
      </c>
      <c r="C55" t="s">
        <v>67</v>
      </c>
      <c r="D55" t="s">
        <v>97</v>
      </c>
    </row>
    <row r="56" spans="1:4" x14ac:dyDescent="0.2">
      <c r="C56" t="s">
        <v>98</v>
      </c>
      <c r="D56" t="s">
        <v>99</v>
      </c>
    </row>
    <row r="58" spans="1:4" x14ac:dyDescent="0.2">
      <c r="A58" t="s">
        <v>91</v>
      </c>
      <c r="B58" t="s">
        <v>0</v>
      </c>
      <c r="C58" t="s">
        <v>23</v>
      </c>
    </row>
    <row r="59" spans="1:4" x14ac:dyDescent="0.2">
      <c r="B59" t="s">
        <v>22</v>
      </c>
      <c r="C59" t="s">
        <v>74</v>
      </c>
    </row>
    <row r="60" spans="1:4" x14ac:dyDescent="0.2">
      <c r="B60" t="s">
        <v>24</v>
      </c>
      <c r="C60" t="s">
        <v>48</v>
      </c>
      <c r="D60" s="1" t="s">
        <v>92</v>
      </c>
    </row>
    <row r="62" spans="1:4" x14ac:dyDescent="0.2">
      <c r="A62" s="1" t="s">
        <v>86</v>
      </c>
      <c r="B62" t="s">
        <v>0</v>
      </c>
      <c r="C62" t="s">
        <v>23</v>
      </c>
    </row>
    <row r="63" spans="1:4" x14ac:dyDescent="0.2">
      <c r="B63" t="s">
        <v>22</v>
      </c>
      <c r="C63" t="s">
        <v>74</v>
      </c>
    </row>
    <row r="64" spans="1:4" x14ac:dyDescent="0.2">
      <c r="B64" t="s">
        <v>24</v>
      </c>
      <c r="C64" t="s">
        <v>48</v>
      </c>
      <c r="D64" s="1" t="s">
        <v>83</v>
      </c>
    </row>
    <row r="67" spans="1:4" x14ac:dyDescent="0.2">
      <c r="A67" s="1" t="s">
        <v>84</v>
      </c>
      <c r="B67" t="s">
        <v>0</v>
      </c>
      <c r="C67" t="s">
        <v>23</v>
      </c>
    </row>
    <row r="68" spans="1:4" x14ac:dyDescent="0.2">
      <c r="B68" t="s">
        <v>22</v>
      </c>
      <c r="C68" t="s">
        <v>74</v>
      </c>
    </row>
    <row r="69" spans="1:4" x14ac:dyDescent="0.2">
      <c r="B69" t="s">
        <v>24</v>
      </c>
      <c r="C69" t="s">
        <v>48</v>
      </c>
      <c r="D69" s="1" t="s">
        <v>85</v>
      </c>
    </row>
    <row r="70" spans="1:4" x14ac:dyDescent="0.2">
      <c r="A70" s="26" t="s">
        <v>103</v>
      </c>
      <c r="B70" s="26" t="s">
        <v>0</v>
      </c>
      <c r="C70" s="26" t="s">
        <v>23</v>
      </c>
      <c r="D70" s="27"/>
    </row>
    <row r="71" spans="1:4" x14ac:dyDescent="0.2">
      <c r="A71" s="26"/>
      <c r="B71" s="26" t="s">
        <v>24</v>
      </c>
      <c r="C71" s="26" t="s">
        <v>48</v>
      </c>
      <c r="D71" s="26" t="s">
        <v>104</v>
      </c>
    </row>
    <row r="72" spans="1:4" x14ac:dyDescent="0.2">
      <c r="A72" t="s">
        <v>1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2.75" x14ac:dyDescent="0.2"/>
  <cols>
    <col min="1" max="1" width="20.42578125" bestFit="1" customWidth="1"/>
    <col min="2" max="2" width="62.42578125" customWidth="1"/>
    <col min="3" max="3" width="6.42578125" bestFit="1" customWidth="1"/>
  </cols>
  <sheetData>
    <row r="1" spans="1:3" x14ac:dyDescent="0.2">
      <c r="A1" t="s">
        <v>76</v>
      </c>
      <c r="B1" t="s">
        <v>108</v>
      </c>
      <c r="C1" t="s">
        <v>75</v>
      </c>
    </row>
    <row r="2" spans="1:3" x14ac:dyDescent="0.2">
      <c r="A2" t="s">
        <v>43</v>
      </c>
      <c r="B2" t="s">
        <v>109</v>
      </c>
    </row>
    <row r="3" spans="1:3" x14ac:dyDescent="0.2">
      <c r="A3" t="s">
        <v>47</v>
      </c>
      <c r="B3" t="s">
        <v>110</v>
      </c>
    </row>
    <row r="4" spans="1:3" x14ac:dyDescent="0.2">
      <c r="A4" t="s">
        <v>77</v>
      </c>
      <c r="B4" t="s">
        <v>111</v>
      </c>
    </row>
    <row r="5" spans="1:3" x14ac:dyDescent="0.2">
      <c r="A5" t="s">
        <v>78</v>
      </c>
      <c r="B5" t="s">
        <v>112</v>
      </c>
    </row>
    <row r="6" spans="1:3" x14ac:dyDescent="0.2">
      <c r="A6" t="s">
        <v>79</v>
      </c>
      <c r="B6" t="s">
        <v>113</v>
      </c>
    </row>
    <row r="7" spans="1:3" x14ac:dyDescent="0.2">
      <c r="A7" t="s">
        <v>53</v>
      </c>
      <c r="B7" t="s">
        <v>114</v>
      </c>
    </row>
    <row r="8" spans="1:3" x14ac:dyDescent="0.2">
      <c r="A8" t="s">
        <v>80</v>
      </c>
      <c r="B8" t="s">
        <v>115</v>
      </c>
    </row>
    <row r="9" spans="1:3" x14ac:dyDescent="0.2">
      <c r="A9" t="s">
        <v>73</v>
      </c>
      <c r="B9" t="s">
        <v>116</v>
      </c>
    </row>
    <row r="10" spans="1:3" x14ac:dyDescent="0.2">
      <c r="A10" t="s">
        <v>93</v>
      </c>
      <c r="B10" t="s">
        <v>117</v>
      </c>
    </row>
    <row r="11" spans="1:3" x14ac:dyDescent="0.2">
      <c r="A11" t="s">
        <v>1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workbookViewId="0">
      <selection activeCell="J23" sqref="J23"/>
    </sheetView>
  </sheetViews>
  <sheetFormatPr defaultRowHeight="12.75" x14ac:dyDescent="0.2"/>
  <sheetData>
    <row r="1" spans="1:10" x14ac:dyDescent="0.2">
      <c r="A1" t="s">
        <v>1</v>
      </c>
      <c r="J1" s="28"/>
    </row>
    <row r="2" spans="1:10" x14ac:dyDescent="0.2">
      <c r="J2" s="28"/>
    </row>
    <row r="3" spans="1:10" x14ac:dyDescent="0.2">
      <c r="J3" s="28"/>
    </row>
    <row r="4" spans="1:10" x14ac:dyDescent="0.2">
      <c r="J4" s="28"/>
    </row>
    <row r="5" spans="1:10" x14ac:dyDescent="0.2">
      <c r="J5" s="29"/>
    </row>
    <row r="6" spans="1:10" x14ac:dyDescent="0.2">
      <c r="J6" s="29"/>
    </row>
    <row r="7" spans="1:10" x14ac:dyDescent="0.2">
      <c r="J7" s="29"/>
    </row>
    <row r="8" spans="1:10" x14ac:dyDescent="0.2">
      <c r="J8" s="29"/>
    </row>
    <row r="9" spans="1:10" x14ac:dyDescent="0.2">
      <c r="J9" s="29" t="s">
        <v>107</v>
      </c>
    </row>
    <row r="10" spans="1:10" x14ac:dyDescent="0.2">
      <c r="J10" s="28"/>
    </row>
    <row r="11" spans="1:10" ht="18" x14ac:dyDescent="0.25">
      <c r="J11" s="30"/>
    </row>
    <row r="12" spans="1:10" ht="18" x14ac:dyDescent="0.25">
      <c r="J12" s="30"/>
    </row>
    <row r="13" spans="1:10" x14ac:dyDescent="0.2">
      <c r="J13" s="31"/>
    </row>
    <row r="14" spans="1:10" x14ac:dyDescent="0.2">
      <c r="J14" s="31"/>
    </row>
    <row r="15" spans="1:10" x14ac:dyDescent="0.2">
      <c r="J15" s="31"/>
    </row>
    <row r="16" spans="1:10" x14ac:dyDescent="0.2">
      <c r="J16" s="31"/>
    </row>
    <row r="17" spans="10:10" x14ac:dyDescent="0.2">
      <c r="J17" s="32"/>
    </row>
    <row r="18" spans="10:10" x14ac:dyDescent="0.2">
      <c r="J18" s="33"/>
    </row>
    <row r="19" spans="10:10" x14ac:dyDescent="0.2">
      <c r="J19" s="28"/>
    </row>
    <row r="20" spans="10:10" x14ac:dyDescent="0.2">
      <c r="J20" s="31"/>
    </row>
    <row r="21" spans="10:10" x14ac:dyDescent="0.2">
      <c r="J21" s="34" t="s">
        <v>105</v>
      </c>
    </row>
    <row r="22" spans="10:10" x14ac:dyDescent="0.2">
      <c r="J22" s="32"/>
    </row>
    <row r="23" spans="10:10" x14ac:dyDescent="0.2">
      <c r="J23" s="35" t="s">
        <v>106</v>
      </c>
    </row>
    <row r="24" spans="10:10" x14ac:dyDescent="0.2">
      <c r="J24" s="31"/>
    </row>
    <row r="25" spans="10:10" x14ac:dyDescent="0.2">
      <c r="J25" s="36"/>
    </row>
    <row r="26" spans="10:10" x14ac:dyDescent="0.2">
      <c r="J26" s="37"/>
    </row>
    <row r="27" spans="10:10" x14ac:dyDescent="0.2">
      <c r="J27" s="32"/>
    </row>
    <row r="28" spans="10:10" x14ac:dyDescent="0.2">
      <c r="J28" s="38"/>
    </row>
    <row r="29" spans="10:10" x14ac:dyDescent="0.2">
      <c r="J29" s="38"/>
    </row>
    <row r="30" spans="10:10" x14ac:dyDescent="0.2">
      <c r="J30" s="31"/>
    </row>
    <row r="31" spans="10:10" x14ac:dyDescent="0.2">
      <c r="J31" s="36"/>
    </row>
    <row r="32" spans="10:10" x14ac:dyDescent="0.2">
      <c r="J32" s="37"/>
    </row>
    <row r="33" spans="10:10" x14ac:dyDescent="0.2">
      <c r="J33" s="32"/>
    </row>
    <row r="34" spans="10:10" x14ac:dyDescent="0.2">
      <c r="J34" s="38"/>
    </row>
    <row r="35" spans="10:10" x14ac:dyDescent="0.2">
      <c r="J35" s="38"/>
    </row>
    <row r="36" spans="10:10" x14ac:dyDescent="0.2">
      <c r="J36" s="38"/>
    </row>
    <row r="37" spans="10:10" x14ac:dyDescent="0.2">
      <c r="J37" s="31"/>
    </row>
    <row r="38" spans="10:10" x14ac:dyDescent="0.2">
      <c r="J38" s="36"/>
    </row>
    <row r="39" spans="10:10" x14ac:dyDescent="0.2">
      <c r="J39" s="37"/>
    </row>
    <row r="40" spans="10:10" x14ac:dyDescent="0.2">
      <c r="J40" s="32"/>
    </row>
    <row r="41" spans="10:10" x14ac:dyDescent="0.2">
      <c r="J41" s="38"/>
    </row>
    <row r="42" spans="10:10" x14ac:dyDescent="0.2">
      <c r="J42" s="38"/>
    </row>
    <row r="43" spans="10:10" x14ac:dyDescent="0.2">
      <c r="J43" s="38"/>
    </row>
    <row r="44" spans="10:10" x14ac:dyDescent="0.2">
      <c r="J44" s="31"/>
    </row>
    <row r="45" spans="10:10" x14ac:dyDescent="0.2">
      <c r="J45" s="36"/>
    </row>
    <row r="46" spans="10:10" x14ac:dyDescent="0.2">
      <c r="J46" s="37"/>
    </row>
    <row r="47" spans="10:10" x14ac:dyDescent="0.2">
      <c r="J47" s="32"/>
    </row>
    <row r="48" spans="10:10" x14ac:dyDescent="0.2">
      <c r="J48" s="38"/>
    </row>
    <row r="49" spans="10:10" x14ac:dyDescent="0.2">
      <c r="J49" s="38"/>
    </row>
    <row r="50" spans="10:10" x14ac:dyDescent="0.2">
      <c r="J50" s="38"/>
    </row>
    <row r="51" spans="10:10" x14ac:dyDescent="0.2">
      <c r="J51" s="31"/>
    </row>
    <row r="52" spans="10:10" x14ac:dyDescent="0.2">
      <c r="J52" s="36"/>
    </row>
    <row r="53" spans="10:10" x14ac:dyDescent="0.2">
      <c r="J53" s="37"/>
    </row>
    <row r="54" spans="10:10" x14ac:dyDescent="0.2">
      <c r="J54" s="32"/>
    </row>
    <row r="55" spans="10:10" x14ac:dyDescent="0.2">
      <c r="J55" s="38"/>
    </row>
    <row r="56" spans="10:10" x14ac:dyDescent="0.2">
      <c r="J56" s="38"/>
    </row>
    <row r="57" spans="10:10" x14ac:dyDescent="0.2">
      <c r="J57" s="38"/>
    </row>
    <row r="58" spans="10:10" x14ac:dyDescent="0.2">
      <c r="J58" s="31"/>
    </row>
    <row r="59" spans="10:10" x14ac:dyDescent="0.2">
      <c r="J59" s="39"/>
    </row>
    <row r="60" spans="10:10" x14ac:dyDescent="0.2">
      <c r="J60" s="37"/>
    </row>
    <row r="61" spans="10:10" x14ac:dyDescent="0.2">
      <c r="J61" s="32"/>
    </row>
    <row r="62" spans="10:10" x14ac:dyDescent="0.2">
      <c r="J62" s="38"/>
    </row>
    <row r="63" spans="10:10" x14ac:dyDescent="0.2">
      <c r="J63" s="38"/>
    </row>
    <row r="64" spans="10:10" x14ac:dyDescent="0.2">
      <c r="J64" s="38"/>
    </row>
    <row r="65" spans="10:10" x14ac:dyDescent="0.2">
      <c r="J65" s="31"/>
    </row>
    <row r="66" spans="10:10" x14ac:dyDescent="0.2">
      <c r="J66" s="36"/>
    </row>
    <row r="67" spans="10:10" x14ac:dyDescent="0.2">
      <c r="J67" s="37"/>
    </row>
    <row r="68" spans="10:10" x14ac:dyDescent="0.2">
      <c r="J68" s="32"/>
    </row>
    <row r="69" spans="10:10" x14ac:dyDescent="0.2">
      <c r="J69" s="38"/>
    </row>
    <row r="70" spans="10:10" x14ac:dyDescent="0.2">
      <c r="J70" s="38"/>
    </row>
    <row r="71" spans="10:10" x14ac:dyDescent="0.2">
      <c r="J71" s="38"/>
    </row>
    <row r="72" spans="10:10" x14ac:dyDescent="0.2">
      <c r="J72" s="31"/>
    </row>
    <row r="73" spans="10:10" x14ac:dyDescent="0.2">
      <c r="J73" s="36"/>
    </row>
    <row r="74" spans="10:10" x14ac:dyDescent="0.2">
      <c r="J74" s="37"/>
    </row>
    <row r="75" spans="10:10" x14ac:dyDescent="0.2">
      <c r="J75" s="32"/>
    </row>
    <row r="76" spans="10:10" x14ac:dyDescent="0.2">
      <c r="J76" s="38"/>
    </row>
    <row r="77" spans="10:10" x14ac:dyDescent="0.2">
      <c r="J77" s="38"/>
    </row>
    <row r="78" spans="10:10" x14ac:dyDescent="0.2">
      <c r="J78" s="38"/>
    </row>
    <row r="79" spans="10:10" x14ac:dyDescent="0.2">
      <c r="J79" s="31"/>
    </row>
    <row r="80" spans="10:10" x14ac:dyDescent="0.2">
      <c r="J80" s="36"/>
    </row>
    <row r="81" spans="10:10" x14ac:dyDescent="0.2">
      <c r="J81" s="37"/>
    </row>
    <row r="82" spans="10:10" x14ac:dyDescent="0.2">
      <c r="J82" s="32"/>
    </row>
    <row r="83" spans="10:10" x14ac:dyDescent="0.2">
      <c r="J83" s="38"/>
    </row>
    <row r="84" spans="10:10" x14ac:dyDescent="0.2">
      <c r="J84" s="38"/>
    </row>
    <row r="85" spans="10:10" x14ac:dyDescent="0.2">
      <c r="J85" s="38"/>
    </row>
    <row r="86" spans="10:10" x14ac:dyDescent="0.2">
      <c r="J86" s="31"/>
    </row>
    <row r="87" spans="10:10" x14ac:dyDescent="0.2">
      <c r="J87" s="36"/>
    </row>
    <row r="88" spans="10:10" x14ac:dyDescent="0.2">
      <c r="J88" s="37"/>
    </row>
    <row r="89" spans="10:10" x14ac:dyDescent="0.2">
      <c r="J89" s="32"/>
    </row>
    <row r="90" spans="10:10" x14ac:dyDescent="0.2">
      <c r="J90" s="38"/>
    </row>
    <row r="91" spans="10:10" x14ac:dyDescent="0.2">
      <c r="J91" s="38"/>
    </row>
    <row r="92" spans="10:10" x14ac:dyDescent="0.2">
      <c r="J92" s="40"/>
    </row>
    <row r="93" spans="10:10" x14ac:dyDescent="0.2">
      <c r="J93" s="41"/>
    </row>
    <row r="94" spans="10:10" ht="13.5" thickBot="1" x14ac:dyDescent="0.25">
      <c r="J94" s="42"/>
    </row>
    <row r="95" spans="10:10" ht="13.5" thickTop="1" x14ac:dyDescent="0.2">
      <c r="J95" s="28"/>
    </row>
    <row r="96" spans="10:10" x14ac:dyDescent="0.2">
      <c r="J96" s="28"/>
    </row>
    <row r="97" spans="10:10" x14ac:dyDescent="0.2">
      <c r="J97" s="28"/>
    </row>
    <row r="98" spans="10:10" x14ac:dyDescent="0.2">
      <c r="J98" s="43"/>
    </row>
    <row r="99" spans="10:10" x14ac:dyDescent="0.2">
      <c r="J99" s="43"/>
    </row>
    <row r="100" spans="10:10" x14ac:dyDescent="0.2">
      <c r="J100" s="31"/>
    </row>
    <row r="101" spans="10:10" x14ac:dyDescent="0.2">
      <c r="J101" s="31"/>
    </row>
    <row r="102" spans="10:10" x14ac:dyDescent="0.2">
      <c r="J102" s="31"/>
    </row>
    <row r="103" spans="10:10" x14ac:dyDescent="0.2">
      <c r="J103" s="31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APOutstandingDetail - Local Cur</vt:lpstr>
      <vt:lpstr>'APOutstandingDetail - Local Cur'!Print_Titles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ediEnterprise by CargoWise edi (www.cargowise.com)</dc:creator>
  <cp:lastModifiedBy>Enguerran Gillet</cp:lastModifiedBy>
  <cp:lastPrinted>2005-10-03T05:16:11Z</cp:lastPrinted>
  <dcterms:created xsi:type="dcterms:W3CDTF">2003-06-24T23:37:39Z</dcterms:created>
  <dcterms:modified xsi:type="dcterms:W3CDTF">2013-10-27T23:14:57Z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-1308994828</vt:i4>
  </property>
  <property fmtid="{D5CDD505-2E9C-101B-9397-08002B2CF9AE}" pid="3" name="_EmailSubject">
    <vt:lpwstr>Excel template for Invoice with payment slip and grouping</vt:lpwstr>
  </property>
  <property fmtid="{D5CDD505-2E9C-101B-9397-08002B2CF9AE}" pid="4" name="_AuthorEmail">
    <vt:lpwstr>davidj@edi.com.au</vt:lpwstr>
  </property>
  <property fmtid="{D5CDD505-2E9C-101B-9397-08002B2CF9AE}" pid="5" name="_AuthorEmailDisplayName">
    <vt:lpwstr>David James</vt:lpwstr>
  </property>
  <property fmtid="{D5CDD505-2E9C-101B-9397-08002B2CF9AE}" pid="6" name="_PreviousAdHocReviewCycleID">
    <vt:i4>-1308994828</vt:i4>
  </property>
  <property fmtid="{D5CDD505-2E9C-101B-9397-08002B2CF9AE}" pid="7" name="_ReviewingToolsShownOnce">
    <vt:lpwstr/>
  </property>
</Properties>
</file>
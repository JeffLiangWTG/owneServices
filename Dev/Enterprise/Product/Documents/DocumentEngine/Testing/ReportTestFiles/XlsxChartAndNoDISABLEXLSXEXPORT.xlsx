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\Testing\ReportTestFiles\"/>
    </mc:Choice>
  </mc:AlternateContent>
  <xr:revisionPtr revIDLastSave="0" documentId="8_{3936D6BA-9E13-41E1-981E-C407D7DCB30B}" xr6:coauthVersionLast="47" xr6:coauthVersionMax="47" xr10:uidLastSave="{00000000-0000-0000-0000-000000000000}"/>
  <bookViews>
    <workbookView xWindow="780" yWindow="780" windowWidth="28800" windowHeight="15030"/>
  </bookViews>
  <sheets>
    <sheet name="Metrics with charts" sheetId="5" r:id="rId1"/>
    <sheet name="Metrics without charts" sheetId="1" r:id="rId2"/>
    <sheet name="Filters" sheetId="3" r:id="rId3"/>
    <sheet name="Optional Templates" sheetId="4" r:id="rId4"/>
  </sheets>
  <definedNames>
    <definedName name="_xlnm.Print_Area" localSheetId="1">'Metrics without charts'!$A:$R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5" l="1"/>
  <c r="Q38" i="5"/>
  <c r="P38" i="5"/>
  <c r="O38" i="5"/>
  <c r="N38" i="5"/>
  <c r="M38" i="5"/>
  <c r="L38" i="5"/>
  <c r="K38" i="5"/>
  <c r="J38" i="5"/>
  <c r="I38" i="5"/>
  <c r="H38" i="5"/>
  <c r="G38" i="5"/>
  <c r="R37" i="5"/>
  <c r="Q37" i="5"/>
  <c r="P37" i="5"/>
  <c r="O37" i="5"/>
  <c r="N37" i="5"/>
  <c r="M37" i="5"/>
  <c r="L37" i="5"/>
  <c r="K37" i="5"/>
  <c r="J37" i="5"/>
  <c r="I37" i="5"/>
  <c r="H37" i="5"/>
  <c r="G37" i="5"/>
  <c r="R30" i="1"/>
  <c r="Q30" i="1"/>
  <c r="P30" i="1"/>
  <c r="O30" i="1"/>
  <c r="N30" i="1"/>
  <c r="M30" i="1"/>
  <c r="L30" i="1"/>
  <c r="K30" i="1"/>
  <c r="J30" i="1"/>
  <c r="I30" i="1"/>
  <c r="H30" i="1"/>
  <c r="G30" i="1"/>
  <c r="L24" i="1"/>
  <c r="K24" i="1"/>
  <c r="J24" i="1"/>
  <c r="I24" i="1"/>
  <c r="H24" i="1"/>
  <c r="G24" i="1"/>
  <c r="R24" i="1"/>
  <c r="Q24" i="1"/>
  <c r="P24" i="1"/>
  <c r="O24" i="1"/>
  <c r="N24" i="1"/>
  <c r="M24" i="1"/>
  <c r="R28" i="1"/>
  <c r="Q28" i="1"/>
  <c r="P28" i="1"/>
  <c r="O28" i="1"/>
  <c r="N28" i="1"/>
  <c r="M28" i="1"/>
  <c r="L28" i="1"/>
  <c r="K28" i="1"/>
  <c r="J28" i="1"/>
  <c r="I28" i="1"/>
  <c r="H28" i="1"/>
  <c r="G28" i="1"/>
  <c r="R33" i="5"/>
  <c r="Q33" i="5"/>
  <c r="P33" i="5"/>
  <c r="O33" i="5"/>
  <c r="N33" i="5"/>
  <c r="M33" i="5"/>
  <c r="L33" i="5"/>
  <c r="K33" i="5"/>
  <c r="J33" i="5"/>
  <c r="I33" i="5"/>
  <c r="H33" i="5"/>
  <c r="G33" i="5"/>
  <c r="D33" i="5"/>
  <c r="C33" i="5"/>
  <c r="D28" i="1"/>
  <c r="C28" i="1"/>
</calcChain>
</file>

<file path=xl/sharedStrings.xml><?xml version="1.0" encoding="utf-8"?>
<sst xmlns="http://schemas.openxmlformats.org/spreadsheetml/2006/main" count="174" uniqueCount="97">
  <si>
    <t>#config</t>
  </si>
  <si>
    <t>#endofreport</t>
  </si>
  <si>
    <t>#end</t>
  </si>
  <si>
    <t>Type</t>
  </si>
  <si>
    <t>DataContext=None</t>
  </si>
  <si>
    <t>#SectionBody:Data=ReportData</t>
  </si>
  <si>
    <t>&lt;CompanyName&gt;</t>
  </si>
  <si>
    <t>Required</t>
  </si>
  <si>
    <t>Client</t>
  </si>
  <si>
    <t>Date range</t>
  </si>
  <si>
    <t>Date Range</t>
  </si>
  <si>
    <t>Warehouse</t>
  </si>
  <si>
    <t>warehouse lookup</t>
  </si>
  <si>
    <t>warehouse client lookup</t>
  </si>
  <si>
    <t>PageStyle=Continuous</t>
  </si>
  <si>
    <t>AutoHeightMode=ExpandRow</t>
  </si>
  <si>
    <t>Printed by &lt;Login Full Name&gt;  &lt;DateTimeAsString('&lt;Now&gt;','dd-MMM-yy HH:mm')&gt;</t>
  </si>
  <si>
    <t>#DocumentHeader</t>
  </si>
  <si>
    <t>#SectionPageHeader</t>
  </si>
  <si>
    <t>Name=Performance Metrics Report</t>
  </si>
  <si>
    <t>Show Previous Periods</t>
  </si>
  <si>
    <t>Multiple Choice</t>
  </si>
  <si>
    <t>Style</t>
  </si>
  <si>
    <t>dropdown</t>
  </si>
  <si>
    <t>Option</t>
  </si>
  <si>
    <t>&lt;HideRowIf("&lt;Warehouse&gt;"=="")&gt;</t>
  </si>
  <si>
    <t>&lt;HideRowIf("&lt;Client&gt;"=="")&gt;</t>
  </si>
  <si>
    <t>Inbound</t>
  </si>
  <si>
    <t>Outbound</t>
  </si>
  <si>
    <t>Field</t>
  </si>
  <si>
    <t>metricGroup</t>
  </si>
  <si>
    <t>Inbound Only</t>
  </si>
  <si>
    <t>Outbound Only</t>
  </si>
  <si>
    <t>Inbound &amp; Outbound</t>
  </si>
  <si>
    <t>Show Inbound Metrics Only</t>
  </si>
  <si>
    <t>Show Outbound Metrics Only</t>
  </si>
  <si>
    <t>Show Inbound and Outbound Metrics</t>
  </si>
  <si>
    <t>Metrics to Filter</t>
  </si>
  <si>
    <t>&lt;HideRowIf("&lt;Metrics to Filter&gt;"!="")&gt;</t>
  </si>
  <si>
    <t>&lt;HideRowIf("&lt;Metrics to Filter&gt;"!="Inbound")&gt;</t>
  </si>
  <si>
    <t>&lt;HideRowIf("&lt;Metrics to Filter&gt;"!="Outbound")&gt;</t>
  </si>
  <si>
    <t>&lt;RegistryItemBusinessObject(Enterprise.Registry.Business.Warehouse.WarehouseDataRegistry.Instance.PerformanceReporting, Enterprise.Registry.Business).GetMetricRanking("&lt;ReportData.metricCode&gt;", &lt;ReportData.metricCurrentValue&gt;)&gt;</t>
  </si>
  <si>
    <t>Current Performance</t>
  </si>
  <si>
    <t>Target</t>
  </si>
  <si>
    <t>&lt;RegistryItemBusinessObject(Enterprise.Registry.Business.Warehouse.WarehouseDataRegistry.Instance.PerformanceReporting, Enterprise.Registry.Business).GetMetricTargetRanking("&lt;ReportData.metricCode&gt;")&gt;</t>
  </si>
  <si>
    <t>&lt;HideRowIf("&lt;Show Previous Periods&gt;"=="")&gt;</t>
  </si>
  <si>
    <t>Data:ReportData=WhsPerfPerformanceMetrics(&lt;Date Range.FromDate&gt;,  &lt;Date Range.ToDate&gt;, &lt;Warehouse&gt;, &lt;Client&gt;, &lt;Show Previous Periods&gt;, &lt;Metrics to Filter&gt;)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</si>
  <si>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</si>
  <si>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</si>
  <si>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</si>
  <si>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</si>
  <si>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</si>
  <si>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</si>
  <si>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</si>
  <si>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</si>
  <si>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</si>
  <si>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</si>
  <si>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</si>
  <si>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</si>
  <si>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&lt;ReportData.metricGroup&gt; - &lt;ReportData.metricName&gt;</t>
  </si>
  <si>
    <t>Min</t>
  </si>
  <si>
    <t>Max</t>
  </si>
  <si>
    <t>&lt;RegistryItemBusinessObject(Enterprise.Registry.Business.Warehouse.WarehouseDataRegistry.Instance.PerformanceReporting, Enterprise.Registry.Business).GetMetricTargetRangeMin("&lt;ReportData.metricCode&gt;")&gt;</t>
  </si>
  <si>
    <t>&lt;RegistryItemBusinessObject(Enterprise.Registry.Business.Warehouse.WarehouseDataRegistry.Instance.PerformanceReporting, Enterprise.Registry.Business).GetMetricTargetRangeMax("&lt;ReportData.metricCode&gt;")&gt;</t>
  </si>
  <si>
    <t>Warehouse: &lt;ReportData.warehouseName&gt;</t>
  </si>
  <si>
    <t>Client: &lt;ReportData.clientName&gt;</t>
  </si>
  <si>
    <t>&lt;HideRowIf("&lt;ReportData.metricChartType&gt;"!="PERCENTAGE")&gt;</t>
  </si>
  <si>
    <t>&lt;HideRowIf("&lt;ReportData.metricChartType&gt;"=="PERCENTAGE")&gt;</t>
  </si>
  <si>
    <t>&lt;ReportData.metricCurrentValue&gt;</t>
  </si>
  <si>
    <t>Current</t>
  </si>
  <si>
    <t>Job Performance Report</t>
  </si>
  <si>
    <t>Checkbox</t>
  </si>
  <si>
    <t>Options</t>
  </si>
  <si>
    <t>Y</t>
  </si>
  <si>
    <t>Hide metrics with no value</t>
  </si>
  <si>
    <t>Show metrics with no value</t>
  </si>
  <si>
    <t>Performance Metrics with charts</t>
  </si>
  <si>
    <t>&lt;HPageBreak&gt;</t>
  </si>
  <si>
    <t>Metrics with charts</t>
  </si>
  <si>
    <t>Metrics without charts</t>
  </si>
  <si>
    <t>Default</t>
  </si>
  <si>
    <t>No value</t>
  </si>
  <si>
    <t>&lt;HideRowIf("&lt;No value&gt;"!="Y")&gt;</t>
  </si>
  <si>
    <t>&lt;HideRowIf("&lt;No value&gt;"=="Y")&gt;</t>
  </si>
  <si>
    <t>&lt;HideRowIf("&lt;ReportData.metricChartType&gt;"!="PERCENTAGE"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</si>
  <si>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&lt;HideRowIf("&lt;No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)&gt;</t>
  </si>
  <si>
    <t>&lt;HideRowIf("&lt;ReportData.metricChartType&gt;"=="PERCENTAGE"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</si>
  <si>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Hide metrics with no value (without charts only)</t>
  </si>
  <si>
    <t>Job Performance Report with Charts</t>
  </si>
  <si>
    <t>DisplayLabel="Performance Warning - All columns", ShowPerformanceWarning</t>
  </si>
  <si>
    <t>ColumnHeadings:</t>
  </si>
  <si>
    <t>&lt;RegistryItemBusinessObject(Enterprise.Registry.Business.Warehouse.WarehouseDataRegistry.Instance.PerformanceReporting, Enterprise.Registry.Business).GetMetricRanking("&lt;ReportData.metricCode&gt;", &lt;ReportData.metricCurrentValue&gt;, true)&gt;</t>
  </si>
  <si>
    <t>RequireBothFromAndToDates</t>
  </si>
  <si>
    <t>DisableCSVExport</t>
  </si>
  <si>
    <t>EmailSubject=&lt;CompanyCode&gt; Performance Metrics Report &lt;Now&gt;</t>
  </si>
  <si>
    <t>Date Range: from &lt;Date Range.FromDate&gt; to  &lt;Date Range.ToDate&gt;</t>
  </si>
  <si>
    <t>Period Calculated: &lt;Show Previous Periods&gt;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</si>
</sst>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[$-C09]dd\-mmm\-yy;@"/>
    <numFmt numFmtId="180" formatCode="#,##0.000"/>
    <numFmt numFmtId="181" formatCode="0.000"/>
    <numFmt numFmtId="185" formatCode="0.000%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2" fillId="0" borderId="0" xfId="0" applyFont="1" applyBorder="1" applyAlignment="1"/>
    <xf numFmtId="4" fontId="1" fillId="0" borderId="0" xfId="0" applyNumberFormat="1" applyFont="1" applyBorder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2" fillId="0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180" fontId="1" fillId="0" borderId="0" xfId="0" applyNumberFormat="1" applyFont="1" applyBorder="1" applyAlignment="1">
      <alignment horizontal="left"/>
    </xf>
    <xf numFmtId="0" fontId="4" fillId="0" borderId="0" xfId="0" applyFont="1" applyAlignment="1"/>
    <xf numFmtId="0" fontId="1" fillId="0" borderId="0" xfId="14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/>
    <xf numFmtId="2" fontId="1" fillId="0" borderId="0" xfId="0" applyNumberFormat="1" applyFont="1" applyBorder="1" applyAlignment="1"/>
    <xf numFmtId="0" fontId="5" fillId="2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0" fontId="2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49" fontId="1" fillId="0" borderId="0" xfId="0" applyNumberFormat="1" applyFont="1" applyBorder="1" applyAlignment="1"/>
    <xf numFmtId="2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vertical="top"/>
    </xf>
    <xf numFmtId="4" fontId="1" fillId="0" borderId="0" xfId="0" applyNumberFormat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175" fontId="1" fillId="0" borderId="0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right" vertical="center"/>
    </xf>
    <xf numFmtId="181" fontId="1" fillId="0" borderId="0" xfId="0" applyNumberFormat="1" applyFont="1" applyBorder="1" applyAlignment="1">
      <alignment horizontal="right"/>
    </xf>
    <xf numFmtId="181" fontId="1" fillId="0" borderId="0" xfId="0" applyNumberFormat="1" applyFont="1" applyBorder="1" applyAlignment="1">
      <alignment horizontal="left"/>
    </xf>
    <xf numFmtId="0" fontId="9" fillId="0" borderId="0" xfId="0" applyFont="1" applyBorder="1" applyAlignment="1"/>
    <xf numFmtId="0" fontId="10" fillId="0" borderId="0" xfId="0" applyFont="1" applyBorder="1" applyAlignment="1">
      <alignment horizontal="left"/>
    </xf>
    <xf numFmtId="181" fontId="10" fillId="0" borderId="0" xfId="0" applyNumberFormat="1" applyFont="1" applyBorder="1" applyAlignment="1">
      <alignment horizontal="left"/>
    </xf>
    <xf numFmtId="2" fontId="10" fillId="0" borderId="0" xfId="0" applyNumberFormat="1" applyFont="1" applyBorder="1" applyAlignment="1"/>
    <xf numFmtId="181" fontId="10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horizontal="left"/>
    </xf>
    <xf numFmtId="0" fontId="11" fillId="0" borderId="0" xfId="0" applyFont="1" applyBorder="1" applyAlignment="1"/>
    <xf numFmtId="185" fontId="1" fillId="0" borderId="0" xfId="0" applyNumberFormat="1" applyFont="1" applyBorder="1" applyAlignment="1">
      <alignment horizontal="left"/>
    </xf>
    <xf numFmtId="185" fontId="1" fillId="0" borderId="0" xfId="0" applyNumberFormat="1" applyFont="1" applyBorder="1" applyAlignment="1">
      <alignment horizontal="right"/>
    </xf>
    <xf numFmtId="0" fontId="7" fillId="0" borderId="0" xfId="0" applyFont="1" applyBorder="1" applyAlignment="1"/>
    <xf numFmtId="0" fontId="8" fillId="0" borderId="0" xfId="0" applyFo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</cellXfs>
  <cellStyles count="54">
    <cellStyle name="Normal" xfId="0" builtinId="0"/>
    <cellStyle name="Normal 10 2" xfId="1"/>
    <cellStyle name="Normal 10 3" xfId="2"/>
    <cellStyle name="Normal 10 4" xfId="3"/>
    <cellStyle name="Normal 10 5" xfId="4"/>
    <cellStyle name="Normal 11" xfId="5"/>
    <cellStyle name="Normal 11 2" xfId="6"/>
    <cellStyle name="Normal 11 3" xfId="7"/>
    <cellStyle name="Normal 11 4" xfId="8"/>
    <cellStyle name="Normal 11 5" xfId="9"/>
    <cellStyle name="Normal 13 2" xfId="10"/>
    <cellStyle name="Normal 13 3" xfId="11"/>
    <cellStyle name="Normal 13 4" xfId="12"/>
    <cellStyle name="Normal 13 5" xfId="13"/>
    <cellStyle name="Normal 2" xfId="14"/>
    <cellStyle name="Normal 2 2" xfId="15"/>
    <cellStyle name="Normal 2 3" xfId="16"/>
    <cellStyle name="Normal 2 4" xfId="17"/>
    <cellStyle name="Normal 2 5" xfId="18"/>
    <cellStyle name="Normal 3" xfId="19"/>
    <cellStyle name="Normal 3 2" xfId="20"/>
    <cellStyle name="Normal 3 3" xfId="21"/>
    <cellStyle name="Normal 3 4" xfId="22"/>
    <cellStyle name="Normal 3 5" xfId="23"/>
    <cellStyle name="Normal 4" xfId="24"/>
    <cellStyle name="Normal 4 2" xfId="25"/>
    <cellStyle name="Normal 4 3" xfId="26"/>
    <cellStyle name="Normal 4 4" xfId="27"/>
    <cellStyle name="Normal 4 5" xfId="28"/>
    <cellStyle name="Normal 5" xfId="29"/>
    <cellStyle name="Normal 5 2" xfId="30"/>
    <cellStyle name="Normal 5 3" xfId="31"/>
    <cellStyle name="Normal 5 4" xfId="32"/>
    <cellStyle name="Normal 5 5" xfId="33"/>
    <cellStyle name="Normal 6" xfId="34"/>
    <cellStyle name="Normal 6 2" xfId="35"/>
    <cellStyle name="Normal 6 3" xfId="36"/>
    <cellStyle name="Normal 6 4" xfId="37"/>
    <cellStyle name="Normal 6 5" xfId="38"/>
    <cellStyle name="Normal 7" xfId="39"/>
    <cellStyle name="Normal 7 2" xfId="40"/>
    <cellStyle name="Normal 7 3" xfId="41"/>
    <cellStyle name="Normal 7 4" xfId="42"/>
    <cellStyle name="Normal 7 5" xfId="43"/>
    <cellStyle name="Normal 8" xfId="44"/>
    <cellStyle name="Normal 8 2" xfId="45"/>
    <cellStyle name="Normal 8 3" xfId="46"/>
    <cellStyle name="Normal 8 4" xfId="47"/>
    <cellStyle name="Normal 8 5" xfId="48"/>
    <cellStyle name="Normal 9" xfId="49"/>
    <cellStyle name="Normal 9 2" xfId="50"/>
    <cellStyle name="Normal 9 3" xfId="51"/>
    <cellStyle name="Normal 9 4" xfId="52"/>
    <cellStyle name="Normal 9 5" xfId="53"/>
  </cellStyles>
  <dxfs count="37"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charts'!$C$37:$D$37,'Metrics with charts'!$F$37:$R$37)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#VALUE!</c:v>
                </c:pt>
                <c:pt idx="4">
                  <c:v>#VALUE!</c:v>
                </c:pt>
                <c:pt idx="5">
                  <c:v>#VALUE!</c:v>
                </c:pt>
                <c:pt idx="6">
                  <c:v>#VALUE!</c:v>
                </c:pt>
                <c:pt idx="7">
                  <c:v>#VALUE!</c:v>
                </c:pt>
                <c:pt idx="8">
                  <c:v>#VALUE!</c:v>
                </c:pt>
                <c:pt idx="9">
                  <c:v>#VALUE!</c:v>
                </c:pt>
                <c:pt idx="10">
                  <c:v>#VALUE!</c:v>
                </c:pt>
                <c:pt idx="11">
                  <c:v>#VALUE!</c:v>
                </c:pt>
                <c:pt idx="12">
                  <c:v>#VALUE!</c:v>
                </c:pt>
                <c:pt idx="13">
                  <c:v>#VALUE!</c:v>
                </c:pt>
                <c:pt idx="14">
                  <c:v>#VALUE!</c:v>
                </c:pt>
              </c:strCache>
            </c:strRef>
          </c:cat>
          <c:val>
            <c:numRef>
              <c:f>('Metrics with charts'!$C$38:$D$38,'Metrics with charts'!$F$38:$R$38)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C-49AD-91AA-D923A43F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841104"/>
        <c:axId val="1"/>
      </c:barChart>
      <c:catAx>
        <c:axId val="51184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11841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charts'!$C$32:$D$32,'Metrics with charts'!$F$32:$R$32)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P 1</c:v>
                </c:pt>
                <c:pt idx="4">
                  <c:v>P 2</c:v>
                </c:pt>
                <c:pt idx="5">
                  <c:v>P 3</c:v>
                </c:pt>
                <c:pt idx="6">
                  <c:v>P 4</c:v>
                </c:pt>
                <c:pt idx="7">
                  <c:v>P 5</c:v>
                </c:pt>
                <c:pt idx="8">
                  <c:v>P 6</c:v>
                </c:pt>
                <c:pt idx="9">
                  <c:v>P 7</c:v>
                </c:pt>
                <c:pt idx="10">
                  <c:v>P 8</c:v>
                </c:pt>
                <c:pt idx="11">
                  <c:v>P 9</c:v>
                </c:pt>
                <c:pt idx="12">
                  <c:v>P 10</c:v>
                </c:pt>
                <c:pt idx="13">
                  <c:v>P 11</c:v>
                </c:pt>
                <c:pt idx="14">
                  <c:v>P 12</c:v>
                </c:pt>
              </c:strCache>
            </c:strRef>
          </c:cat>
          <c:val>
            <c:numRef>
              <c:f>('Metrics with charts'!$C$33:$D$33,'Metrics with charts'!$F$33:$R$33)</c:f>
              <c:numCache>
                <c:formatCode>0.000%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12E-A4DD-23EDE58B7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804656"/>
        <c:axId val="1"/>
      </c:barChart>
      <c:catAx>
        <c:axId val="51280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512804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47625</xdr:rowOff>
    </xdr:from>
    <xdr:to>
      <xdr:col>17</xdr:col>
      <xdr:colOff>466725</xdr:colOff>
      <xdr:row>34</xdr:row>
      <xdr:rowOff>4248150</xdr:rowOff>
    </xdr:to>
    <xdr:graphicFrame macro="">
      <xdr:nvGraphicFramePr>
        <xdr:cNvPr id="422175" name="Chart 1">
          <a:extLst>
            <a:ext uri="{FF2B5EF4-FFF2-40B4-BE49-F238E27FC236}">
              <a16:creationId xmlns:a16="http://schemas.microsoft.com/office/drawing/2014/main" id="{5803D60D-8913-3A96-1021-0FACFD9BD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47625</xdr:rowOff>
    </xdr:from>
    <xdr:to>
      <xdr:col>17</xdr:col>
      <xdr:colOff>466725</xdr:colOff>
      <xdr:row>29</xdr:row>
      <xdr:rowOff>4248150</xdr:rowOff>
    </xdr:to>
    <xdr:graphicFrame macro="">
      <xdr:nvGraphicFramePr>
        <xdr:cNvPr id="422176" name="Chart 1">
          <a:extLst>
            <a:ext uri="{FF2B5EF4-FFF2-40B4-BE49-F238E27FC236}">
              <a16:creationId xmlns:a16="http://schemas.microsoft.com/office/drawing/2014/main" id="{961F54EE-65BB-4042-3C08-616796409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Normal="100" workbookViewId="0">
      <selection activeCell="A7" sqref="A7"/>
    </sheetView>
  </sheetViews>
  <sheetFormatPr defaultRowHeight="12.75" x14ac:dyDescent="0.2"/>
  <cols>
    <col min="1" max="1" width="41" style="52" customWidth="1"/>
    <col min="2" max="2" width="10.28515625" style="2" customWidth="1"/>
    <col min="3" max="4" width="6.7109375" style="2" customWidth="1"/>
    <col min="5" max="5" width="17.42578125" style="2" customWidth="1"/>
    <col min="6" max="6" width="7.140625" style="10" customWidth="1"/>
    <col min="7" max="7" width="7.140625" style="28" customWidth="1"/>
    <col min="8" max="18" width="7.140625" style="10" customWidth="1"/>
    <col min="19" max="16384" width="9.140625" style="2"/>
  </cols>
  <sheetData>
    <row r="1" spans="1:16" s="6" customFormat="1" ht="12.75" customHeight="1" x14ac:dyDescent="0.2">
      <c r="A1" s="48" t="s">
        <v>0</v>
      </c>
      <c r="B1" s="5"/>
      <c r="C1" s="5"/>
      <c r="D1" s="32"/>
      <c r="E1" s="5"/>
      <c r="F1" s="5"/>
      <c r="G1" s="28"/>
    </row>
    <row r="2" spans="1:16" s="5" customFormat="1" ht="12.75" customHeight="1" x14ac:dyDescent="0.2">
      <c r="A2" s="48" t="s">
        <v>14</v>
      </c>
      <c r="D2" s="32"/>
    </row>
    <row r="3" spans="1:16" s="5" customFormat="1" ht="12.75" customHeight="1" x14ac:dyDescent="0.2">
      <c r="A3" s="48" t="s">
        <v>4</v>
      </c>
      <c r="D3" s="32"/>
    </row>
    <row r="4" spans="1:16" s="5" customFormat="1" ht="12.75" customHeight="1" x14ac:dyDescent="0.2">
      <c r="A4" s="48" t="s">
        <v>15</v>
      </c>
      <c r="D4" s="32"/>
    </row>
    <row r="5" spans="1:16" s="5" customFormat="1" ht="12.75" customHeight="1" x14ac:dyDescent="0.2">
      <c r="A5" s="48" t="s">
        <v>19</v>
      </c>
      <c r="D5" s="32"/>
    </row>
    <row r="6" spans="1:16" s="5" customFormat="1" ht="12.75" customHeight="1" x14ac:dyDescent="0.2">
      <c r="A6" s="48" t="s">
        <v>93</v>
      </c>
      <c r="D6" s="32"/>
    </row>
    <row r="7" spans="1:16" s="5" customFormat="1" ht="12.75" customHeight="1" x14ac:dyDescent="0.2">
      <c r="A7" s="48"/>
      <c r="D7" s="32"/>
    </row>
    <row r="8" spans="1:16" s="7" customFormat="1" ht="12.75" customHeight="1" x14ac:dyDescent="0.2">
      <c r="A8" s="49" t="s">
        <v>94</v>
      </c>
      <c r="D8" s="27"/>
    </row>
    <row r="9" spans="1:16" s="10" customFormat="1" ht="12.75" customHeight="1" x14ac:dyDescent="0.2">
      <c r="A9" s="50" t="s">
        <v>46</v>
      </c>
      <c r="B9" s="9"/>
      <c r="C9" s="9"/>
      <c r="D9" s="13"/>
      <c r="E9" s="9"/>
      <c r="F9" s="9"/>
      <c r="G9" s="28"/>
    </row>
    <row r="10" spans="1:16" s="10" customFormat="1" ht="12.75" customHeight="1" x14ac:dyDescent="0.2">
      <c r="A10" s="50" t="s">
        <v>90</v>
      </c>
      <c r="B10" s="9" t="s">
        <v>89</v>
      </c>
      <c r="C10" s="9"/>
      <c r="D10" s="13"/>
      <c r="E10" s="9"/>
      <c r="F10" s="9"/>
      <c r="G10" s="28"/>
    </row>
    <row r="11" spans="1:16" s="14" customFormat="1" ht="14.25" customHeight="1" x14ac:dyDescent="0.2">
      <c r="A11" s="48" t="s">
        <v>17</v>
      </c>
      <c r="B11" s="15"/>
      <c r="C11" s="15"/>
      <c r="D11" s="26"/>
      <c r="E11" s="15"/>
      <c r="F11" s="15"/>
      <c r="G11" s="16"/>
    </row>
    <row r="12" spans="1:16" s="14" customFormat="1" ht="14.25" customHeight="1" x14ac:dyDescent="0.2">
      <c r="A12" s="48" t="s">
        <v>18</v>
      </c>
      <c r="B12" s="15"/>
      <c r="C12" s="15"/>
      <c r="D12" s="26"/>
      <c r="E12" s="15"/>
      <c r="F12" s="15"/>
      <c r="G12" s="16"/>
    </row>
    <row r="13" spans="1:16" ht="21" customHeight="1" x14ac:dyDescent="0.2">
      <c r="A13" s="51"/>
      <c r="B13" s="21" t="s">
        <v>6</v>
      </c>
      <c r="C13" s="21"/>
      <c r="D13" s="34"/>
      <c r="E13" s="21"/>
      <c r="F13" s="21"/>
      <c r="G13" s="21"/>
    </row>
    <row r="14" spans="1:16" ht="15" customHeight="1" x14ac:dyDescent="0.25">
      <c r="B14" s="18" t="s">
        <v>88</v>
      </c>
      <c r="E14" s="8"/>
      <c r="F14" s="28"/>
      <c r="G14" s="10"/>
    </row>
    <row r="15" spans="1:16" ht="12.75" customHeight="1" x14ac:dyDescent="0.2">
      <c r="A15" s="53" t="s">
        <v>25</v>
      </c>
      <c r="B15" s="19" t="s">
        <v>64</v>
      </c>
      <c r="C15" s="13"/>
      <c r="D15" s="13"/>
      <c r="E15" s="13"/>
      <c r="F15" s="9"/>
      <c r="G15" s="9"/>
      <c r="H15" s="9"/>
      <c r="I15" s="28"/>
      <c r="K15" s="37"/>
      <c r="L15" s="37"/>
      <c r="M15" s="37"/>
      <c r="N15" s="37"/>
      <c r="O15" s="37"/>
      <c r="P15" s="9"/>
    </row>
    <row r="16" spans="1:16" ht="12.75" customHeight="1" x14ac:dyDescent="0.2">
      <c r="A16" s="53" t="s">
        <v>26</v>
      </c>
      <c r="B16" s="19" t="s">
        <v>65</v>
      </c>
      <c r="C16" s="13"/>
      <c r="D16" s="13"/>
      <c r="E16" s="13"/>
      <c r="F16" s="9"/>
      <c r="G16" s="9"/>
      <c r="H16" s="9"/>
      <c r="I16" s="28"/>
      <c r="K16" s="37"/>
      <c r="L16" s="37"/>
      <c r="M16" s="37"/>
      <c r="N16" s="37"/>
      <c r="O16" s="37"/>
      <c r="P16" s="9"/>
    </row>
    <row r="17" spans="1:18" ht="12.75" customHeight="1" x14ac:dyDescent="0.2">
      <c r="A17" s="53"/>
      <c r="B17" s="19" t="s">
        <v>95</v>
      </c>
      <c r="C17" s="13"/>
      <c r="D17" s="13"/>
      <c r="E17" s="13"/>
      <c r="F17" s="9"/>
      <c r="G17" s="9"/>
      <c r="H17" s="9"/>
      <c r="I17" s="28"/>
      <c r="K17" s="37"/>
      <c r="L17" s="37"/>
      <c r="M17" s="37"/>
      <c r="N17" s="37"/>
      <c r="O17" s="37"/>
      <c r="P17" s="9"/>
    </row>
    <row r="18" spans="1:18" ht="12.75" customHeight="1" x14ac:dyDescent="0.2">
      <c r="A18" s="53" t="s">
        <v>45</v>
      </c>
      <c r="B18" s="19" t="s">
        <v>96</v>
      </c>
      <c r="C18" s="13"/>
      <c r="D18" s="13"/>
      <c r="E18" s="13"/>
      <c r="F18" s="9"/>
      <c r="G18" s="9"/>
      <c r="H18" s="9"/>
      <c r="I18" s="28"/>
      <c r="K18" s="37"/>
      <c r="L18" s="37"/>
      <c r="M18" s="37"/>
      <c r="N18" s="37"/>
      <c r="O18" s="37"/>
      <c r="P18" s="9"/>
    </row>
    <row r="19" spans="1:18" ht="12.75" customHeight="1" x14ac:dyDescent="0.2">
      <c r="A19" s="53" t="s">
        <v>38</v>
      </c>
      <c r="B19" s="19" t="s">
        <v>36</v>
      </c>
      <c r="C19" s="13"/>
      <c r="D19" s="13"/>
      <c r="E19" s="13"/>
      <c r="F19" s="9"/>
      <c r="G19" s="9"/>
      <c r="H19" s="9"/>
      <c r="I19" s="28"/>
      <c r="K19" s="37"/>
      <c r="L19" s="37"/>
      <c r="M19" s="37"/>
      <c r="N19" s="37"/>
      <c r="O19" s="37"/>
      <c r="P19" s="9"/>
    </row>
    <row r="20" spans="1:18" ht="12.75" customHeight="1" x14ac:dyDescent="0.2">
      <c r="A20" s="53" t="s">
        <v>39</v>
      </c>
      <c r="B20" s="19" t="s">
        <v>34</v>
      </c>
      <c r="C20" s="13"/>
      <c r="D20" s="13"/>
      <c r="E20" s="13"/>
      <c r="F20" s="9"/>
      <c r="G20" s="9"/>
      <c r="H20" s="9"/>
      <c r="I20" s="28"/>
      <c r="K20" s="37"/>
      <c r="L20" s="37"/>
      <c r="M20" s="37"/>
      <c r="N20" s="37"/>
      <c r="O20" s="37"/>
      <c r="P20" s="9"/>
    </row>
    <row r="21" spans="1:18" ht="12.75" customHeight="1" x14ac:dyDescent="0.2">
      <c r="A21" s="53" t="s">
        <v>40</v>
      </c>
      <c r="B21" s="19" t="s">
        <v>35</v>
      </c>
      <c r="C21" s="13"/>
      <c r="D21" s="13"/>
      <c r="E21" s="13"/>
      <c r="F21" s="9"/>
      <c r="G21" s="9"/>
      <c r="H21" s="9"/>
      <c r="I21" s="28"/>
      <c r="K21" s="37"/>
      <c r="L21" s="37"/>
      <c r="M21" s="37"/>
      <c r="N21" s="37"/>
      <c r="O21" s="37"/>
      <c r="P21" s="9"/>
    </row>
    <row r="22" spans="1:18" ht="12.75" customHeight="1" x14ac:dyDescent="0.2">
      <c r="A22" s="53"/>
      <c r="B22" s="19" t="s">
        <v>76</v>
      </c>
      <c r="C22" s="13"/>
      <c r="D22" s="13"/>
      <c r="E22" s="13"/>
      <c r="F22" s="9"/>
      <c r="G22" s="9"/>
      <c r="H22" s="9"/>
      <c r="I22" s="28"/>
      <c r="K22" s="37"/>
      <c r="L22" s="37"/>
      <c r="M22" s="37"/>
      <c r="N22" s="37"/>
      <c r="O22" s="37"/>
      <c r="P22" s="9"/>
    </row>
    <row r="23" spans="1:18" ht="12.75" customHeight="1" x14ac:dyDescent="0.2">
      <c r="A23" s="53" t="s">
        <v>82</v>
      </c>
      <c r="B23" s="19" t="s">
        <v>74</v>
      </c>
      <c r="C23" s="13"/>
      <c r="D23" s="13"/>
      <c r="E23" s="13"/>
      <c r="F23" s="9"/>
      <c r="G23" s="9"/>
      <c r="H23" s="9"/>
      <c r="I23" s="28"/>
      <c r="K23" s="37"/>
      <c r="L23" s="37"/>
      <c r="M23" s="37"/>
      <c r="N23" s="37"/>
      <c r="O23" s="37"/>
      <c r="P23" s="9"/>
    </row>
    <row r="24" spans="1:18" ht="12.75" customHeight="1" x14ac:dyDescent="0.2">
      <c r="A24" s="53" t="s">
        <v>83</v>
      </c>
      <c r="B24" s="19" t="s">
        <v>75</v>
      </c>
      <c r="C24" s="13"/>
      <c r="D24" s="13"/>
      <c r="E24" s="13"/>
      <c r="F24" s="9"/>
      <c r="G24" s="9"/>
      <c r="H24" s="9"/>
      <c r="I24" s="28"/>
      <c r="K24" s="37"/>
      <c r="L24" s="37"/>
      <c r="M24" s="37"/>
      <c r="N24" s="37"/>
      <c r="O24" s="37"/>
      <c r="P24" s="9"/>
    </row>
    <row r="25" spans="1:18" ht="12.75" customHeight="1" x14ac:dyDescent="0.2">
      <c r="B25" s="1" t="s">
        <v>16</v>
      </c>
      <c r="C25" s="1"/>
      <c r="D25" s="1"/>
      <c r="E25" s="1"/>
      <c r="F25" s="33"/>
      <c r="G25" s="36"/>
    </row>
    <row r="26" spans="1:18" ht="3.75" customHeight="1" x14ac:dyDescent="0.2">
      <c r="B26" s="1"/>
      <c r="C26" s="1"/>
      <c r="D26" s="1"/>
      <c r="E26" s="1"/>
      <c r="F26" s="33"/>
      <c r="G26" s="36"/>
    </row>
    <row r="27" spans="1:18" s="3" customFormat="1" ht="12" customHeight="1" x14ac:dyDescent="0.2">
      <c r="A27" s="54" t="s">
        <v>5</v>
      </c>
      <c r="B27" s="1"/>
      <c r="C27" s="1"/>
      <c r="D27" s="1"/>
      <c r="E27" s="1"/>
      <c r="F27" s="33"/>
      <c r="G27" s="29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s="3" customFormat="1" ht="15" customHeight="1" x14ac:dyDescent="0.25">
      <c r="A28" s="54"/>
      <c r="B28" s="57" t="s">
        <v>59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</row>
    <row r="29" spans="1:18" s="3" customFormat="1" ht="7.5" customHeight="1" x14ac:dyDescent="0.25">
      <c r="A29" s="54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</row>
    <row r="30" spans="1:18" s="3" customFormat="1" ht="337.5" customHeight="1" x14ac:dyDescent="0.25">
      <c r="A30" s="53" t="s">
        <v>66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18" s="3" customFormat="1" ht="7.5" customHeight="1" x14ac:dyDescent="0.2">
      <c r="A31" s="53" t="s">
        <v>66</v>
      </c>
      <c r="B31" s="11"/>
      <c r="C31" s="11"/>
      <c r="D31" s="30"/>
      <c r="E31" s="1"/>
      <c r="F31" s="33"/>
      <c r="G31" s="17"/>
      <c r="H31" s="17"/>
      <c r="I31" s="31"/>
      <c r="J31" s="17"/>
      <c r="K31" s="33"/>
      <c r="L31" s="36"/>
      <c r="M31" s="38"/>
      <c r="N31" s="38"/>
      <c r="O31" s="25"/>
      <c r="P31" s="25"/>
      <c r="Q31" s="25"/>
      <c r="R31" s="25"/>
    </row>
    <row r="32" spans="1:18" s="12" customFormat="1" ht="11.25" customHeight="1" x14ac:dyDescent="0.2">
      <c r="A32" s="53" t="s">
        <v>66</v>
      </c>
      <c r="B32" s="20" t="s">
        <v>43</v>
      </c>
      <c r="C32" s="24" t="s">
        <v>60</v>
      </c>
      <c r="D32" s="24" t="s">
        <v>61</v>
      </c>
      <c r="E32" s="24" t="s">
        <v>42</v>
      </c>
      <c r="F32" s="39" t="s">
        <v>69</v>
      </c>
      <c r="G32" s="39" t="s">
        <v>47</v>
      </c>
      <c r="H32" s="39" t="s">
        <v>48</v>
      </c>
      <c r="I32" s="39" t="s">
        <v>49</v>
      </c>
      <c r="J32" s="39" t="s">
        <v>50</v>
      </c>
      <c r="K32" s="39" t="s">
        <v>51</v>
      </c>
      <c r="L32" s="39" t="s">
        <v>52</v>
      </c>
      <c r="M32" s="39" t="s">
        <v>53</v>
      </c>
      <c r="N32" s="39" t="s">
        <v>54</v>
      </c>
      <c r="O32" s="39" t="s">
        <v>55</v>
      </c>
      <c r="P32" s="39" t="s">
        <v>56</v>
      </c>
      <c r="Q32" s="39" t="s">
        <v>57</v>
      </c>
      <c r="R32" s="39" t="s">
        <v>58</v>
      </c>
    </row>
    <row r="33" spans="1:18" s="3" customFormat="1" ht="12" customHeight="1" x14ac:dyDescent="0.2">
      <c r="A33" s="53" t="s">
        <v>66</v>
      </c>
      <c r="B33" s="33" t="s">
        <v>44</v>
      </c>
      <c r="C33" s="55" t="e">
        <f>C34/100</f>
        <v>#VALUE!</v>
      </c>
      <c r="D33" s="55" t="e">
        <f>D34/100</f>
        <v>#VALUE!</v>
      </c>
      <c r="E33" s="23" t="s">
        <v>41</v>
      </c>
      <c r="F33" s="56" t="s">
        <v>68</v>
      </c>
      <c r="G33" s="56" t="e">
        <f>IF(VALUE("&lt;Show Previous Periods&gt;")&gt;=1,VALUE("&lt;ReportData.metricValueForPeriod1&gt;"),"-")</f>
        <v>#VALUE!</v>
      </c>
      <c r="H33" s="56" t="e">
        <f>IF(VALUE("&lt;Show Previous Periods&gt;")&gt;=2,VALUE("&lt;ReportData.metricValueForPeriod2&gt;"),"-")</f>
        <v>#VALUE!</v>
      </c>
      <c r="I33" s="56" t="e">
        <f>IF(VALUE("&lt;Show Previous Periods&gt;")&gt;=3,VALUE("&lt;ReportData.metricValueForPeriod3&gt;"),"-")</f>
        <v>#VALUE!</v>
      </c>
      <c r="J33" s="56" t="e">
        <f>IF(VALUE("&lt;Show Previous Periods&gt;")&gt;=4,VALUE("&lt;ReportData.metricValueForPeriod4&gt;"),"-")</f>
        <v>#VALUE!</v>
      </c>
      <c r="K33" s="56" t="e">
        <f>IF(VALUE("&lt;Show Previous Periods&gt;")&gt;=5,VALUE("&lt;ReportData.metricValueForPeriod5&gt;"),"-")</f>
        <v>#VALUE!</v>
      </c>
      <c r="L33" s="56" t="e">
        <f>IF(VALUE("&lt;Show Previous Periods&gt;")&gt;=6,VALUE("&lt;ReportData.metricValueForPeriod6&gt;"),"-")</f>
        <v>#VALUE!</v>
      </c>
      <c r="M33" s="56" t="e">
        <f>IF(VALUE("&lt;Show Previous Periods&gt;")&gt;=7,VALUE("&lt;ReportData.metricValueForPeriod7&gt;"),"-")</f>
        <v>#VALUE!</v>
      </c>
      <c r="N33" s="56" t="e">
        <f>IF(VALUE("&lt;Show Previous Periods&gt;")&gt;=8,VALUE("&lt;ReportData.metricValueForPeriod8&gt;"),"-")</f>
        <v>#VALUE!</v>
      </c>
      <c r="O33" s="56" t="e">
        <f>IF(VALUE("&lt;Show Previous Periods&gt;")&gt;=9,VALUE("&lt;ReportData.metricValueForPeriod9&gt;"),"-")</f>
        <v>#VALUE!</v>
      </c>
      <c r="P33" s="56" t="e">
        <f>IF(VALUE("&lt;Show Previous Periods&gt;")&gt;=10,VALUE("&lt;ReportData.metricValueForPeriod10&gt;"),"-")</f>
        <v>#VALUE!</v>
      </c>
      <c r="Q33" s="56" t="e">
        <f>IF(VALUE("&lt;Show Previous Periods&gt;")&gt;=11,VALUE("&lt;ReportData.metricValueForPeriod11&gt;"),"-")</f>
        <v>#VALUE!</v>
      </c>
      <c r="R33" s="56" t="e">
        <f>IF(VALUE("&lt;Show Previous Periods&gt;")&gt;=12,VALUE("&lt;ReportData.metricValueForPeriod12&gt;"),"-")</f>
        <v>#VALUE!</v>
      </c>
    </row>
    <row r="34" spans="1:18" s="42" customFormat="1" ht="3.75" customHeight="1" x14ac:dyDescent="0.2">
      <c r="A34" s="53" t="s">
        <v>66</v>
      </c>
      <c r="B34" s="43"/>
      <c r="C34" s="44" t="s">
        <v>62</v>
      </c>
      <c r="D34" s="44" t="s">
        <v>63</v>
      </c>
      <c r="E34" s="45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s="3" customFormat="1" ht="337.5" customHeight="1" x14ac:dyDescent="0.25">
      <c r="A35" s="53" t="s">
        <v>67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s="3" customFormat="1" ht="7.5" customHeight="1" x14ac:dyDescent="0.2">
      <c r="A36" s="53" t="s">
        <v>67</v>
      </c>
      <c r="B36" s="11"/>
      <c r="C36" s="11"/>
      <c r="D36" s="30"/>
      <c r="E36" s="1"/>
      <c r="F36" s="33"/>
      <c r="G36" s="17"/>
      <c r="H36" s="17"/>
      <c r="I36" s="31"/>
      <c r="J36" s="17"/>
      <c r="K36" s="33"/>
      <c r="L36" s="36"/>
      <c r="M36" s="38"/>
      <c r="N36" s="38"/>
      <c r="O36" s="25"/>
      <c r="P36" s="25"/>
      <c r="Q36" s="25"/>
      <c r="R36" s="25"/>
    </row>
    <row r="37" spans="1:18" s="12" customFormat="1" ht="11.25" customHeight="1" x14ac:dyDescent="0.2">
      <c r="A37" s="53" t="s">
        <v>67</v>
      </c>
      <c r="B37" s="20" t="s">
        <v>43</v>
      </c>
      <c r="C37" s="24" t="s">
        <v>60</v>
      </c>
      <c r="D37" s="24" t="s">
        <v>61</v>
      </c>
      <c r="E37" s="24" t="s">
        <v>42</v>
      </c>
      <c r="F37" s="39" t="s">
        <v>69</v>
      </c>
      <c r="G37" s="39" t="e">
        <f>IF(VALUE("&lt;Show Previous Periods&gt;")&gt;=1,"P 1","")</f>
        <v>#VALUE!</v>
      </c>
      <c r="H37" s="39" t="e">
        <f>IF(VALUE("&lt;Show Previous Periods&gt;")&gt;=2,"P 2","")</f>
        <v>#VALUE!</v>
      </c>
      <c r="I37" s="39" t="e">
        <f>IF(VALUE("&lt;Show Previous Periods&gt;")&gt;=3,"P 3","")</f>
        <v>#VALUE!</v>
      </c>
      <c r="J37" s="39" t="e">
        <f>IF(VALUE("&lt;Show Previous Periods&gt;")&gt;=4,"P 4","")</f>
        <v>#VALUE!</v>
      </c>
      <c r="K37" s="39" t="e">
        <f>IF(VALUE("&lt;Show Previous Periods&gt;")&gt;=5,"P 5","")</f>
        <v>#VALUE!</v>
      </c>
      <c r="L37" s="39" t="e">
        <f>IF(VALUE("&lt;Show Previous Periods&gt;")&gt;=6,"P 6","")</f>
        <v>#VALUE!</v>
      </c>
      <c r="M37" s="39" t="e">
        <f>IF(VALUE("&lt;Show Previous Periods&gt;")&gt;=7,"P 7","")</f>
        <v>#VALUE!</v>
      </c>
      <c r="N37" s="39" t="e">
        <f>IF(VALUE("&lt;Show Previous Periods&gt;")&gt;=8,"P 8","")</f>
        <v>#VALUE!</v>
      </c>
      <c r="O37" s="39" t="e">
        <f>IF(VALUE("&lt;Show Previous Periods&gt;")&gt;=9,"P 9","")</f>
        <v>#VALUE!</v>
      </c>
      <c r="P37" s="39" t="e">
        <f>IF(VALUE("&lt;Show Previous Periods&gt;")&gt;=10,"P 10","")</f>
        <v>#VALUE!</v>
      </c>
      <c r="Q37" s="39" t="e">
        <f>IF(VALUE("&lt;Show Previous Periods&gt;")&gt;=11,"P 11","")</f>
        <v>#VALUE!</v>
      </c>
      <c r="R37" s="39" t="e">
        <f>IF(VALUE("&lt;Show Previous Periods&gt;")&gt;=12,"P 12","")</f>
        <v>#VALUE!</v>
      </c>
    </row>
    <row r="38" spans="1:18" s="3" customFormat="1" ht="12" customHeight="1" x14ac:dyDescent="0.2">
      <c r="A38" s="53" t="s">
        <v>67</v>
      </c>
      <c r="B38" s="33" t="s">
        <v>44</v>
      </c>
      <c r="C38" s="41" t="s">
        <v>62</v>
      </c>
      <c r="D38" s="41" t="s">
        <v>63</v>
      </c>
      <c r="E38" s="23" t="s">
        <v>41</v>
      </c>
      <c r="F38" s="40" t="s">
        <v>68</v>
      </c>
      <c r="G38" s="40" t="e">
        <f>IF(VALUE("&lt;Show Previous Periods&gt;")&gt;=1,VALUE("&lt;ReportData.metricValueForPeriod1&gt;"),"")</f>
        <v>#VALUE!</v>
      </c>
      <c r="H38" s="40" t="e">
        <f>IF(VALUE("&lt;Show Previous Periods&gt;")&gt;=2,VALUE("&lt;ReportData.metricValueForPeriod2&gt;"),"")</f>
        <v>#VALUE!</v>
      </c>
      <c r="I38" s="40" t="e">
        <f>IF(VALUE("&lt;Show Previous Periods&gt;")&gt;=3,VALUE("&lt;ReportData.metricValueForPeriod3&gt;"),"")</f>
        <v>#VALUE!</v>
      </c>
      <c r="J38" s="40" t="e">
        <f>IF(VALUE("&lt;Show Previous Periods&gt;")&gt;=4,VALUE("&lt;ReportData.metricValueForPeriod4&gt;"),"")</f>
        <v>#VALUE!</v>
      </c>
      <c r="K38" s="40" t="e">
        <f>IF(VALUE("&lt;Show Previous Periods&gt;")&gt;=5,VALUE("&lt;ReportData.metricValueForPeriod5&gt;"),"")</f>
        <v>#VALUE!</v>
      </c>
      <c r="L38" s="40" t="e">
        <f>IF(VALUE("&lt;Show Previous Periods&gt;")&gt;=6,VALUE("&lt;ReportData.metricValueForPeriod6&gt;"),"")</f>
        <v>#VALUE!</v>
      </c>
      <c r="M38" s="40" t="e">
        <f>IF(VALUE("&lt;Show Previous Periods&gt;")&gt;=7,VALUE("&lt;ReportData.metricValueForPeriod7&gt;"),"")</f>
        <v>#VALUE!</v>
      </c>
      <c r="N38" s="40" t="e">
        <f>IF(VALUE("&lt;Show Previous Periods&gt;")&gt;=8,VALUE("&lt;ReportData.metricValueForPeriod8&gt;"),"")</f>
        <v>#VALUE!</v>
      </c>
      <c r="O38" s="40" t="e">
        <f>IF(VALUE("&lt;Show Previous Periods&gt;")&gt;=9,VALUE("&lt;ReportData.metricValueForPeriod9&gt;"),"")</f>
        <v>#VALUE!</v>
      </c>
      <c r="P38" s="40" t="e">
        <f>IF(VALUE("&lt;Show Previous Periods&gt;")&gt;=10,VALUE("&lt;ReportData.metricValueForPeriod10&gt;"),"")</f>
        <v>#VALUE!</v>
      </c>
      <c r="Q38" s="40" t="e">
        <f>IF(VALUE("&lt;Show Previous Periods&gt;")&gt;=11,VALUE("&lt;ReportData.metricValueForPeriod11&gt;"),"")</f>
        <v>#VALUE!</v>
      </c>
      <c r="R38" s="40" t="e">
        <f>IF(VALUE("&lt;Show Previous Periods&gt;")&gt;=12,VALUE("&lt;ReportData.metricValueForPeriod12&gt;"),"")</f>
        <v>#VALUE!</v>
      </c>
    </row>
    <row r="39" spans="1:18" s="42" customFormat="1" ht="3.75" customHeight="1" x14ac:dyDescent="0.2">
      <c r="A39" s="53" t="s">
        <v>67</v>
      </c>
      <c r="B39" s="43"/>
      <c r="C39" s="44"/>
      <c r="D39" s="44"/>
      <c r="E39" s="45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s="3" customFormat="1" ht="3.75" customHeight="1" x14ac:dyDescent="0.2">
      <c r="A40" s="54"/>
      <c r="B40" s="22" t="s">
        <v>77</v>
      </c>
      <c r="C40" s="11"/>
      <c r="D40" s="30"/>
      <c r="E40" s="22"/>
      <c r="F40" s="33"/>
      <c r="G40" s="17"/>
      <c r="H40" s="17"/>
      <c r="I40" s="31"/>
      <c r="J40" s="17"/>
      <c r="K40" s="33"/>
      <c r="L40" s="36"/>
      <c r="M40" s="38"/>
      <c r="N40" s="38"/>
      <c r="O40" s="25"/>
      <c r="P40" s="25"/>
      <c r="Q40" s="25"/>
      <c r="R40" s="25"/>
    </row>
    <row r="41" spans="1:18" x14ac:dyDescent="0.2">
      <c r="A41" s="52" t="s">
        <v>1</v>
      </c>
      <c r="B41" s="4"/>
      <c r="C41" s="4"/>
      <c r="D41" s="4"/>
      <c r="E41" s="4"/>
      <c r="F41" s="35"/>
    </row>
    <row r="42" spans="1:18" x14ac:dyDescent="0.2">
      <c r="B42" s="4"/>
      <c r="C42" s="41"/>
      <c r="D42" s="41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x14ac:dyDescent="0.2">
      <c r="C43" s="41"/>
      <c r="D43" s="41"/>
      <c r="E43" s="2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</sheetData>
  <conditionalFormatting sqref="B42 B41:F41">
    <cfRule type="expression" dxfId="36" priority="11" stopIfTrue="1">
      <formula>EXACT(#REF!,"TTL")</formula>
    </cfRule>
    <cfRule type="expression" dxfId="35" priority="12" stopIfTrue="1">
      <formula>EXACT(#REF!,"CLN")</formula>
    </cfRule>
  </conditionalFormatting>
  <conditionalFormatting sqref="G41">
    <cfRule type="expression" dxfId="34" priority="13" stopIfTrue="1">
      <formula>EXACT(#REF!,"TTL")</formula>
    </cfRule>
    <cfRule type="expression" dxfId="33" priority="14" stopIfTrue="1">
      <formula>EXACT(#REF!,"HDR")</formula>
    </cfRule>
  </conditionalFormatting>
  <conditionalFormatting sqref="B36:D36 C40:D40 B31:D31">
    <cfRule type="expression" dxfId="32" priority="15" stopIfTrue="1">
      <formula>EXACT(#REF!,"HDR")</formula>
    </cfRule>
    <cfRule type="expression" dxfId="31" priority="16" stopIfTrue="1">
      <formula>EXACT(#REF!,"TTL")</formula>
    </cfRule>
    <cfRule type="expression" dxfId="30" priority="17" stopIfTrue="1">
      <formula>EXACT(#REF!,"CLN")</formula>
    </cfRule>
  </conditionalFormatting>
  <conditionalFormatting sqref="G27">
    <cfRule type="expression" dxfId="29" priority="18" stopIfTrue="1">
      <formula>EXACT(#REF!,"HDR")</formula>
    </cfRule>
    <cfRule type="expression" dxfId="28" priority="19" stopIfTrue="1">
      <formula>EXACT(#REF!,"TTL")</formula>
    </cfRule>
    <cfRule type="expression" dxfId="27" priority="20" stopIfTrue="1">
      <formula>EXACT(#REF!,"CLN")</formula>
    </cfRule>
  </conditionalFormatting>
  <conditionalFormatting sqref="F39:R39">
    <cfRule type="cellIs" dxfId="26" priority="9" stopIfTrue="1" operator="greaterThanOrEqual">
      <formula>$D39</formula>
    </cfRule>
    <cfRule type="cellIs" dxfId="25" priority="10" stopIfTrue="1" operator="lessThan">
      <formula>$C39</formula>
    </cfRule>
  </conditionalFormatting>
  <conditionalFormatting sqref="F42:R43">
    <cfRule type="cellIs" dxfId="24" priority="7" stopIfTrue="1" operator="greaterThanOrEqual">
      <formula>$D42</formula>
    </cfRule>
    <cfRule type="cellIs" dxfId="23" priority="8" stopIfTrue="1" operator="lessThan">
      <formula>$C42</formula>
    </cfRule>
  </conditionalFormatting>
  <conditionalFormatting sqref="F34:R34">
    <cfRule type="cellIs" dxfId="22" priority="5" stopIfTrue="1" operator="greaterThanOrEqual">
      <formula>$D34</formula>
    </cfRule>
    <cfRule type="cellIs" dxfId="21" priority="6" stopIfTrue="1" operator="lessThan">
      <formula>$C34</formula>
    </cfRule>
  </conditionalFormatting>
  <conditionalFormatting sqref="F33:R33">
    <cfRule type="cellIs" dxfId="20" priority="3" stopIfTrue="1" operator="greaterThanOrEqual">
      <formula>$D33</formula>
    </cfRule>
    <cfRule type="cellIs" dxfId="19" priority="4" stopIfTrue="1" operator="lessThan">
      <formula>$C33</formula>
    </cfRule>
  </conditionalFormatting>
  <conditionalFormatting sqref="F38:R38">
    <cfRule type="cellIs" dxfId="18" priority="1" stopIfTrue="1" operator="greaterThanOrEqual">
      <formula>$D38</formula>
    </cfRule>
    <cfRule type="cellIs" dxfId="17" priority="2" stopIfTrue="1" operator="lessThan">
      <formula>$C38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Normal="100" workbookViewId="0">
      <selection activeCell="K21" sqref="K21"/>
    </sheetView>
  </sheetViews>
  <sheetFormatPr defaultRowHeight="12.75" x14ac:dyDescent="0.2"/>
  <cols>
    <col min="1" max="1" width="41" style="52" customWidth="1"/>
    <col min="2" max="2" width="10.28515625" style="2" customWidth="1"/>
    <col min="3" max="4" width="6.7109375" style="2" customWidth="1"/>
    <col min="5" max="5" width="17.42578125" style="2" customWidth="1"/>
    <col min="6" max="6" width="7.140625" style="10" customWidth="1"/>
    <col min="7" max="7" width="7.140625" style="28" customWidth="1"/>
    <col min="8" max="18" width="7.140625" style="10" customWidth="1"/>
    <col min="19" max="16384" width="9.140625" style="2"/>
  </cols>
  <sheetData>
    <row r="1" spans="1:16" s="6" customFormat="1" ht="12.75" customHeight="1" x14ac:dyDescent="0.2">
      <c r="A1" s="48" t="s">
        <v>0</v>
      </c>
      <c r="B1" s="5"/>
      <c r="C1" s="5"/>
      <c r="D1" s="32"/>
      <c r="E1" s="5"/>
      <c r="F1" s="5"/>
      <c r="G1" s="28"/>
    </row>
    <row r="2" spans="1:16" s="5" customFormat="1" ht="12.75" customHeight="1" x14ac:dyDescent="0.2">
      <c r="A2" s="48" t="s">
        <v>14</v>
      </c>
      <c r="D2" s="32"/>
    </row>
    <row r="3" spans="1:16" s="5" customFormat="1" ht="12.75" customHeight="1" x14ac:dyDescent="0.2">
      <c r="A3" s="48" t="s">
        <v>4</v>
      </c>
      <c r="D3" s="32"/>
    </row>
    <row r="4" spans="1:16" s="5" customFormat="1" ht="12.75" customHeight="1" x14ac:dyDescent="0.2">
      <c r="A4" s="48" t="s">
        <v>15</v>
      </c>
      <c r="D4" s="32"/>
    </row>
    <row r="5" spans="1:16" s="5" customFormat="1" ht="12.75" customHeight="1" x14ac:dyDescent="0.2">
      <c r="A5" s="48" t="s">
        <v>19</v>
      </c>
      <c r="D5" s="32"/>
    </row>
    <row r="6" spans="1:16" s="7" customFormat="1" ht="12.75" customHeight="1" x14ac:dyDescent="0.2">
      <c r="A6" s="49" t="s">
        <v>94</v>
      </c>
      <c r="D6" s="27"/>
    </row>
    <row r="7" spans="1:16" s="10" customFormat="1" ht="12.75" customHeight="1" x14ac:dyDescent="0.2">
      <c r="A7" s="50" t="s">
        <v>46</v>
      </c>
      <c r="B7" s="9"/>
      <c r="C7" s="9"/>
      <c r="D7" s="13"/>
      <c r="E7" s="9"/>
      <c r="F7" s="9"/>
      <c r="G7" s="28"/>
    </row>
    <row r="8" spans="1:16" s="10" customFormat="1" ht="12.75" customHeight="1" x14ac:dyDescent="0.2">
      <c r="A8" s="50" t="s">
        <v>90</v>
      </c>
      <c r="B8" s="9" t="s">
        <v>89</v>
      </c>
      <c r="C8" s="9"/>
      <c r="D8" s="13"/>
      <c r="E8" s="9"/>
      <c r="F8" s="9"/>
      <c r="G8" s="28"/>
    </row>
    <row r="9" spans="1:16" s="14" customFormat="1" ht="14.25" customHeight="1" x14ac:dyDescent="0.2">
      <c r="A9" s="48" t="s">
        <v>17</v>
      </c>
      <c r="B9" s="15"/>
      <c r="C9" s="15"/>
      <c r="D9" s="26"/>
      <c r="E9" s="15"/>
      <c r="F9" s="15"/>
      <c r="G9" s="16"/>
    </row>
    <row r="10" spans="1:16" s="14" customFormat="1" ht="14.25" customHeight="1" x14ac:dyDescent="0.2">
      <c r="A10" s="48" t="s">
        <v>18</v>
      </c>
      <c r="B10" s="15"/>
      <c r="C10" s="15"/>
      <c r="D10" s="26"/>
      <c r="E10" s="15"/>
      <c r="F10" s="15"/>
      <c r="G10" s="16"/>
    </row>
    <row r="11" spans="1:16" ht="21" customHeight="1" x14ac:dyDescent="0.2">
      <c r="A11" s="51"/>
      <c r="B11" s="21" t="s">
        <v>6</v>
      </c>
      <c r="C11" s="21"/>
      <c r="D11" s="34"/>
      <c r="E11" s="21"/>
      <c r="F11" s="21"/>
      <c r="G11" s="21"/>
    </row>
    <row r="12" spans="1:16" ht="15" customHeight="1" x14ac:dyDescent="0.25">
      <c r="B12" s="18" t="s">
        <v>70</v>
      </c>
      <c r="E12" s="8"/>
      <c r="F12" s="28"/>
      <c r="G12" s="10"/>
    </row>
    <row r="13" spans="1:16" ht="12.75" customHeight="1" x14ac:dyDescent="0.2">
      <c r="A13" s="53" t="s">
        <v>25</v>
      </c>
      <c r="B13" s="19" t="s">
        <v>64</v>
      </c>
      <c r="C13" s="13"/>
      <c r="D13" s="13"/>
      <c r="E13" s="13"/>
      <c r="F13" s="9"/>
      <c r="G13" s="9"/>
      <c r="H13" s="9"/>
      <c r="I13" s="28"/>
      <c r="K13" s="37"/>
      <c r="L13" s="37"/>
      <c r="M13" s="37"/>
      <c r="N13" s="37"/>
      <c r="O13" s="37"/>
      <c r="P13" s="9"/>
    </row>
    <row r="14" spans="1:16" ht="12.75" customHeight="1" x14ac:dyDescent="0.2">
      <c r="A14" s="53" t="s">
        <v>26</v>
      </c>
      <c r="B14" s="19" t="s">
        <v>65</v>
      </c>
      <c r="C14" s="13"/>
      <c r="D14" s="13"/>
      <c r="E14" s="13"/>
      <c r="F14" s="9"/>
      <c r="G14" s="9"/>
      <c r="H14" s="9"/>
      <c r="I14" s="28"/>
      <c r="K14" s="37"/>
      <c r="L14" s="37"/>
      <c r="M14" s="37"/>
      <c r="N14" s="37"/>
      <c r="O14" s="37"/>
      <c r="P14" s="9"/>
    </row>
    <row r="15" spans="1:16" ht="12.75" customHeight="1" x14ac:dyDescent="0.2">
      <c r="A15" s="53"/>
      <c r="B15" s="19" t="s">
        <v>95</v>
      </c>
      <c r="C15" s="13"/>
      <c r="D15" s="13"/>
      <c r="E15" s="13"/>
      <c r="F15" s="9"/>
      <c r="G15" s="9"/>
      <c r="H15" s="9"/>
      <c r="I15" s="28"/>
      <c r="K15" s="37"/>
      <c r="L15" s="37"/>
      <c r="M15" s="37"/>
      <c r="N15" s="37"/>
      <c r="O15" s="37"/>
      <c r="P15" s="9"/>
    </row>
    <row r="16" spans="1:16" ht="12.75" customHeight="1" x14ac:dyDescent="0.2">
      <c r="A16" s="53" t="s">
        <v>45</v>
      </c>
      <c r="B16" s="19" t="s">
        <v>96</v>
      </c>
      <c r="C16" s="13"/>
      <c r="D16" s="13"/>
      <c r="E16" s="13"/>
      <c r="F16" s="9"/>
      <c r="G16" s="9"/>
      <c r="H16" s="9"/>
      <c r="I16" s="28"/>
      <c r="K16" s="37"/>
      <c r="L16" s="37"/>
      <c r="M16" s="37"/>
      <c r="N16" s="37"/>
      <c r="O16" s="37"/>
      <c r="P16" s="9"/>
    </row>
    <row r="17" spans="1:18" ht="12.75" customHeight="1" x14ac:dyDescent="0.2">
      <c r="A17" s="53" t="s">
        <v>38</v>
      </c>
      <c r="B17" s="19" t="s">
        <v>36</v>
      </c>
      <c r="C17" s="13"/>
      <c r="D17" s="13"/>
      <c r="E17" s="13"/>
      <c r="F17" s="9"/>
      <c r="G17" s="9"/>
      <c r="H17" s="9"/>
      <c r="I17" s="28"/>
      <c r="K17" s="37"/>
      <c r="L17" s="37"/>
      <c r="M17" s="37"/>
      <c r="N17" s="37"/>
      <c r="O17" s="37"/>
      <c r="P17" s="9"/>
    </row>
    <row r="18" spans="1:18" ht="12.75" customHeight="1" x14ac:dyDescent="0.2">
      <c r="A18" s="53" t="s">
        <v>39</v>
      </c>
      <c r="B18" s="19" t="s">
        <v>34</v>
      </c>
      <c r="C18" s="13"/>
      <c r="D18" s="13"/>
      <c r="E18" s="13"/>
      <c r="F18" s="9"/>
      <c r="G18" s="9"/>
      <c r="H18" s="9"/>
      <c r="I18" s="28"/>
      <c r="K18" s="37"/>
      <c r="L18" s="37"/>
      <c r="M18" s="37"/>
      <c r="N18" s="37"/>
      <c r="O18" s="37"/>
      <c r="P18" s="9"/>
    </row>
    <row r="19" spans="1:18" ht="12.75" customHeight="1" x14ac:dyDescent="0.2">
      <c r="A19" s="53" t="s">
        <v>40</v>
      </c>
      <c r="B19" s="19" t="s">
        <v>35</v>
      </c>
      <c r="C19" s="13"/>
      <c r="D19" s="13"/>
      <c r="E19" s="13"/>
      <c r="F19" s="9"/>
      <c r="G19" s="9"/>
      <c r="H19" s="9"/>
      <c r="I19" s="28"/>
      <c r="K19" s="37"/>
      <c r="L19" s="37"/>
      <c r="M19" s="37"/>
      <c r="N19" s="37"/>
      <c r="O19" s="37"/>
      <c r="P19" s="9"/>
    </row>
    <row r="20" spans="1:18" ht="12.75" customHeight="1" x14ac:dyDescent="0.2">
      <c r="A20" s="53" t="s">
        <v>82</v>
      </c>
      <c r="B20" s="19" t="s">
        <v>74</v>
      </c>
      <c r="C20" s="13"/>
      <c r="D20" s="13"/>
      <c r="E20" s="13"/>
      <c r="F20" s="9"/>
      <c r="G20" s="9"/>
      <c r="H20" s="9"/>
      <c r="I20" s="28"/>
      <c r="K20" s="37"/>
      <c r="L20" s="37"/>
      <c r="M20" s="37"/>
      <c r="N20" s="37"/>
      <c r="O20" s="37"/>
      <c r="P20" s="9"/>
    </row>
    <row r="21" spans="1:18" ht="12.75" customHeight="1" x14ac:dyDescent="0.2">
      <c r="A21" s="53" t="s">
        <v>83</v>
      </c>
      <c r="B21" s="19" t="s">
        <v>75</v>
      </c>
      <c r="C21" s="13"/>
      <c r="D21" s="13"/>
      <c r="E21" s="13"/>
      <c r="F21" s="9"/>
      <c r="G21" s="9"/>
      <c r="H21" s="9"/>
      <c r="I21" s="28"/>
      <c r="K21" s="37"/>
      <c r="L21" s="37"/>
      <c r="M21" s="37"/>
      <c r="N21" s="37"/>
      <c r="O21" s="37"/>
      <c r="P21" s="9"/>
    </row>
    <row r="22" spans="1:18" ht="12.75" customHeight="1" x14ac:dyDescent="0.2">
      <c r="B22" s="1" t="s">
        <v>16</v>
      </c>
      <c r="C22" s="1"/>
      <c r="D22" s="1"/>
      <c r="E22" s="1"/>
      <c r="F22" s="33"/>
      <c r="G22" s="36"/>
    </row>
    <row r="23" spans="1:18" ht="3.75" customHeight="1" x14ac:dyDescent="0.2">
      <c r="B23" s="1"/>
      <c r="C23" s="1"/>
      <c r="D23" s="1"/>
      <c r="E23" s="1"/>
      <c r="F23" s="33"/>
      <c r="G23" s="36"/>
    </row>
    <row r="24" spans="1:18" s="12" customFormat="1" ht="11.25" customHeight="1" x14ac:dyDescent="0.2">
      <c r="A24" s="53"/>
      <c r="B24" s="20" t="s">
        <v>43</v>
      </c>
      <c r="C24" s="24" t="s">
        <v>60</v>
      </c>
      <c r="D24" s="24" t="s">
        <v>61</v>
      </c>
      <c r="E24" s="24" t="s">
        <v>42</v>
      </c>
      <c r="F24" s="39" t="s">
        <v>69</v>
      </c>
      <c r="G24" s="39" t="e">
        <f>IF(VALUE("&lt;Show Previous Periods&gt;")&gt;=1,"P 1","")</f>
        <v>#VALUE!</v>
      </c>
      <c r="H24" s="39" t="e">
        <f>IF(VALUE("&lt;Show Previous Periods&gt;")&gt;=2,"P 2","")</f>
        <v>#VALUE!</v>
      </c>
      <c r="I24" s="39" t="e">
        <f>IF(VALUE("&lt;Show Previous Periods&gt;")&gt;=3,"P 3","")</f>
        <v>#VALUE!</v>
      </c>
      <c r="J24" s="39" t="e">
        <f>IF(VALUE("&lt;Show Previous Periods&gt;")&gt;=4,"P 4","")</f>
        <v>#VALUE!</v>
      </c>
      <c r="K24" s="39" t="e">
        <f>IF(VALUE("&lt;Show Previous Periods&gt;")&gt;=5,"P 5","")</f>
        <v>#VALUE!</v>
      </c>
      <c r="L24" s="39" t="e">
        <f>IF(VALUE("&lt;Show Previous Periods&gt;")&gt;=6,"P 6","")</f>
        <v>#VALUE!</v>
      </c>
      <c r="M24" s="39" t="e">
        <f>IF(VALUE("&lt;Show Previous Periods&gt;")&gt;=7,"P 7","")</f>
        <v>#VALUE!</v>
      </c>
      <c r="N24" s="39" t="e">
        <f>IF(VALUE("&lt;Show Previous Periods&gt;")&gt;=8,"P 8","")</f>
        <v>#VALUE!</v>
      </c>
      <c r="O24" s="39" t="e">
        <f>IF(VALUE("&lt;Show Previous Periods&gt;")&gt;=9,"P 9","")</f>
        <v>#VALUE!</v>
      </c>
      <c r="P24" s="39" t="e">
        <f>IF(VALUE("&lt;Show Previous Periods&gt;")&gt;=10,"P 10","")</f>
        <v>#VALUE!</v>
      </c>
      <c r="Q24" s="39" t="e">
        <f>IF(VALUE("&lt;Show Previous Periods&gt;")&gt;=11,"P 11","")</f>
        <v>#VALUE!</v>
      </c>
      <c r="R24" s="39" t="e">
        <f>IF(VALUE("&lt;Show Previous Periods&gt;")&gt;=12,"P 12","")</f>
        <v>#VALUE!</v>
      </c>
    </row>
    <row r="25" spans="1:18" s="12" customFormat="1" ht="1.5" customHeight="1" x14ac:dyDescent="0.2">
      <c r="A25" s="53"/>
      <c r="B25" s="59"/>
      <c r="C25" s="60"/>
      <c r="D25" s="60"/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</row>
    <row r="26" spans="1:18" s="3" customFormat="1" ht="12" customHeight="1" x14ac:dyDescent="0.2">
      <c r="A26" s="54" t="s">
        <v>5</v>
      </c>
      <c r="B26" s="1"/>
      <c r="C26" s="1"/>
      <c r="D26" s="1"/>
      <c r="E26" s="1"/>
      <c r="F26" s="33"/>
      <c r="G26" s="29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s="12" customFormat="1" ht="10.5" customHeight="1" x14ac:dyDescent="0.2">
      <c r="A27" s="53" t="s">
        <v>85</v>
      </c>
      <c r="B27" s="58" t="s">
        <v>59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s="3" customFormat="1" ht="10.5" customHeight="1" x14ac:dyDescent="0.2">
      <c r="A28" s="53" t="s">
        <v>84</v>
      </c>
      <c r="B28" s="33" t="s">
        <v>44</v>
      </c>
      <c r="C28" s="55" t="e">
        <f>C29/100</f>
        <v>#VALUE!</v>
      </c>
      <c r="D28" s="55" t="e">
        <f>D29/100</f>
        <v>#VALUE!</v>
      </c>
      <c r="E28" s="23" t="s">
        <v>91</v>
      </c>
      <c r="F28" s="56" t="s">
        <v>68</v>
      </c>
      <c r="G28" s="56" t="e">
        <f>IF(VALUE("&lt;Show Previous Periods&gt;")&gt;=1,VALUE("&lt;ReportData.metricValueForPeriod1&gt;"),"")</f>
        <v>#VALUE!</v>
      </c>
      <c r="H28" s="56" t="e">
        <f>IF(VALUE("&lt;Show Previous Periods&gt;")&gt;=2,VALUE("&lt;ReportData.metricValueForPeriod2&gt;"),"")</f>
        <v>#VALUE!</v>
      </c>
      <c r="I28" s="56" t="e">
        <f>IF(VALUE("&lt;Show Previous Periods&gt;")&gt;=3,VALUE("&lt;ReportData.metricValueForPeriod3&gt;"),"")</f>
        <v>#VALUE!</v>
      </c>
      <c r="J28" s="56" t="e">
        <f>IF(VALUE("&lt;Show Previous Periods&gt;")&gt;=4,VALUE("&lt;ReportData.metricValueForPeriod4&gt;"),"")</f>
        <v>#VALUE!</v>
      </c>
      <c r="K28" s="56" t="e">
        <f>IF(VALUE("&lt;Show Previous Periods&gt;")&gt;=5,VALUE("&lt;ReportData.metricValueForPeriod5&gt;"),"")</f>
        <v>#VALUE!</v>
      </c>
      <c r="L28" s="56" t="e">
        <f>IF(VALUE("&lt;Show Previous Periods&gt;")&gt;=6,VALUE("&lt;ReportData.metricValueForPeriod6&gt;"),"")</f>
        <v>#VALUE!</v>
      </c>
      <c r="M28" s="56" t="e">
        <f>IF(VALUE("&lt;Show Previous Periods&gt;")&gt;=7,VALUE("&lt;ReportData.metricValueForPeriod7&gt;"),"")</f>
        <v>#VALUE!</v>
      </c>
      <c r="N28" s="56" t="e">
        <f>IF(VALUE("&lt;Show Previous Periods&gt;")&gt;=8,VALUE("&lt;ReportData.metricValueForPeriod8&gt;"),"")</f>
        <v>#VALUE!</v>
      </c>
      <c r="O28" s="56" t="e">
        <f>IF(VALUE("&lt;Show Previous Periods&gt;")&gt;=9,VALUE("&lt;ReportData.metricValueForPeriod9&gt;"),"")</f>
        <v>#VALUE!</v>
      </c>
      <c r="P28" s="56" t="e">
        <f>IF(VALUE("&lt;Show Previous Periods&gt;")&gt;=10,VALUE("&lt;ReportData.metricValueForPeriod10&gt;"),"")</f>
        <v>#VALUE!</v>
      </c>
      <c r="Q28" s="56" t="e">
        <f>IF(VALUE("&lt;Show Previous Periods&gt;")&gt;=11,VALUE("&lt;ReportData.metricValueForPeriod11&gt;"),"")</f>
        <v>#VALUE!</v>
      </c>
      <c r="R28" s="56" t="e">
        <f>IF(VALUE("&lt;Show Previous Periods&gt;")&gt;=12,VALUE("&lt;ReportData.metricValueForPeriod12&gt;"),"")</f>
        <v>#VALUE!</v>
      </c>
    </row>
    <row r="29" spans="1:18" s="42" customFormat="1" ht="2.25" customHeight="1" x14ac:dyDescent="0.2">
      <c r="A29" s="53" t="s">
        <v>84</v>
      </c>
      <c r="B29" s="43"/>
      <c r="C29" s="44" t="s">
        <v>62</v>
      </c>
      <c r="D29" s="44" t="s">
        <v>63</v>
      </c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s="3" customFormat="1" ht="10.5" customHeight="1" x14ac:dyDescent="0.2">
      <c r="A30" s="53" t="s">
        <v>86</v>
      </c>
      <c r="B30" s="33" t="s">
        <v>44</v>
      </c>
      <c r="C30" s="41" t="s">
        <v>62</v>
      </c>
      <c r="D30" s="41" t="s">
        <v>63</v>
      </c>
      <c r="E30" s="23" t="s">
        <v>41</v>
      </c>
      <c r="F30" s="40" t="s">
        <v>68</v>
      </c>
      <c r="G30" s="40" t="e">
        <f>IF(VALUE("&lt;Show Previous Periods&gt;")&gt;=1,VALUE("&lt;ReportData.metricValueForPeriod1&gt;"),"")</f>
        <v>#VALUE!</v>
      </c>
      <c r="H30" s="40" t="e">
        <f>IF(VALUE("&lt;Show Previous Periods&gt;")&gt;=2,VALUE("&lt;ReportData.metricValueForPeriod2&gt;"),"")</f>
        <v>#VALUE!</v>
      </c>
      <c r="I30" s="40" t="e">
        <f>IF(VALUE("&lt;Show Previous Periods&gt;")&gt;=3,VALUE("&lt;ReportData.metricValueForPeriod3&gt;"),"")</f>
        <v>#VALUE!</v>
      </c>
      <c r="J30" s="40" t="e">
        <f>IF(VALUE("&lt;Show Previous Periods&gt;")&gt;=4,VALUE("&lt;ReportData.metricValueForPeriod4&gt;"),"")</f>
        <v>#VALUE!</v>
      </c>
      <c r="K30" s="40" t="e">
        <f>IF(VALUE("&lt;Show Previous Periods&gt;")&gt;=5,VALUE("&lt;ReportData.metricValueForPeriod5&gt;"),"")</f>
        <v>#VALUE!</v>
      </c>
      <c r="L30" s="40" t="e">
        <f>IF(VALUE("&lt;Show Previous Periods&gt;")&gt;=6,VALUE("&lt;ReportData.metricValueForPeriod6&gt;"),"")</f>
        <v>#VALUE!</v>
      </c>
      <c r="M30" s="40" t="e">
        <f>IF(VALUE("&lt;Show Previous Periods&gt;")&gt;=7,VALUE("&lt;ReportData.metricValueForPeriod7&gt;"),"")</f>
        <v>#VALUE!</v>
      </c>
      <c r="N30" s="40" t="e">
        <f>IF(VALUE("&lt;Show Previous Periods&gt;")&gt;=8,VALUE("&lt;ReportData.metricValueForPeriod8&gt;"),"")</f>
        <v>#VALUE!</v>
      </c>
      <c r="O30" s="40" t="e">
        <f>IF(VALUE("&lt;Show Previous Periods&gt;")&gt;=9,VALUE("&lt;ReportData.metricValueForPeriod9&gt;"),"")</f>
        <v>#VALUE!</v>
      </c>
      <c r="P30" s="40" t="e">
        <f>IF(VALUE("&lt;Show Previous Periods&gt;")&gt;=10,VALUE("&lt;ReportData.metricValueForPeriod10&gt;"),"")</f>
        <v>#VALUE!</v>
      </c>
      <c r="Q30" s="40" t="e">
        <f>IF(VALUE("&lt;Show Previous Periods&gt;")&gt;=11,VALUE("&lt;ReportData.metricValueForPeriod11&gt;"),"")</f>
        <v>#VALUE!</v>
      </c>
      <c r="R30" s="40" t="e">
        <f>IF(VALUE("&lt;Show Previous Periods&gt;")&gt;=12,VALUE("&lt;ReportData.metricValueForPeriod12&gt;"),"")</f>
        <v>#VALUE!</v>
      </c>
    </row>
    <row r="31" spans="1:18" s="42" customFormat="1" ht="2.25" customHeight="1" x14ac:dyDescent="0.2">
      <c r="A31" s="53" t="s">
        <v>86</v>
      </c>
      <c r="B31" s="43"/>
      <c r="C31" s="44"/>
      <c r="D31" s="44"/>
      <c r="E31" s="45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2">
      <c r="A32" s="52" t="s">
        <v>1</v>
      </c>
      <c r="B32" s="4"/>
      <c r="C32" s="4"/>
      <c r="D32" s="4"/>
      <c r="E32" s="4"/>
      <c r="F32" s="35"/>
    </row>
    <row r="33" spans="2:18" x14ac:dyDescent="0.2">
      <c r="B33" s="4"/>
      <c r="C33" s="41"/>
      <c r="D33" s="41"/>
      <c r="E33" s="23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  <row r="34" spans="2:18" x14ac:dyDescent="0.2">
      <c r="C34" s="41"/>
      <c r="D34" s="41"/>
      <c r="E34" s="23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</row>
  </sheetData>
  <phoneticPr fontId="0" type="noConversion"/>
  <conditionalFormatting sqref="B33 B32:F32">
    <cfRule type="expression" dxfId="16" priority="90" stopIfTrue="1">
      <formula>EXACT(#REF!,"TTL")</formula>
    </cfRule>
    <cfRule type="expression" dxfId="15" priority="91" stopIfTrue="1">
      <formula>EXACT(#REF!,"CLN")</formula>
    </cfRule>
  </conditionalFormatting>
  <conditionalFormatting sqref="G32">
    <cfRule type="expression" dxfId="14" priority="92" stopIfTrue="1">
      <formula>EXACT(#REF!,"TTL")</formula>
    </cfRule>
    <cfRule type="expression" dxfId="13" priority="93" stopIfTrue="1">
      <formula>EXACT(#REF!,"HDR")</formula>
    </cfRule>
  </conditionalFormatting>
  <conditionalFormatting sqref="G26">
    <cfRule type="expression" dxfId="12" priority="97" stopIfTrue="1">
      <formula>EXACT(#REF!,"HDR")</formula>
    </cfRule>
    <cfRule type="expression" dxfId="11" priority="98" stopIfTrue="1">
      <formula>EXACT(#REF!,"TTL")</formula>
    </cfRule>
    <cfRule type="expression" dxfId="10" priority="99" stopIfTrue="1">
      <formula>EXACT(#REF!,"CLN")</formula>
    </cfRule>
  </conditionalFormatting>
  <conditionalFormatting sqref="F31:R31">
    <cfRule type="cellIs" dxfId="9" priority="36" stopIfTrue="1" operator="greaterThanOrEqual">
      <formula>$D31</formula>
    </cfRule>
    <cfRule type="cellIs" dxfId="8" priority="37" stopIfTrue="1" operator="lessThan">
      <formula>$C31</formula>
    </cfRule>
  </conditionalFormatting>
  <conditionalFormatting sqref="F33:R34">
    <cfRule type="cellIs" dxfId="7" priority="34" stopIfTrue="1" operator="greaterThanOrEqual">
      <formula>$D33</formula>
    </cfRule>
    <cfRule type="cellIs" dxfId="6" priority="35" stopIfTrue="1" operator="lessThan">
      <formula>$C33</formula>
    </cfRule>
  </conditionalFormatting>
  <conditionalFormatting sqref="F29:R29">
    <cfRule type="cellIs" dxfId="5" priority="5" stopIfTrue="1" operator="greaterThanOrEqual">
      <formula>$D29</formula>
    </cfRule>
    <cfRule type="cellIs" dxfId="4" priority="6" stopIfTrue="1" operator="lessThan">
      <formula>$C29</formula>
    </cfRule>
  </conditionalFormatting>
  <conditionalFormatting sqref="F28:R28">
    <cfRule type="cellIs" dxfId="3" priority="3" stopIfTrue="1" operator="greaterThanOrEqual">
      <formula>$D28</formula>
    </cfRule>
    <cfRule type="cellIs" dxfId="2" priority="4" stopIfTrue="1" operator="lessThan">
      <formula>$C28</formula>
    </cfRule>
  </conditionalFormatting>
  <conditionalFormatting sqref="F30:R30">
    <cfRule type="cellIs" dxfId="1" priority="1" stopIfTrue="1" operator="greaterThanOrEqual">
      <formula>$D30</formula>
    </cfRule>
    <cfRule type="cellIs" dxfId="0" priority="2" stopIfTrue="1" operator="lessThan">
      <formula>$C30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3" sqref="C3"/>
    </sheetView>
  </sheetViews>
  <sheetFormatPr defaultRowHeight="12.75" x14ac:dyDescent="0.2"/>
  <cols>
    <col min="1" max="1" width="18.7109375" customWidth="1"/>
    <col min="2" max="2" width="11.42578125" bestFit="1" customWidth="1"/>
  </cols>
  <sheetData>
    <row r="1" spans="1:4" x14ac:dyDescent="0.2">
      <c r="A1" t="s">
        <v>11</v>
      </c>
      <c r="B1" t="s">
        <v>3</v>
      </c>
      <c r="C1" t="s">
        <v>12</v>
      </c>
    </row>
    <row r="2" spans="1:4" x14ac:dyDescent="0.2">
      <c r="A2" t="s">
        <v>8</v>
      </c>
      <c r="B2" t="s">
        <v>3</v>
      </c>
      <c r="C2" t="s">
        <v>13</v>
      </c>
    </row>
    <row r="3" spans="1:4" x14ac:dyDescent="0.2">
      <c r="A3" t="s">
        <v>10</v>
      </c>
      <c r="B3" t="s">
        <v>3</v>
      </c>
      <c r="C3" t="s">
        <v>9</v>
      </c>
    </row>
    <row r="4" spans="1:4" x14ac:dyDescent="0.2">
      <c r="B4" t="s">
        <v>92</v>
      </c>
    </row>
    <row r="5" spans="1:4" x14ac:dyDescent="0.2">
      <c r="A5" t="s">
        <v>37</v>
      </c>
      <c r="B5" t="s">
        <v>3</v>
      </c>
      <c r="C5" t="s">
        <v>21</v>
      </c>
    </row>
    <row r="6" spans="1:4" x14ac:dyDescent="0.2">
      <c r="B6" t="s">
        <v>29</v>
      </c>
      <c r="C6" t="s">
        <v>30</v>
      </c>
    </row>
    <row r="7" spans="1:4" x14ac:dyDescent="0.2">
      <c r="B7" t="s">
        <v>22</v>
      </c>
      <c r="C7" t="s">
        <v>23</v>
      </c>
    </row>
    <row r="8" spans="1:4" x14ac:dyDescent="0.2">
      <c r="B8" t="s">
        <v>24</v>
      </c>
      <c r="D8" t="s">
        <v>33</v>
      </c>
    </row>
    <row r="9" spans="1:4" x14ac:dyDescent="0.2">
      <c r="C9" t="s">
        <v>27</v>
      </c>
      <c r="D9" t="s">
        <v>31</v>
      </c>
    </row>
    <row r="10" spans="1:4" x14ac:dyDescent="0.2">
      <c r="C10" t="s">
        <v>28</v>
      </c>
      <c r="D10" t="s">
        <v>32</v>
      </c>
    </row>
    <row r="11" spans="1:4" x14ac:dyDescent="0.2">
      <c r="A11" t="s">
        <v>20</v>
      </c>
      <c r="B11" t="s">
        <v>3</v>
      </c>
      <c r="C11" t="s">
        <v>21</v>
      </c>
    </row>
    <row r="12" spans="1:4" x14ac:dyDescent="0.2">
      <c r="B12" t="s">
        <v>22</v>
      </c>
      <c r="C12" t="s">
        <v>23</v>
      </c>
    </row>
    <row r="13" spans="1:4" x14ac:dyDescent="0.2">
      <c r="B13" t="s">
        <v>7</v>
      </c>
    </row>
    <row r="14" spans="1:4" x14ac:dyDescent="0.2">
      <c r="B14" t="s">
        <v>80</v>
      </c>
      <c r="C14">
        <v>0</v>
      </c>
    </row>
    <row r="15" spans="1:4" x14ac:dyDescent="0.2">
      <c r="B15" t="s">
        <v>24</v>
      </c>
      <c r="C15">
        <v>0</v>
      </c>
      <c r="D15">
        <v>0</v>
      </c>
    </row>
    <row r="16" spans="1:4" x14ac:dyDescent="0.2">
      <c r="C16">
        <v>1</v>
      </c>
      <c r="D16">
        <v>1</v>
      </c>
    </row>
    <row r="17" spans="1:4" x14ac:dyDescent="0.2">
      <c r="C17">
        <v>2</v>
      </c>
      <c r="D17">
        <v>2</v>
      </c>
    </row>
    <row r="18" spans="1:4" x14ac:dyDescent="0.2">
      <c r="C18">
        <v>3</v>
      </c>
      <c r="D18">
        <v>3</v>
      </c>
    </row>
    <row r="19" spans="1:4" x14ac:dyDescent="0.2">
      <c r="C19">
        <v>4</v>
      </c>
      <c r="D19">
        <v>4</v>
      </c>
    </row>
    <row r="20" spans="1:4" x14ac:dyDescent="0.2">
      <c r="C20">
        <v>5</v>
      </c>
      <c r="D20">
        <v>5</v>
      </c>
    </row>
    <row r="21" spans="1:4" x14ac:dyDescent="0.2">
      <c r="C21">
        <v>6</v>
      </c>
      <c r="D21">
        <v>6</v>
      </c>
    </row>
    <row r="22" spans="1:4" x14ac:dyDescent="0.2">
      <c r="C22">
        <v>7</v>
      </c>
      <c r="D22">
        <v>7</v>
      </c>
    </row>
    <row r="23" spans="1:4" x14ac:dyDescent="0.2">
      <c r="C23">
        <v>8</v>
      </c>
      <c r="D23">
        <v>8</v>
      </c>
    </row>
    <row r="24" spans="1:4" x14ac:dyDescent="0.2">
      <c r="C24">
        <v>9</v>
      </c>
      <c r="D24">
        <v>9</v>
      </c>
    </row>
    <row r="25" spans="1:4" x14ac:dyDescent="0.2">
      <c r="C25">
        <v>10</v>
      </c>
      <c r="D25">
        <v>10</v>
      </c>
    </row>
    <row r="26" spans="1:4" x14ac:dyDescent="0.2">
      <c r="C26">
        <v>11</v>
      </c>
      <c r="D26">
        <v>11</v>
      </c>
    </row>
    <row r="27" spans="1:4" x14ac:dyDescent="0.2">
      <c r="C27">
        <v>12</v>
      </c>
      <c r="D27">
        <v>12</v>
      </c>
    </row>
    <row r="28" spans="1:4" x14ac:dyDescent="0.2">
      <c r="A28" t="s">
        <v>81</v>
      </c>
      <c r="B28" t="s">
        <v>3</v>
      </c>
      <c r="C28" t="s">
        <v>71</v>
      </c>
    </row>
    <row r="29" spans="1:4" x14ac:dyDescent="0.2">
      <c r="B29" t="s">
        <v>72</v>
      </c>
      <c r="C29" t="s">
        <v>73</v>
      </c>
      <c r="D29" t="s">
        <v>87</v>
      </c>
    </row>
    <row r="30" spans="1:4" x14ac:dyDescent="0.2">
      <c r="A30" t="s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78</v>
      </c>
    </row>
    <row r="2" spans="1:1" x14ac:dyDescent="0.2">
      <c r="A2" t="s">
        <v>79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Metrics with charts</vt:lpstr>
      <vt:lpstr>Metrics without charts</vt:lpstr>
      <vt:lpstr>Filters</vt:lpstr>
      <vt:lpstr>Optional Templates</vt:lpstr>
      <vt:lpstr>'Metrics without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2012-08-28T20:59:04Z</cp:lastPrinted>
  <dcterms:created xsi:type="dcterms:W3CDTF">2003-08-15T04:17:34Z</dcterms:created>
  <dcterms:modified xsi:type="dcterms:W3CDTF">2024-02-02T06:04:06Z</dcterms:modified>
</cp:coreProperties>
</file>
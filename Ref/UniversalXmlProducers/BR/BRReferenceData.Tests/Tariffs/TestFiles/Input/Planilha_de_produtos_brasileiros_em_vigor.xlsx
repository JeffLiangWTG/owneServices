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rcos.idenaga.CORP\Documents\"/>
    </mc:Choice>
  </mc:AlternateContent>
  <xr:revisionPtr revIDLastSave="0" documentId="8_{62628E82-8F18-4EC5-B6A4-766CA832457A}" xr6:coauthVersionLast="45" xr6:coauthVersionMax="45" xr10:uidLastSave="{00000000-0000-0000-0000-000000000000}"/>
  <bookViews>
    <workbookView xWindow="390" yWindow="390" windowWidth="30150" windowHeight="18840" tabRatio="653" xr2:uid="{00000000-000D-0000-FFFF-FFFF00000000}"/>
  </bookViews>
  <sheets>
    <sheet name="Produtos em Vigor" sheetId="2" r:id="rId1"/>
  </sheets>
  <definedNames>
    <definedName name="_xlnm._FilterDatabase" localSheetId="0" hidden="1">'Produtos em Vigor'!$A$11:$S$51</definedName>
    <definedName name="Link_para_process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0" i="2" l="1"/>
  <c r="N80" i="2"/>
  <c r="O80" i="2" s="1"/>
  <c r="I80" i="2"/>
  <c r="P79" i="2"/>
  <c r="N79" i="2"/>
  <c r="O79" i="2" s="1"/>
  <c r="I79" i="2"/>
  <c r="P78" i="2"/>
  <c r="N78" i="2"/>
  <c r="O78" i="2" s="1"/>
  <c r="I78" i="2"/>
  <c r="P77" i="2"/>
  <c r="N77" i="2"/>
  <c r="O77" i="2" s="1"/>
  <c r="I77" i="2"/>
  <c r="P76" i="2"/>
  <c r="N76" i="2"/>
  <c r="O76" i="2" s="1"/>
  <c r="I76" i="2"/>
  <c r="P75" i="2"/>
  <c r="N75" i="2"/>
  <c r="O75" i="2" s="1"/>
  <c r="I75" i="2"/>
  <c r="P74" i="2"/>
  <c r="N74" i="2"/>
  <c r="O74" i="2" s="1"/>
  <c r="I74" i="2"/>
  <c r="P73" i="2"/>
  <c r="N73" i="2"/>
  <c r="O73" i="2" s="1"/>
  <c r="I73" i="2"/>
  <c r="P72" i="2"/>
  <c r="N72" i="2"/>
  <c r="O72" i="2" s="1"/>
  <c r="I72" i="2"/>
  <c r="P71" i="2"/>
  <c r="N71" i="2"/>
  <c r="O71" i="2" s="1"/>
  <c r="I71" i="2"/>
  <c r="P70" i="2"/>
  <c r="N70" i="2"/>
  <c r="O70" i="2" s="1"/>
  <c r="I70" i="2"/>
  <c r="P69" i="2"/>
  <c r="N69" i="2"/>
  <c r="O69" i="2" s="1"/>
  <c r="I69" i="2"/>
  <c r="P68" i="2"/>
  <c r="N68" i="2"/>
  <c r="O68" i="2" s="1"/>
  <c r="I68" i="2"/>
  <c r="P67" i="2"/>
  <c r="N67" i="2"/>
  <c r="O67" i="2" s="1"/>
  <c r="I67" i="2"/>
  <c r="P66" i="2"/>
  <c r="N66" i="2"/>
  <c r="O66" i="2" s="1"/>
  <c r="I66" i="2"/>
  <c r="P65" i="2"/>
  <c r="N65" i="2"/>
  <c r="O65" i="2" s="1"/>
  <c r="I65" i="2"/>
  <c r="P64" i="2"/>
  <c r="N64" i="2"/>
  <c r="O64" i="2" s="1"/>
  <c r="I64" i="2"/>
  <c r="P63" i="2"/>
  <c r="N63" i="2"/>
  <c r="O63" i="2" s="1"/>
  <c r="I63" i="2"/>
  <c r="P62" i="2"/>
  <c r="N62" i="2"/>
  <c r="O62" i="2" s="1"/>
  <c r="I62" i="2"/>
  <c r="P61" i="2"/>
  <c r="N61" i="2"/>
  <c r="O61" i="2" s="1"/>
  <c r="I61" i="2"/>
  <c r="P60" i="2"/>
  <c r="N60" i="2"/>
  <c r="O60" i="2" s="1"/>
  <c r="I60" i="2"/>
  <c r="P59" i="2"/>
  <c r="O59" i="2"/>
  <c r="N59" i="2"/>
  <c r="I59" i="2"/>
  <c r="P58" i="2"/>
  <c r="O58" i="2"/>
  <c r="N58" i="2"/>
  <c r="I58" i="2"/>
  <c r="P57" i="2"/>
  <c r="O57" i="2"/>
  <c r="N57" i="2"/>
  <c r="I57" i="2"/>
  <c r="P56" i="2"/>
  <c r="O56" i="2"/>
  <c r="N56" i="2"/>
  <c r="I56" i="2"/>
  <c r="P55" i="2"/>
  <c r="O55" i="2"/>
  <c r="N55" i="2"/>
  <c r="I55" i="2"/>
  <c r="P54" i="2"/>
  <c r="O54" i="2"/>
  <c r="N54" i="2"/>
  <c r="I54" i="2"/>
  <c r="P53" i="2"/>
  <c r="O53" i="2"/>
  <c r="N53" i="2"/>
  <c r="I53" i="2"/>
  <c r="P52" i="2"/>
  <c r="O52" i="2"/>
  <c r="N52" i="2"/>
  <c r="I52" i="2"/>
  <c r="P51" i="2"/>
  <c r="O51" i="2"/>
  <c r="N51" i="2"/>
  <c r="I51" i="2"/>
  <c r="P50" i="2"/>
  <c r="O50" i="2"/>
  <c r="N50" i="2"/>
  <c r="I50" i="2"/>
  <c r="P49" i="2"/>
  <c r="O49" i="2"/>
  <c r="N49" i="2"/>
  <c r="I49" i="2"/>
  <c r="P48" i="2"/>
  <c r="O48" i="2"/>
  <c r="N48" i="2"/>
  <c r="I48" i="2"/>
  <c r="P47" i="2"/>
  <c r="O47" i="2"/>
  <c r="N47" i="2"/>
  <c r="I47" i="2"/>
  <c r="P46" i="2"/>
  <c r="O46" i="2"/>
  <c r="N46" i="2"/>
  <c r="I46" i="2"/>
  <c r="P45" i="2"/>
  <c r="O45" i="2"/>
  <c r="N45" i="2"/>
  <c r="I45" i="2"/>
  <c r="P44" i="2"/>
  <c r="O44" i="2"/>
  <c r="N44" i="2"/>
  <c r="I44" i="2"/>
  <c r="P43" i="2"/>
  <c r="O43" i="2"/>
  <c r="N43" i="2"/>
  <c r="I43" i="2"/>
  <c r="P42" i="2"/>
  <c r="O42" i="2"/>
  <c r="N42" i="2"/>
  <c r="I42" i="2"/>
  <c r="P41" i="2"/>
  <c r="O41" i="2"/>
  <c r="N41" i="2"/>
  <c r="I41" i="2"/>
  <c r="P40" i="2"/>
  <c r="O40" i="2"/>
  <c r="N40" i="2"/>
  <c r="I40" i="2"/>
  <c r="P39" i="2"/>
  <c r="O39" i="2"/>
  <c r="N39" i="2"/>
  <c r="I39" i="2"/>
  <c r="P38" i="2"/>
  <c r="O38" i="2"/>
  <c r="N38" i="2"/>
  <c r="I38" i="2"/>
  <c r="P37" i="2"/>
  <c r="O37" i="2"/>
  <c r="N37" i="2"/>
  <c r="I37" i="2"/>
  <c r="P36" i="2"/>
  <c r="O36" i="2"/>
  <c r="N36" i="2"/>
  <c r="I36" i="2"/>
  <c r="P35" i="2"/>
  <c r="O35" i="2"/>
  <c r="N35" i="2"/>
  <c r="I35" i="2"/>
  <c r="P34" i="2"/>
  <c r="O34" i="2"/>
  <c r="N34" i="2"/>
  <c r="I34" i="2"/>
  <c r="P33" i="2"/>
  <c r="O33" i="2"/>
  <c r="N33" i="2"/>
  <c r="I33" i="2"/>
  <c r="P32" i="2"/>
  <c r="O32" i="2"/>
  <c r="N32" i="2"/>
  <c r="N31" i="2"/>
  <c r="P31" i="2" s="1"/>
  <c r="I31" i="2"/>
  <c r="N30" i="2"/>
  <c r="P30" i="2" s="1"/>
  <c r="I30" i="2"/>
  <c r="O29" i="2"/>
  <c r="N29" i="2"/>
  <c r="P29" i="2" s="1"/>
  <c r="I29" i="2"/>
  <c r="N28" i="2"/>
  <c r="P28" i="2" s="1"/>
  <c r="I28" i="2"/>
  <c r="N27" i="2"/>
  <c r="P27" i="2" s="1"/>
  <c r="I27" i="2"/>
  <c r="O26" i="2"/>
  <c r="N26" i="2"/>
  <c r="P26" i="2" s="1"/>
  <c r="I26" i="2"/>
  <c r="N25" i="2"/>
  <c r="P25" i="2" s="1"/>
  <c r="I25" i="2"/>
  <c r="N24" i="2"/>
  <c r="P24" i="2" s="1"/>
  <c r="I24" i="2"/>
  <c r="N23" i="2"/>
  <c r="P23" i="2" s="1"/>
  <c r="I23" i="2"/>
  <c r="O22" i="2"/>
  <c r="N22" i="2"/>
  <c r="P22" i="2" s="1"/>
  <c r="I22" i="2"/>
  <c r="N21" i="2"/>
  <c r="P21" i="2" s="1"/>
  <c r="I21" i="2"/>
  <c r="N20" i="2"/>
  <c r="P20" i="2" s="1"/>
  <c r="I20" i="2"/>
  <c r="N19" i="2"/>
  <c r="P19" i="2" s="1"/>
  <c r="I19" i="2"/>
  <c r="O18" i="2"/>
  <c r="N18" i="2"/>
  <c r="P18" i="2" s="1"/>
  <c r="I18" i="2"/>
  <c r="N17" i="2"/>
  <c r="P17" i="2" s="1"/>
  <c r="I17" i="2"/>
  <c r="N16" i="2"/>
  <c r="P16" i="2" s="1"/>
  <c r="I16" i="2"/>
  <c r="N15" i="2"/>
  <c r="P15" i="2" s="1"/>
  <c r="I15" i="2"/>
  <c r="O14" i="2"/>
  <c r="N14" i="2"/>
  <c r="P14" i="2" s="1"/>
  <c r="I14" i="2"/>
  <c r="N13" i="2"/>
  <c r="P13" i="2" s="1"/>
  <c r="I13" i="2"/>
  <c r="N12" i="2"/>
  <c r="P12" i="2" s="1"/>
  <c r="I12" i="2"/>
  <c r="N11" i="2"/>
  <c r="P11" i="2" s="1"/>
  <c r="I11" i="2"/>
  <c r="O10" i="2"/>
  <c r="N10" i="2"/>
  <c r="P10" i="2" s="1"/>
  <c r="I10" i="2"/>
  <c r="N9" i="2"/>
  <c r="P9" i="2" s="1"/>
  <c r="I9" i="2"/>
  <c r="N8" i="2"/>
  <c r="P8" i="2" s="1"/>
  <c r="I8" i="2"/>
  <c r="O9" i="2" l="1"/>
  <c r="O13" i="2"/>
  <c r="O17" i="2"/>
  <c r="O8" i="2"/>
  <c r="O12" i="2"/>
  <c r="O16" i="2"/>
  <c r="O20" i="2"/>
  <c r="O28" i="2"/>
  <c r="O11" i="2"/>
  <c r="O15" i="2"/>
  <c r="O19" i="2"/>
  <c r="O23" i="2"/>
  <c r="O27" i="2"/>
  <c r="O31" i="2"/>
  <c r="O30" i="2"/>
  <c r="O21" i="2"/>
  <c r="O25" i="2"/>
  <c r="O24" i="2"/>
</calcChain>
</file>

<file path=xl/sharedStrings.xml><?xml version="1.0" encoding="utf-8"?>
<sst xmlns="http://schemas.openxmlformats.org/spreadsheetml/2006/main" count="830" uniqueCount="321">
  <si>
    <t>#</t>
  </si>
  <si>
    <t>NCM</t>
  </si>
  <si>
    <t>Produto</t>
  </si>
  <si>
    <t>Pleiteante</t>
  </si>
  <si>
    <t>Alíquota</t>
  </si>
  <si>
    <t>001</t>
  </si>
  <si>
    <t>De 12% para 2%</t>
  </si>
  <si>
    <t>Não</t>
  </si>
  <si>
    <t>De 18% para 2%</t>
  </si>
  <si>
    <t>Omron Healthcare Brasil Indústria e Comércio de Produtos Médicos</t>
  </si>
  <si>
    <t>De 16% para 2%</t>
  </si>
  <si>
    <t>De 14% para 2%</t>
  </si>
  <si>
    <t>3907.40.90</t>
  </si>
  <si>
    <t>003</t>
  </si>
  <si>
    <t>De 10% para 2%</t>
  </si>
  <si>
    <t>002</t>
  </si>
  <si>
    <t>8505.11.00</t>
  </si>
  <si>
    <t>8535.90.00</t>
  </si>
  <si>
    <t>3002.20.29</t>
  </si>
  <si>
    <t>Fundação Butantan</t>
  </si>
  <si>
    <t>De 2% para 0%</t>
  </si>
  <si>
    <t>3002.20.27</t>
  </si>
  <si>
    <t>3002.20.21</t>
  </si>
  <si>
    <t>3002.20.23</t>
  </si>
  <si>
    <t>Vacina adsorvida hepatite B (recombinante)</t>
  </si>
  <si>
    <t>Vacina contra Raiva</t>
  </si>
  <si>
    <t>004</t>
  </si>
  <si>
    <t>Vacina contra a Hepatite A</t>
  </si>
  <si>
    <t>Vacina HPV</t>
  </si>
  <si>
    <t>Abrafas</t>
  </si>
  <si>
    <t>5501.30.00</t>
  </si>
  <si>
    <t>5402.20.00</t>
  </si>
  <si>
    <t>3904.10.20</t>
  </si>
  <si>
    <t>PVC-E</t>
  </si>
  <si>
    <t>Abrapla</t>
  </si>
  <si>
    <t>3302.90.90</t>
  </si>
  <si>
    <t>Fragrâncias Microencapsuladas</t>
  </si>
  <si>
    <t>QUADRO COMPLETO</t>
  </si>
  <si>
    <t>Atualizado em:</t>
  </si>
  <si>
    <t>2832.10.10</t>
  </si>
  <si>
    <t>Sulfitos de Sódio</t>
  </si>
  <si>
    <t>Oxiteno S.A Indústria e Comércio</t>
  </si>
  <si>
    <t>9001.30.00</t>
  </si>
  <si>
    <t>Lentes de Contato</t>
  </si>
  <si>
    <t>Coopervision do Brasil LTDA</t>
  </si>
  <si>
    <t>9018.90.92</t>
  </si>
  <si>
    <t>Braçadeiras para monitores de pressão arterial</t>
  </si>
  <si>
    <t>WEG Equipamentos Elétricos S.A.</t>
  </si>
  <si>
    <t>Vacina dTpa-R, Boostrix</t>
  </si>
  <si>
    <t>Fio de alta tenacidade de poliésteres</t>
  </si>
  <si>
    <t>BMD Têxteis Ltda</t>
  </si>
  <si>
    <t>Comutador a vácuo</t>
  </si>
  <si>
    <t>Reduções Vigentes (NCMs)</t>
  </si>
  <si>
    <t>Limite Autorizado ao Brasil</t>
  </si>
  <si>
    <t>Ex**</t>
  </si>
  <si>
    <t>Cota</t>
  </si>
  <si>
    <t>Enquadramento</t>
  </si>
  <si>
    <t>Prazo de Vigência</t>
  </si>
  <si>
    <t>Início da Vigência</t>
  </si>
  <si>
    <t>Término da Vigência</t>
  </si>
  <si>
    <t>% decorrido da vigência</t>
  </si>
  <si>
    <t xml:space="preserve">Vigência remanescente em dias </t>
  </si>
  <si>
    <t>Benefício concedido sob tratamento de urgência?</t>
  </si>
  <si>
    <t>Diretriz CCM</t>
  </si>
  <si>
    <t>Aprovada</t>
  </si>
  <si>
    <t>% de Utilização</t>
  </si>
  <si>
    <t>Unidade</t>
  </si>
  <si>
    <t>Toneladas</t>
  </si>
  <si>
    <t>12 meses</t>
  </si>
  <si>
    <t>Unidades</t>
  </si>
  <si>
    <t xml:space="preserve">Toneladas </t>
  </si>
  <si>
    <t>Doses</t>
  </si>
  <si>
    <t>Vacina contra a gripe</t>
  </si>
  <si>
    <t>3215.11.00</t>
  </si>
  <si>
    <t>3215.19.00</t>
  </si>
  <si>
    <t xml:space="preserve">RESOLUÇÃO GMC 49/2019 - QUADRO RESUMO </t>
  </si>
  <si>
    <t>Enquadramento: Artigo 2°</t>
  </si>
  <si>
    <t>Resolução GMC 08 de 2008</t>
  </si>
  <si>
    <t>46/2020</t>
  </si>
  <si>
    <t>18/20</t>
  </si>
  <si>
    <t>65/2020</t>
  </si>
  <si>
    <t>19/20</t>
  </si>
  <si>
    <t>7606.12.90</t>
  </si>
  <si>
    <t>Chapas e tiras de alumínio com clad (RA)</t>
  </si>
  <si>
    <t>Sindipeças</t>
  </si>
  <si>
    <t>72/2020</t>
  </si>
  <si>
    <t>23/20</t>
  </si>
  <si>
    <t>7607.11.90</t>
  </si>
  <si>
    <t>Folhas e tiras de alumínio com clad (RA)</t>
  </si>
  <si>
    <t>34/20</t>
  </si>
  <si>
    <t>Cabo acrílico</t>
  </si>
  <si>
    <t>Paramount Têxteis Indústria e Comércio S.A</t>
  </si>
  <si>
    <t>Resolução GMC 49 de 2019</t>
  </si>
  <si>
    <t>365 dias</t>
  </si>
  <si>
    <t>86/2020</t>
  </si>
  <si>
    <t>43/20</t>
  </si>
  <si>
    <t>3804.00.20</t>
  </si>
  <si>
    <t>Lignossulfonato</t>
  </si>
  <si>
    <t>LignoTech Brasil Produtos de Lignina Ltda</t>
  </si>
  <si>
    <t>45/20</t>
  </si>
  <si>
    <t>7506.20.00</t>
  </si>
  <si>
    <t>Chapas, tiras e folhas de níquel</t>
  </si>
  <si>
    <t>Cladtek do Brasil Ind e Com de Tubos e Revestim. Ltda</t>
  </si>
  <si>
    <t>53/20</t>
  </si>
  <si>
    <t>Vacina Pentavalente</t>
  </si>
  <si>
    <t>52/20</t>
  </si>
  <si>
    <t>De 10% para 0%</t>
  </si>
  <si>
    <t>37/20</t>
  </si>
  <si>
    <t>36/20</t>
  </si>
  <si>
    <t>De 16% para 0%</t>
  </si>
  <si>
    <t>44/20</t>
  </si>
  <si>
    <t>50/20</t>
  </si>
  <si>
    <t>47/20</t>
  </si>
  <si>
    <t>46/20</t>
  </si>
  <si>
    <t>3707.90.21</t>
  </si>
  <si>
    <t>Toner em pó</t>
  </si>
  <si>
    <t>FEBRECI</t>
  </si>
  <si>
    <t>119/2020</t>
  </si>
  <si>
    <t>65/20</t>
  </si>
  <si>
    <t>3920.20.19</t>
  </si>
  <si>
    <t>Filme Bopp</t>
  </si>
  <si>
    <t>Weg Equipamentos Elétricos S/A</t>
  </si>
  <si>
    <t>63/20</t>
  </si>
  <si>
    <t>4811.90.90</t>
  </si>
  <si>
    <t>Papel Térmico</t>
  </si>
  <si>
    <t>Instituto Foodservice Brasil (IFB)</t>
  </si>
  <si>
    <t>64/20</t>
  </si>
  <si>
    <t>3907.20.39</t>
  </si>
  <si>
    <t>Poliacetal Poliéter (PAPE), em solução aquosa</t>
  </si>
  <si>
    <t>Ashland Comércio de Especialidades Químicas do Brasil Ltda.</t>
  </si>
  <si>
    <t>De 14% para 0%</t>
  </si>
  <si>
    <t>61/20</t>
  </si>
  <si>
    <t>5503.30.00</t>
  </si>
  <si>
    <t>Fibras acrílicas ou modacrílicas, não cardadas</t>
  </si>
  <si>
    <t>60/20</t>
  </si>
  <si>
    <t>Resolução Camex</t>
  </si>
  <si>
    <t>Imã permanente de neodímio-ferro-boro</t>
  </si>
  <si>
    <t>51/20</t>
  </si>
  <si>
    <t>49/20</t>
  </si>
  <si>
    <t>48/20</t>
  </si>
  <si>
    <t>2106.90.90</t>
  </si>
  <si>
    <t>Neocate LCP Upgrade LT 400G</t>
  </si>
  <si>
    <t>Support Produtos Nutricionais Ltda</t>
  </si>
  <si>
    <t>125/2020</t>
  </si>
  <si>
    <t>67/20</t>
  </si>
  <si>
    <t>Preparações alimentícias não compreendidas noutras posições</t>
  </si>
  <si>
    <t>002 a 006</t>
  </si>
  <si>
    <t>Nestlé Brasil Ltda</t>
  </si>
  <si>
    <t>70/20</t>
  </si>
  <si>
    <t>3912.90.90</t>
  </si>
  <si>
    <t>Copolímero de Propionato de Acetato de Celulose Sustentável</t>
  </si>
  <si>
    <t>Sim</t>
  </si>
  <si>
    <t>Eastman Chemical do Brasil Ltda</t>
  </si>
  <si>
    <t>69/20</t>
  </si>
  <si>
    <t>Policarbonatos - Pellets</t>
  </si>
  <si>
    <t>Covestro Indústria e Comércio de Polímeros Ltda</t>
  </si>
  <si>
    <t>180 dias</t>
  </si>
  <si>
    <t>143/2021</t>
  </si>
  <si>
    <t>8452.10.00</t>
  </si>
  <si>
    <t>Máquinas de costura de uso doméstico</t>
  </si>
  <si>
    <t>Associação Brasileira de Máquinas e Equipamentos para Confecção - Abramaco</t>
  </si>
  <si>
    <t>De 20% para 0%</t>
  </si>
  <si>
    <t>73/20</t>
  </si>
  <si>
    <t>6815.10.90</t>
  </si>
  <si>
    <t>Fibra de carbono pultrudada</t>
  </si>
  <si>
    <t>Aeris Indústria e Comércio de Equipamentos para a Geração de Energia S.A.</t>
  </si>
  <si>
    <t>161/2021</t>
  </si>
  <si>
    <t>2903.15.00</t>
  </si>
  <si>
    <t>Dicloreto de etileno (ISO) (1,2-dicloroetano)</t>
  </si>
  <si>
    <t>Braskem</t>
  </si>
  <si>
    <t>80/20</t>
  </si>
  <si>
    <t>2909.60.20</t>
  </si>
  <si>
    <t>1,4-Di-(2-terbutil-peroxi-isopropil) benzeno</t>
  </si>
  <si>
    <t>Arkema Química Ltda</t>
  </si>
  <si>
    <t>De 12% para 0%</t>
  </si>
  <si>
    <t>84/20</t>
  </si>
  <si>
    <t>2921.51.33</t>
  </si>
  <si>
    <t>N-(1,3-Dimetilbutil)-N'-fenil-p-fenilenodiamina</t>
  </si>
  <si>
    <t>Solutia Brasil Ltda</t>
  </si>
  <si>
    <t>85/20</t>
  </si>
  <si>
    <t>3215.90.00</t>
  </si>
  <si>
    <t>Tintas de escrever ou de desenhar e outras tintas</t>
  </si>
  <si>
    <t>Companhia de Canetas Compactor</t>
  </si>
  <si>
    <t>86/20</t>
  </si>
  <si>
    <t>3802.10.00</t>
  </si>
  <si>
    <t>Carvão Ativado</t>
  </si>
  <si>
    <t>87/20</t>
  </si>
  <si>
    <t>3911.90.29</t>
  </si>
  <si>
    <t>Isocianato</t>
  </si>
  <si>
    <t>Sitivesp</t>
  </si>
  <si>
    <t>81/20</t>
  </si>
  <si>
    <t>3919.90.90</t>
  </si>
  <si>
    <t>Laminado de Politereftalato de Etileno</t>
  </si>
  <si>
    <t>88/20</t>
  </si>
  <si>
    <t>Laminado de uretano</t>
  </si>
  <si>
    <t>82/20</t>
  </si>
  <si>
    <t>PES-Fio de poliéster multifilamento de alta tenacidade</t>
  </si>
  <si>
    <t>Porcher do Brasil Tecidos de Vidro Ltda</t>
  </si>
  <si>
    <t>De 18% para 0%</t>
  </si>
  <si>
    <t>Autoliv do Brasil Ltda</t>
  </si>
  <si>
    <t>10.000 (até 13/07/2021) e 10.000 (14/07/2021 a 09/01/2022)</t>
  </si>
  <si>
    <t>143/2021 e 177/2021</t>
  </si>
  <si>
    <t>2101.12.00</t>
  </si>
  <si>
    <t>Extrato Líquido de Café Congelado</t>
  </si>
  <si>
    <t>Jacobs Douwe Egberts BR Comercialização de Cafés Ltda</t>
  </si>
  <si>
    <t>177/2021</t>
  </si>
  <si>
    <t>03/21</t>
  </si>
  <si>
    <t>Preparações para alimentação de lactentes e crianças de tenra idade</t>
  </si>
  <si>
    <t>007 a 009</t>
  </si>
  <si>
    <t>05/21</t>
  </si>
  <si>
    <t>Leites modificados (Pré-NAN) para recém-nascidos</t>
  </si>
  <si>
    <t>011</t>
  </si>
  <si>
    <t>07/21</t>
  </si>
  <si>
    <t xml:space="preserve">Fórmula infantil para lactentes e crianças de primeira infância destinada a necessidades dietoterápicas específicas </t>
  </si>
  <si>
    <t>010</t>
  </si>
  <si>
    <t>Danone Ltda</t>
  </si>
  <si>
    <t>06/21</t>
  </si>
  <si>
    <t>3810.90.00</t>
  </si>
  <si>
    <t>Fluxo de solda</t>
  </si>
  <si>
    <t>Valeo Sistemas Automotivos Ltda</t>
  </si>
  <si>
    <t>08/21</t>
  </si>
  <si>
    <t>3906.90.49</t>
  </si>
  <si>
    <t>Microesfera termoplástica</t>
  </si>
  <si>
    <t>Associação Brasileira da Indústria do Plástico - Abiplast</t>
  </si>
  <si>
    <t>13/21</t>
  </si>
  <si>
    <t>3907.61.00</t>
  </si>
  <si>
    <t>Polímero de poliéster industrial</t>
  </si>
  <si>
    <t>12/21</t>
  </si>
  <si>
    <t>5402.47.10</t>
  </si>
  <si>
    <t>Filamento bi componente coalescido de poliéster</t>
  </si>
  <si>
    <t>11/21</t>
  </si>
  <si>
    <t>5503.40.00</t>
  </si>
  <si>
    <t>Fibras sintéticas descontínuas</t>
  </si>
  <si>
    <t>Freudenberg Performance Materials</t>
  </si>
  <si>
    <t>09/21</t>
  </si>
  <si>
    <t>8482.30.00</t>
  </si>
  <si>
    <t>Rolamentos de roletes em forma de tonel</t>
  </si>
  <si>
    <t>GE Energias Renováveis Ltda</t>
  </si>
  <si>
    <t>10/21</t>
  </si>
  <si>
    <t>Minasa Trading International S.A e Paramount Têxteis Indústria e Comércio S.A</t>
  </si>
  <si>
    <t>79/20 e 04/21</t>
  </si>
  <si>
    <t>89/20 e 16/21</t>
  </si>
  <si>
    <t>006</t>
  </si>
  <si>
    <t>2833.11.10</t>
  </si>
  <si>
    <t>Sulfato Dissódico Anidro</t>
  </si>
  <si>
    <t>Abipla</t>
  </si>
  <si>
    <t xml:space="preserve">De 10% para 0% </t>
  </si>
  <si>
    <t>192/2021</t>
  </si>
  <si>
    <t xml:space="preserve">3501.90.11 </t>
  </si>
  <si>
    <t>Caseinato de Sódio</t>
  </si>
  <si>
    <t>14/21</t>
  </si>
  <si>
    <t xml:space="preserve">3501.90.19 </t>
  </si>
  <si>
    <t>Caseinato de Cálcio</t>
  </si>
  <si>
    <t>15/21</t>
  </si>
  <si>
    <t>161/2021, 192/2021 e 197/2021</t>
  </si>
  <si>
    <t>192/2021 e 197/2021</t>
  </si>
  <si>
    <t>20/21 e 39/21</t>
  </si>
  <si>
    <t>0901.21.00</t>
  </si>
  <si>
    <t>Café em Cápsulas (Nespresso)</t>
  </si>
  <si>
    <t>197/2021</t>
  </si>
  <si>
    <t>21/21</t>
  </si>
  <si>
    <t>2810.00.10</t>
  </si>
  <si>
    <t>Ácido ortobórico</t>
  </si>
  <si>
    <t>Sindicado da Indústria de Adubos e Corretivos Agrícolas no Estado do Paraná - SINDIADUBOS</t>
  </si>
  <si>
    <t>24/21</t>
  </si>
  <si>
    <t>2840.19.00</t>
  </si>
  <si>
    <t>Outros tetraboratos dissódicos (borax refinado)</t>
  </si>
  <si>
    <t>25/21</t>
  </si>
  <si>
    <t>2840.20.00</t>
  </si>
  <si>
    <t>Octaborato dissódico tetrahidratado</t>
  </si>
  <si>
    <t>27/21</t>
  </si>
  <si>
    <t>Borato de zinco na forma de pó</t>
  </si>
  <si>
    <t>26/21</t>
  </si>
  <si>
    <t>Tintas pretas para impressão digital de livros</t>
  </si>
  <si>
    <t>Canon do Brasil Indústria e Comércio Ltda</t>
  </si>
  <si>
    <t>28/21</t>
  </si>
  <si>
    <t>Tintas coloridas para impressão digital de livros</t>
  </si>
  <si>
    <t>29/21</t>
  </si>
  <si>
    <t>Abihpec</t>
  </si>
  <si>
    <t>40/21</t>
  </si>
  <si>
    <t>3824.99.89</t>
  </si>
  <si>
    <t>Tinosorb S Aqua (filtro solar)</t>
  </si>
  <si>
    <t>BASF S.A.</t>
  </si>
  <si>
    <t>30/21</t>
  </si>
  <si>
    <t>3920.99.90</t>
  </si>
  <si>
    <t>Filme Plástico</t>
  </si>
  <si>
    <t>Kuraray South America Ltda</t>
  </si>
  <si>
    <t>31/21</t>
  </si>
  <si>
    <t>5303.10.10</t>
  </si>
  <si>
    <t>Fibra de Juta</t>
  </si>
  <si>
    <t>Ifibram - Instituto de Fomento à Produção de Fibras Vegetais da Amazônia</t>
  </si>
  <si>
    <t>De 8% para 0%</t>
  </si>
  <si>
    <t>23/21</t>
  </si>
  <si>
    <t>6815.10.20</t>
  </si>
  <si>
    <t>Tecidos de fibras de carbono, para usos não elétricos</t>
  </si>
  <si>
    <t>LM WIND POWER DO BRASIL S.A</t>
  </si>
  <si>
    <t>32/21</t>
  </si>
  <si>
    <t>Perfil pultrudado de fibra de carbono</t>
  </si>
  <si>
    <t>33/21</t>
  </si>
  <si>
    <t>41/21</t>
  </si>
  <si>
    <t>8516.71.00</t>
  </si>
  <si>
    <t xml:space="preserve">Máquinas de Café </t>
  </si>
  <si>
    <t>34/21</t>
  </si>
  <si>
    <t>34 dias</t>
  </si>
  <si>
    <t>44/21</t>
  </si>
  <si>
    <t>8537.20.90</t>
  </si>
  <si>
    <t>Disjuntor de Gerador Trifásico</t>
  </si>
  <si>
    <t>Grid Solutions Transmissão de Energia Ltda e ABB Power Grids Brasil Ltda</t>
  </si>
  <si>
    <t>42/21</t>
  </si>
  <si>
    <t xml:space="preserve">Módulo Isolado a Gás </t>
  </si>
  <si>
    <t>ABB Power Grids Brasil Ltda</t>
  </si>
  <si>
    <t>43/21</t>
  </si>
  <si>
    <t>8546.20.00</t>
  </si>
  <si>
    <t>Isoladores Elétricos de Porcelana</t>
  </si>
  <si>
    <t>Grid Solutions Transmissão de Energia Ltda.</t>
  </si>
  <si>
    <t>Coopervision do Brasil Ltda</t>
  </si>
  <si>
    <t>9608.99.81</t>
  </si>
  <si>
    <t>Pontas porosas, p/ canetas e marcadores, com ponta de feltro ou com outras pontas porosas.</t>
  </si>
  <si>
    <t>9608.99.89</t>
  </si>
  <si>
    <t>Outras. (Partes p/ canetas e marcadores, com ponta de feltro ou com outras pontas porosas) (Pavio).</t>
  </si>
  <si>
    <r>
      <t xml:space="preserve">    Utilizada   </t>
    </r>
    <r>
      <rPr>
        <b/>
        <sz val="8"/>
        <color rgb="FF0D0D0D"/>
        <rFont val="Arial"/>
        <family val="2"/>
        <charset val="1"/>
      </rPr>
      <t xml:space="preserve"> </t>
    </r>
    <r>
      <rPr>
        <b/>
        <sz val="8"/>
        <color rgb="FFFF0000"/>
        <rFont val="Arial"/>
        <family val="2"/>
        <charset val="1"/>
      </rPr>
      <t>(até 24/06/2021)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</si>
</sst>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/m/yyyy"/>
    <numFmt numFmtId="165" formatCode="[$-416]mmm/yy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i/>
      <sz val="9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D0D0D"/>
      <name val="Arial"/>
      <family val="2"/>
      <charset val="1"/>
    </font>
    <font>
      <b/>
      <sz val="8"/>
      <color rgb="FF0D0D0D"/>
      <name val="Arial"/>
      <family val="2"/>
      <charset val="1"/>
    </font>
    <font>
      <b/>
      <sz val="8"/>
      <color rgb="FFFF0000"/>
      <name val="Arial"/>
      <family val="2"/>
      <charset val="1"/>
    </font>
    <font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A6A6A6"/>
      </patternFill>
    </fill>
    <fill>
      <patternFill patternType="solid">
        <fgColor rgb="FFB9CDE5"/>
        <bgColor rgb="FFB7DEE8"/>
      </patternFill>
    </fill>
    <fill>
      <patternFill patternType="solid">
        <fgColor rgb="FFFFFFFF"/>
        <bgColor rgb="FFCCFFFF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9" fontId="13" fillId="4" borderId="1" xfId="3" applyFont="1" applyFill="1" applyBorder="1" applyAlignment="1" applyProtection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9" fontId="13" fillId="0" borderId="1" xfId="3" applyFont="1" applyBorder="1" applyAlignment="1" applyProtection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wrapText="1"/>
    </xf>
    <xf numFmtId="9" fontId="13" fillId="4" borderId="4" xfId="3" applyFont="1" applyFill="1" applyBorder="1" applyAlignment="1" applyProtection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9" fontId="13" fillId="0" borderId="4" xfId="3" applyFont="1" applyBorder="1" applyAlignment="1" applyProtection="1">
      <alignment horizontal="center" vertical="center" wrapText="1"/>
    </xf>
    <xf numFmtId="164" fontId="13" fillId="4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 applyBorder="1" applyAlignment="1">
      <alignment horizontal="center" wrapText="1"/>
    </xf>
    <xf numFmtId="1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1" fontId="13" fillId="0" borderId="4" xfId="0" quotePrefix="1" applyNumberFormat="1" applyFont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17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ercent" xfId="3" builtinId="5"/>
  </cellStyles>
  <dxfs count="24"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-0.24994659260841701"/>
        </patternFill>
      </fill>
    </dxf>
    <dxf>
      <font>
        <b/>
        <i val="0"/>
        <color theme="1"/>
      </font>
      <numFmt numFmtId="0" formatCode="General"/>
      <fill>
        <patternFill>
          <bgColor rgb="FFFFFF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>
    <pageSetUpPr fitToPage="1"/>
  </sheetPr>
  <dimension ref="A1:AMK80"/>
  <sheetViews>
    <sheetView showGridLines="0" tabSelected="1" zoomScale="90" zoomScaleNormal="90" workbookViewId="0">
      <pane ySplit="12" topLeftCell="A13" activePane="bottomLeft" state="frozen"/>
      <selection activeCell="C67" sqref="C67"/>
      <selection pane="bottomLeft" activeCell="E4" sqref="E4"/>
    </sheetView>
  </sheetViews>
  <sheetFormatPr defaultRowHeight="15" x14ac:dyDescent="0.25"/>
  <cols>
    <col min="1" max="1" width="4.140625" style="4" customWidth="1"/>
    <col min="2" max="2" width="10.7109375" style="4" customWidth="1"/>
    <col min="3" max="3" width="30.140625" style="4" customWidth="1"/>
    <col min="4" max="4" width="7.7109375" style="4" customWidth="1"/>
    <col min="5" max="5" width="39.42578125" style="4" customWidth="1"/>
    <col min="6" max="6" width="9.85546875" style="4" customWidth="1"/>
    <col min="7" max="7" width="12.85546875" style="4" customWidth="1"/>
    <col min="8" max="8" width="12.140625" style="4" customWidth="1"/>
    <col min="9" max="9" width="10.42578125" style="4" customWidth="1"/>
    <col min="10" max="10" width="13" style="4" customWidth="1"/>
    <col min="11" max="11" width="17.140625" style="4" customWidth="1"/>
    <col min="12" max="12" width="10.140625" style="4" customWidth="1"/>
    <col min="13" max="13" width="11.5703125" style="4" customWidth="1"/>
    <col min="14" max="14" width="11.7109375" style="4" customWidth="1"/>
    <col min="15" max="15" width="12.140625" style="4" customWidth="1"/>
    <col min="16" max="17" width="15.42578125" style="4" customWidth="1"/>
    <col min="18" max="18" width="11" style="4" customWidth="1"/>
    <col min="19" max="19" width="9.5703125" style="4" customWidth="1"/>
    <col min="20" max="20" width="14.42578125" style="4" customWidth="1"/>
    <col min="21" max="1025" width="9.140625" style="4" customWidth="1"/>
  </cols>
  <sheetData>
    <row r="1" spans="1:21" s="3" customFormat="1" ht="12.75" customHeight="1" x14ac:dyDescent="0.2">
      <c r="A1" s="52" t="s">
        <v>75</v>
      </c>
      <c r="B1" s="52"/>
      <c r="C1" s="52"/>
      <c r="D1" s="52"/>
      <c r="E1" s="52"/>
      <c r="F1" s="52"/>
      <c r="G1" s="52"/>
      <c r="H1" s="52"/>
      <c r="I1" s="1"/>
      <c r="J1" s="1"/>
      <c r="K1" s="2"/>
    </row>
    <row r="2" spans="1:21" x14ac:dyDescent="0.25">
      <c r="E2" s="5" t="s">
        <v>52</v>
      </c>
      <c r="F2" s="6"/>
      <c r="G2" s="5" t="s">
        <v>53</v>
      </c>
      <c r="H2" s="5"/>
      <c r="I2" s="5"/>
      <c r="J2" s="5"/>
      <c r="K2" s="5"/>
    </row>
    <row r="3" spans="1:21" x14ac:dyDescent="0.25">
      <c r="B3" s="7" t="s">
        <v>76</v>
      </c>
      <c r="C3" s="6"/>
      <c r="D3" s="6"/>
      <c r="E3" s="8">
        <v>59</v>
      </c>
      <c r="F3" s="6"/>
      <c r="G3" s="8">
        <v>100</v>
      </c>
      <c r="H3" s="8"/>
      <c r="I3" s="9"/>
      <c r="J3" s="9"/>
      <c r="K3" s="9"/>
    </row>
    <row r="5" spans="1:21" s="3" customFormat="1" ht="12.75" x14ac:dyDescent="0.2">
      <c r="A5" s="53" t="s">
        <v>37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4" t="s">
        <v>38</v>
      </c>
      <c r="P5" s="54"/>
      <c r="Q5" s="50">
        <v>44392</v>
      </c>
      <c r="R5" s="50"/>
      <c r="S5" s="50"/>
    </row>
    <row r="6" spans="1:21" s="3" customFormat="1" ht="12.75" customHeight="1" x14ac:dyDescent="0.2">
      <c r="A6" s="51" t="s">
        <v>0</v>
      </c>
      <c r="B6" s="51" t="s">
        <v>1</v>
      </c>
      <c r="C6" s="51" t="s">
        <v>2</v>
      </c>
      <c r="D6" s="51" t="s">
        <v>54</v>
      </c>
      <c r="E6" s="51" t="s">
        <v>3</v>
      </c>
      <c r="F6" s="51" t="s">
        <v>4</v>
      </c>
      <c r="G6" s="51" t="s">
        <v>55</v>
      </c>
      <c r="H6" s="51"/>
      <c r="I6" s="51"/>
      <c r="J6" s="51"/>
      <c r="K6" s="51" t="s">
        <v>56</v>
      </c>
      <c r="L6" s="51" t="s">
        <v>57</v>
      </c>
      <c r="M6" s="51" t="s">
        <v>58</v>
      </c>
      <c r="N6" s="51" t="s">
        <v>59</v>
      </c>
      <c r="O6" s="49" t="s">
        <v>60</v>
      </c>
      <c r="P6" s="51" t="s">
        <v>61</v>
      </c>
      <c r="Q6" s="51" t="s">
        <v>62</v>
      </c>
      <c r="R6" s="51" t="s">
        <v>135</v>
      </c>
      <c r="S6" s="51" t="s">
        <v>63</v>
      </c>
    </row>
    <row r="7" spans="1:21" s="3" customFormat="1" ht="48.75" customHeight="1" x14ac:dyDescent="0.2">
      <c r="A7" s="51"/>
      <c r="B7" s="51"/>
      <c r="C7" s="51"/>
      <c r="D7" s="51"/>
      <c r="E7" s="51"/>
      <c r="F7" s="51"/>
      <c r="G7" s="10" t="s">
        <v>64</v>
      </c>
      <c r="H7" s="10" t="s">
        <v>320</v>
      </c>
      <c r="I7" s="10" t="s">
        <v>65</v>
      </c>
      <c r="J7" s="10" t="s">
        <v>66</v>
      </c>
      <c r="K7" s="51"/>
      <c r="L7" s="51"/>
      <c r="M7" s="51"/>
      <c r="N7" s="51"/>
      <c r="O7" s="49"/>
      <c r="P7" s="51"/>
      <c r="Q7" s="51"/>
      <c r="R7" s="51"/>
      <c r="S7" s="51"/>
    </row>
    <row r="8" spans="1:21" ht="30" customHeight="1" x14ac:dyDescent="0.25">
      <c r="A8" s="11">
        <v>1</v>
      </c>
      <c r="B8" s="31" t="s">
        <v>31</v>
      </c>
      <c r="C8" s="31" t="s">
        <v>49</v>
      </c>
      <c r="D8" s="28" t="s">
        <v>5</v>
      </c>
      <c r="E8" s="31" t="s">
        <v>50</v>
      </c>
      <c r="F8" s="31" t="s">
        <v>8</v>
      </c>
      <c r="G8" s="14">
        <v>8000</v>
      </c>
      <c r="H8" s="14">
        <v>8000</v>
      </c>
      <c r="I8" s="16">
        <f t="shared" ref="I8:I31" si="0">H8/G8</f>
        <v>1</v>
      </c>
      <c r="J8" s="12" t="s">
        <v>67</v>
      </c>
      <c r="K8" s="14" t="s">
        <v>77</v>
      </c>
      <c r="L8" s="13" t="s">
        <v>68</v>
      </c>
      <c r="M8" s="29">
        <v>44036</v>
      </c>
      <c r="N8" s="29">
        <f t="shared" ref="N8:N31" si="1">M8+364</f>
        <v>44400</v>
      </c>
      <c r="O8" s="16">
        <f t="shared" ref="O8:O39" ca="1" si="2">(TODAY()-M8)/(N8-M8)</f>
        <v>1.1730769230769231</v>
      </c>
      <c r="P8" s="32">
        <f t="shared" ref="P8:P39" ca="1" si="3">N8-TODAY()</f>
        <v>-63</v>
      </c>
      <c r="Q8" s="30" t="s">
        <v>7</v>
      </c>
      <c r="R8" s="32" t="s">
        <v>78</v>
      </c>
      <c r="S8" s="31" t="s">
        <v>79</v>
      </c>
      <c r="T8" s="38"/>
      <c r="U8" s="37"/>
    </row>
    <row r="9" spans="1:21" ht="30" customHeight="1" x14ac:dyDescent="0.25">
      <c r="A9" s="11">
        <v>2</v>
      </c>
      <c r="B9" s="11" t="s">
        <v>32</v>
      </c>
      <c r="C9" s="11" t="s">
        <v>33</v>
      </c>
      <c r="D9" s="31" t="s">
        <v>7</v>
      </c>
      <c r="E9" s="11" t="s">
        <v>34</v>
      </c>
      <c r="F9" s="11" t="s">
        <v>11</v>
      </c>
      <c r="G9" s="12">
        <v>12000</v>
      </c>
      <c r="H9" s="14">
        <v>11530</v>
      </c>
      <c r="I9" s="16">
        <f t="shared" si="0"/>
        <v>0.96083333333333332</v>
      </c>
      <c r="J9" s="12" t="s">
        <v>67</v>
      </c>
      <c r="K9" s="14" t="s">
        <v>77</v>
      </c>
      <c r="L9" s="13" t="s">
        <v>68</v>
      </c>
      <c r="M9" s="29">
        <v>44038</v>
      </c>
      <c r="N9" s="29">
        <f t="shared" si="1"/>
        <v>44402</v>
      </c>
      <c r="O9" s="16">
        <f t="shared" ca="1" si="2"/>
        <v>1.1675824175824177</v>
      </c>
      <c r="P9" s="32">
        <f t="shared" ca="1" si="3"/>
        <v>-61</v>
      </c>
      <c r="Q9" s="32" t="s">
        <v>7</v>
      </c>
      <c r="R9" s="32" t="s">
        <v>80</v>
      </c>
      <c r="S9" s="36" t="s">
        <v>81</v>
      </c>
      <c r="T9" s="38"/>
      <c r="U9" s="37"/>
    </row>
    <row r="10" spans="1:21" ht="30" customHeight="1" x14ac:dyDescent="0.25">
      <c r="A10" s="11">
        <v>3</v>
      </c>
      <c r="B10" s="11" t="s">
        <v>82</v>
      </c>
      <c r="C10" s="11" t="s">
        <v>83</v>
      </c>
      <c r="D10" s="11" t="s">
        <v>15</v>
      </c>
      <c r="E10" s="11" t="s">
        <v>84</v>
      </c>
      <c r="F10" s="11" t="s">
        <v>6</v>
      </c>
      <c r="G10" s="12">
        <v>5100</v>
      </c>
      <c r="H10" s="14">
        <v>3805</v>
      </c>
      <c r="I10" s="16">
        <f t="shared" si="0"/>
        <v>0.74607843137254903</v>
      </c>
      <c r="J10" s="12" t="s">
        <v>67</v>
      </c>
      <c r="K10" s="14" t="s">
        <v>77</v>
      </c>
      <c r="L10" s="13" t="s">
        <v>68</v>
      </c>
      <c r="M10" s="29">
        <v>44044</v>
      </c>
      <c r="N10" s="29">
        <f t="shared" si="1"/>
        <v>44408</v>
      </c>
      <c r="O10" s="16">
        <f t="shared" ca="1" si="2"/>
        <v>1.151098901098901</v>
      </c>
      <c r="P10" s="32">
        <f t="shared" ca="1" si="3"/>
        <v>-55</v>
      </c>
      <c r="Q10" s="30" t="s">
        <v>7</v>
      </c>
      <c r="R10" s="32" t="s">
        <v>85</v>
      </c>
      <c r="S10" s="31" t="s">
        <v>86</v>
      </c>
      <c r="T10" s="38"/>
    </row>
    <row r="11" spans="1:21" ht="30" customHeight="1" x14ac:dyDescent="0.25">
      <c r="A11" s="11">
        <v>4</v>
      </c>
      <c r="B11" s="11" t="s">
        <v>87</v>
      </c>
      <c r="C11" s="11" t="s">
        <v>88</v>
      </c>
      <c r="D11" s="11" t="s">
        <v>15</v>
      </c>
      <c r="E11" s="11" t="s">
        <v>84</v>
      </c>
      <c r="F11" s="11" t="s">
        <v>6</v>
      </c>
      <c r="G11" s="12">
        <v>2137</v>
      </c>
      <c r="H11" s="14">
        <v>723</v>
      </c>
      <c r="I11" s="16">
        <f t="shared" si="0"/>
        <v>0.3383247543284979</v>
      </c>
      <c r="J11" s="12" t="s">
        <v>67</v>
      </c>
      <c r="K11" s="14" t="s">
        <v>77</v>
      </c>
      <c r="L11" s="13" t="s">
        <v>68</v>
      </c>
      <c r="M11" s="29">
        <v>44044</v>
      </c>
      <c r="N11" s="29">
        <f t="shared" si="1"/>
        <v>44408</v>
      </c>
      <c r="O11" s="16">
        <f t="shared" ca="1" si="2"/>
        <v>1.151098901098901</v>
      </c>
      <c r="P11" s="32">
        <f t="shared" ca="1" si="3"/>
        <v>-55</v>
      </c>
      <c r="Q11" s="30" t="s">
        <v>7</v>
      </c>
      <c r="R11" s="32" t="s">
        <v>85</v>
      </c>
      <c r="S11" s="31" t="s">
        <v>89</v>
      </c>
      <c r="T11" s="38"/>
    </row>
    <row r="12" spans="1:21" ht="30" customHeight="1" x14ac:dyDescent="0.25">
      <c r="A12" s="11">
        <v>5</v>
      </c>
      <c r="B12" s="11" t="s">
        <v>30</v>
      </c>
      <c r="C12" s="11" t="s">
        <v>90</v>
      </c>
      <c r="D12" s="11" t="s">
        <v>7</v>
      </c>
      <c r="E12" s="31" t="s">
        <v>91</v>
      </c>
      <c r="F12" s="31" t="s">
        <v>10</v>
      </c>
      <c r="G12" s="12">
        <v>6240</v>
      </c>
      <c r="H12" s="12">
        <v>2279</v>
      </c>
      <c r="I12" s="16">
        <f t="shared" si="0"/>
        <v>0.36522435897435895</v>
      </c>
      <c r="J12" s="12" t="s">
        <v>67</v>
      </c>
      <c r="K12" s="14" t="s">
        <v>92</v>
      </c>
      <c r="L12" s="13" t="s">
        <v>93</v>
      </c>
      <c r="M12" s="29">
        <v>44088</v>
      </c>
      <c r="N12" s="29">
        <f t="shared" si="1"/>
        <v>44452</v>
      </c>
      <c r="O12" s="16">
        <f t="shared" ca="1" si="2"/>
        <v>1.0302197802197801</v>
      </c>
      <c r="P12" s="32">
        <f t="shared" ca="1" si="3"/>
        <v>-11</v>
      </c>
      <c r="Q12" s="30" t="s">
        <v>7</v>
      </c>
      <c r="R12" s="32" t="s">
        <v>94</v>
      </c>
      <c r="S12" s="31" t="s">
        <v>95</v>
      </c>
      <c r="T12" s="38"/>
    </row>
    <row r="13" spans="1:21" ht="30" customHeight="1" x14ac:dyDescent="0.25">
      <c r="A13" s="11">
        <v>6</v>
      </c>
      <c r="B13" s="15" t="s">
        <v>96</v>
      </c>
      <c r="C13" s="15" t="s">
        <v>97</v>
      </c>
      <c r="D13" s="28" t="s">
        <v>7</v>
      </c>
      <c r="E13" s="11" t="s">
        <v>98</v>
      </c>
      <c r="F13" s="11" t="s">
        <v>106</v>
      </c>
      <c r="G13" s="12">
        <v>72000</v>
      </c>
      <c r="H13" s="14">
        <v>38226</v>
      </c>
      <c r="I13" s="16">
        <f t="shared" si="0"/>
        <v>0.5309166666666667</v>
      </c>
      <c r="J13" s="12" t="s">
        <v>67</v>
      </c>
      <c r="K13" s="14" t="s">
        <v>92</v>
      </c>
      <c r="L13" s="13" t="s">
        <v>93</v>
      </c>
      <c r="M13" s="29">
        <v>44088</v>
      </c>
      <c r="N13" s="29">
        <f t="shared" si="1"/>
        <v>44452</v>
      </c>
      <c r="O13" s="16">
        <f t="shared" ca="1" si="2"/>
        <v>1.0302197802197801</v>
      </c>
      <c r="P13" s="32">
        <f t="shared" ca="1" si="3"/>
        <v>-11</v>
      </c>
      <c r="Q13" s="30" t="s">
        <v>7</v>
      </c>
      <c r="R13" s="32" t="s">
        <v>94</v>
      </c>
      <c r="S13" s="31" t="s">
        <v>99</v>
      </c>
      <c r="T13" s="38"/>
    </row>
    <row r="14" spans="1:21" ht="30" customHeight="1" x14ac:dyDescent="0.25">
      <c r="A14" s="11">
        <v>7</v>
      </c>
      <c r="B14" s="11" t="s">
        <v>100</v>
      </c>
      <c r="C14" s="11" t="s">
        <v>101</v>
      </c>
      <c r="D14" s="11" t="s">
        <v>5</v>
      </c>
      <c r="E14" s="11" t="s">
        <v>102</v>
      </c>
      <c r="F14" s="11" t="s">
        <v>6</v>
      </c>
      <c r="G14" s="12">
        <v>2500</v>
      </c>
      <c r="H14" s="11">
        <v>669</v>
      </c>
      <c r="I14" s="16">
        <f t="shared" si="0"/>
        <v>0.2676</v>
      </c>
      <c r="J14" s="12" t="s">
        <v>67</v>
      </c>
      <c r="K14" s="14" t="s">
        <v>92</v>
      </c>
      <c r="L14" s="13" t="s">
        <v>93</v>
      </c>
      <c r="M14" s="29">
        <v>44088</v>
      </c>
      <c r="N14" s="29">
        <f t="shared" si="1"/>
        <v>44452</v>
      </c>
      <c r="O14" s="16">
        <f t="shared" ca="1" si="2"/>
        <v>1.0302197802197801</v>
      </c>
      <c r="P14" s="32">
        <f t="shared" ca="1" si="3"/>
        <v>-11</v>
      </c>
      <c r="Q14" s="30" t="s">
        <v>7</v>
      </c>
      <c r="R14" s="32" t="s">
        <v>94</v>
      </c>
      <c r="S14" s="31" t="s">
        <v>103</v>
      </c>
    </row>
    <row r="15" spans="1:21" ht="30" customHeight="1" x14ac:dyDescent="0.25">
      <c r="A15" s="11">
        <v>8</v>
      </c>
      <c r="B15" s="11" t="s">
        <v>39</v>
      </c>
      <c r="C15" s="11" t="s">
        <v>40</v>
      </c>
      <c r="D15" s="28" t="s">
        <v>5</v>
      </c>
      <c r="E15" s="11" t="s">
        <v>41</v>
      </c>
      <c r="F15" s="11" t="s">
        <v>14</v>
      </c>
      <c r="G15" s="12">
        <v>24650</v>
      </c>
      <c r="H15" s="14">
        <v>18550</v>
      </c>
      <c r="I15" s="16">
        <f t="shared" si="0"/>
        <v>0.75253549695740363</v>
      </c>
      <c r="J15" s="12" t="s">
        <v>70</v>
      </c>
      <c r="K15" s="14" t="s">
        <v>77</v>
      </c>
      <c r="L15" s="13" t="s">
        <v>68</v>
      </c>
      <c r="M15" s="29">
        <v>44092</v>
      </c>
      <c r="N15" s="29">
        <f t="shared" si="1"/>
        <v>44456</v>
      </c>
      <c r="O15" s="16">
        <f t="shared" ca="1" si="2"/>
        <v>1.0192307692307692</v>
      </c>
      <c r="P15" s="32">
        <f t="shared" ca="1" si="3"/>
        <v>-7</v>
      </c>
      <c r="Q15" s="30" t="s">
        <v>7</v>
      </c>
      <c r="R15" s="32" t="s">
        <v>85</v>
      </c>
      <c r="S15" s="31" t="s">
        <v>107</v>
      </c>
      <c r="U15" s="37"/>
    </row>
    <row r="16" spans="1:21" ht="30" customHeight="1" x14ac:dyDescent="0.25">
      <c r="A16" s="11">
        <v>9</v>
      </c>
      <c r="B16" s="11" t="s">
        <v>42</v>
      </c>
      <c r="C16" s="11" t="s">
        <v>43</v>
      </c>
      <c r="D16" s="28" t="s">
        <v>5</v>
      </c>
      <c r="E16" s="11" t="s">
        <v>44</v>
      </c>
      <c r="F16" s="11" t="s">
        <v>8</v>
      </c>
      <c r="G16" s="12">
        <v>6500000</v>
      </c>
      <c r="H16" s="14">
        <v>6475850</v>
      </c>
      <c r="I16" s="16">
        <f t="shared" si="0"/>
        <v>0.99628461538461544</v>
      </c>
      <c r="J16" s="12" t="s">
        <v>69</v>
      </c>
      <c r="K16" s="14" t="s">
        <v>77</v>
      </c>
      <c r="L16" s="13" t="s">
        <v>68</v>
      </c>
      <c r="M16" s="29">
        <v>44092</v>
      </c>
      <c r="N16" s="29">
        <f t="shared" si="1"/>
        <v>44456</v>
      </c>
      <c r="O16" s="16">
        <f t="shared" ca="1" si="2"/>
        <v>1.0192307692307692</v>
      </c>
      <c r="P16" s="32">
        <f t="shared" ca="1" si="3"/>
        <v>-7</v>
      </c>
      <c r="Q16" s="30" t="s">
        <v>7</v>
      </c>
      <c r="R16" s="32" t="s">
        <v>85</v>
      </c>
      <c r="S16" s="31" t="s">
        <v>108</v>
      </c>
    </row>
    <row r="17" spans="1:20 1025:1025" ht="30" customHeight="1" x14ac:dyDescent="0.25">
      <c r="A17" s="11">
        <v>10</v>
      </c>
      <c r="B17" s="11" t="s">
        <v>45</v>
      </c>
      <c r="C17" s="11" t="s">
        <v>46</v>
      </c>
      <c r="D17" s="28" t="s">
        <v>5</v>
      </c>
      <c r="E17" s="11" t="s">
        <v>9</v>
      </c>
      <c r="F17" s="11" t="s">
        <v>109</v>
      </c>
      <c r="G17" s="12">
        <v>2500000</v>
      </c>
      <c r="H17" s="14">
        <v>1145537</v>
      </c>
      <c r="I17" s="16">
        <f t="shared" si="0"/>
        <v>0.45821479999999998</v>
      </c>
      <c r="J17" s="12" t="s">
        <v>69</v>
      </c>
      <c r="K17" s="14" t="s">
        <v>92</v>
      </c>
      <c r="L17" s="13" t="s">
        <v>93</v>
      </c>
      <c r="M17" s="29">
        <v>44092</v>
      </c>
      <c r="N17" s="29">
        <f t="shared" si="1"/>
        <v>44456</v>
      </c>
      <c r="O17" s="16">
        <f t="shared" ca="1" si="2"/>
        <v>1.0192307692307692</v>
      </c>
      <c r="P17" s="32">
        <f t="shared" ca="1" si="3"/>
        <v>-7</v>
      </c>
      <c r="Q17" s="32" t="s">
        <v>7</v>
      </c>
      <c r="R17" s="32" t="s">
        <v>94</v>
      </c>
      <c r="S17" s="36" t="s">
        <v>110</v>
      </c>
    </row>
    <row r="18" spans="1:20 1025:1025" ht="30" customHeight="1" x14ac:dyDescent="0.25">
      <c r="A18" s="11">
        <v>11</v>
      </c>
      <c r="B18" s="19" t="s">
        <v>23</v>
      </c>
      <c r="C18" s="19" t="s">
        <v>24</v>
      </c>
      <c r="D18" s="19" t="s">
        <v>7</v>
      </c>
      <c r="E18" s="19" t="s">
        <v>19</v>
      </c>
      <c r="F18" s="19" t="s">
        <v>20</v>
      </c>
      <c r="G18" s="34">
        <v>30000000</v>
      </c>
      <c r="H18" s="34">
        <v>16030630</v>
      </c>
      <c r="I18" s="13">
        <f t="shared" si="0"/>
        <v>0.53435433333333338</v>
      </c>
      <c r="J18" s="12" t="s">
        <v>71</v>
      </c>
      <c r="K18" s="14" t="s">
        <v>92</v>
      </c>
      <c r="L18" s="13" t="s">
        <v>93</v>
      </c>
      <c r="M18" s="29">
        <v>44120</v>
      </c>
      <c r="N18" s="29">
        <f t="shared" si="1"/>
        <v>44484</v>
      </c>
      <c r="O18" s="16">
        <f t="shared" ca="1" si="2"/>
        <v>0.94230769230769229</v>
      </c>
      <c r="P18" s="32">
        <f t="shared" ca="1" si="3"/>
        <v>21</v>
      </c>
      <c r="Q18" s="32" t="s">
        <v>7</v>
      </c>
      <c r="R18" s="39" t="s">
        <v>94</v>
      </c>
      <c r="S18" s="40" t="s">
        <v>111</v>
      </c>
      <c r="AMK18"/>
    </row>
    <row r="19" spans="1:20 1025:1025" ht="30" customHeight="1" x14ac:dyDescent="0.25">
      <c r="A19" s="11">
        <v>12</v>
      </c>
      <c r="B19" s="11" t="s">
        <v>18</v>
      </c>
      <c r="C19" s="11" t="s">
        <v>25</v>
      </c>
      <c r="D19" s="28" t="s">
        <v>26</v>
      </c>
      <c r="E19" s="11" t="s">
        <v>19</v>
      </c>
      <c r="F19" s="11" t="s">
        <v>20</v>
      </c>
      <c r="G19" s="12">
        <v>4000000</v>
      </c>
      <c r="H19" s="12">
        <v>1666931</v>
      </c>
      <c r="I19" s="13">
        <f t="shared" si="0"/>
        <v>0.41673274999999999</v>
      </c>
      <c r="J19" s="12" t="s">
        <v>71</v>
      </c>
      <c r="K19" s="14" t="s">
        <v>92</v>
      </c>
      <c r="L19" s="13" t="s">
        <v>93</v>
      </c>
      <c r="M19" s="29">
        <v>44120</v>
      </c>
      <c r="N19" s="29">
        <f t="shared" si="1"/>
        <v>44484</v>
      </c>
      <c r="O19" s="16">
        <f t="shared" ca="1" si="2"/>
        <v>0.94230769230769229</v>
      </c>
      <c r="P19" s="32">
        <f t="shared" ca="1" si="3"/>
        <v>21</v>
      </c>
      <c r="Q19" s="32" t="s">
        <v>7</v>
      </c>
      <c r="R19" s="39" t="s">
        <v>94</v>
      </c>
      <c r="S19" s="40" t="s">
        <v>112</v>
      </c>
      <c r="AMK19"/>
    </row>
    <row r="20" spans="1:20 1025:1025" ht="30" customHeight="1" x14ac:dyDescent="0.25">
      <c r="A20" s="11">
        <v>13</v>
      </c>
      <c r="B20" s="11" t="s">
        <v>18</v>
      </c>
      <c r="C20" s="11" t="s">
        <v>27</v>
      </c>
      <c r="D20" s="28" t="s">
        <v>15</v>
      </c>
      <c r="E20" s="11" t="s">
        <v>19</v>
      </c>
      <c r="F20" s="11" t="s">
        <v>20</v>
      </c>
      <c r="G20" s="12">
        <v>10000000</v>
      </c>
      <c r="H20" s="12">
        <v>3687398</v>
      </c>
      <c r="I20" s="13">
        <f t="shared" si="0"/>
        <v>0.36873980000000001</v>
      </c>
      <c r="J20" s="12" t="s">
        <v>71</v>
      </c>
      <c r="K20" s="14" t="s">
        <v>92</v>
      </c>
      <c r="L20" s="13" t="s">
        <v>93</v>
      </c>
      <c r="M20" s="29">
        <v>44128</v>
      </c>
      <c r="N20" s="29">
        <f t="shared" si="1"/>
        <v>44492</v>
      </c>
      <c r="O20" s="16">
        <f t="shared" ca="1" si="2"/>
        <v>0.92032967032967028</v>
      </c>
      <c r="P20" s="32">
        <f t="shared" ca="1" si="3"/>
        <v>29</v>
      </c>
      <c r="Q20" s="30" t="s">
        <v>7</v>
      </c>
      <c r="R20" s="39" t="s">
        <v>94</v>
      </c>
      <c r="S20" s="40" t="s">
        <v>113</v>
      </c>
      <c r="AMK20"/>
    </row>
    <row r="21" spans="1:20 1025:1025" s="20" customFormat="1" ht="30" customHeight="1" x14ac:dyDescent="0.25">
      <c r="A21" s="11">
        <v>14</v>
      </c>
      <c r="B21" s="11" t="s">
        <v>22</v>
      </c>
      <c r="C21" s="11" t="s">
        <v>72</v>
      </c>
      <c r="D21" s="11" t="s">
        <v>5</v>
      </c>
      <c r="E21" s="11" t="s">
        <v>19</v>
      </c>
      <c r="F21" s="11" t="s">
        <v>20</v>
      </c>
      <c r="G21" s="12">
        <v>20000000</v>
      </c>
      <c r="H21" s="12">
        <v>7002000</v>
      </c>
      <c r="I21" s="13">
        <f t="shared" si="0"/>
        <v>0.35010000000000002</v>
      </c>
      <c r="J21" s="11" t="s">
        <v>71</v>
      </c>
      <c r="K21" s="14" t="s">
        <v>77</v>
      </c>
      <c r="L21" s="11" t="s">
        <v>68</v>
      </c>
      <c r="M21" s="15">
        <v>44161</v>
      </c>
      <c r="N21" s="15">
        <f t="shared" si="1"/>
        <v>44525</v>
      </c>
      <c r="O21" s="16">
        <f t="shared" ca="1" si="2"/>
        <v>0.82967032967032972</v>
      </c>
      <c r="P21" s="17">
        <f t="shared" ca="1" si="3"/>
        <v>62</v>
      </c>
      <c r="Q21" s="11" t="s">
        <v>7</v>
      </c>
      <c r="R21" s="42" t="s">
        <v>94</v>
      </c>
      <c r="S21" s="41" t="s">
        <v>137</v>
      </c>
    </row>
    <row r="22" spans="1:20 1025:1025" ht="30" customHeight="1" x14ac:dyDescent="0.25">
      <c r="A22" s="11">
        <v>15</v>
      </c>
      <c r="B22" s="21" t="s">
        <v>21</v>
      </c>
      <c r="C22" s="21" t="s">
        <v>48</v>
      </c>
      <c r="D22" s="22" t="s">
        <v>5</v>
      </c>
      <c r="E22" s="21" t="s">
        <v>19</v>
      </c>
      <c r="F22" s="21" t="s">
        <v>20</v>
      </c>
      <c r="G22" s="23">
        <v>10000000</v>
      </c>
      <c r="H22" s="23">
        <v>4047350</v>
      </c>
      <c r="I22" s="24">
        <f t="shared" si="0"/>
        <v>0.40473500000000001</v>
      </c>
      <c r="J22" s="23" t="s">
        <v>71</v>
      </c>
      <c r="K22" s="14" t="s">
        <v>77</v>
      </c>
      <c r="L22" s="24" t="s">
        <v>68</v>
      </c>
      <c r="M22" s="25">
        <v>44166</v>
      </c>
      <c r="N22" s="25">
        <f t="shared" si="1"/>
        <v>44530</v>
      </c>
      <c r="O22" s="26">
        <f t="shared" ca="1" si="2"/>
        <v>0.81593406593406592</v>
      </c>
      <c r="P22" s="17">
        <f t="shared" ca="1" si="3"/>
        <v>67</v>
      </c>
      <c r="Q22" s="27" t="s">
        <v>7</v>
      </c>
      <c r="R22" s="42" t="s">
        <v>94</v>
      </c>
      <c r="S22" s="43" t="s">
        <v>138</v>
      </c>
    </row>
    <row r="23" spans="1:20 1025:1025" ht="30" customHeight="1" x14ac:dyDescent="0.25">
      <c r="A23" s="11">
        <v>16</v>
      </c>
      <c r="B23" s="11" t="s">
        <v>18</v>
      </c>
      <c r="C23" s="11" t="s">
        <v>28</v>
      </c>
      <c r="D23" s="28" t="s">
        <v>5</v>
      </c>
      <c r="E23" s="11" t="s">
        <v>19</v>
      </c>
      <c r="F23" s="11" t="s">
        <v>20</v>
      </c>
      <c r="G23" s="12">
        <v>18000000</v>
      </c>
      <c r="H23" s="12">
        <v>1352689</v>
      </c>
      <c r="I23" s="13">
        <f t="shared" si="0"/>
        <v>7.5149388888888891E-2</v>
      </c>
      <c r="J23" s="12" t="s">
        <v>71</v>
      </c>
      <c r="K23" s="14" t="s">
        <v>77</v>
      </c>
      <c r="L23" s="13" t="s">
        <v>68</v>
      </c>
      <c r="M23" s="29">
        <v>44166</v>
      </c>
      <c r="N23" s="29">
        <f t="shared" si="1"/>
        <v>44530</v>
      </c>
      <c r="O23" s="16">
        <f t="shared" ca="1" si="2"/>
        <v>0.81593406593406592</v>
      </c>
      <c r="P23" s="17">
        <f t="shared" ca="1" si="3"/>
        <v>67</v>
      </c>
      <c r="Q23" s="30" t="s">
        <v>7</v>
      </c>
      <c r="R23" s="42" t="s">
        <v>94</v>
      </c>
      <c r="S23" s="40" t="s">
        <v>139</v>
      </c>
    </row>
    <row r="24" spans="1:20 1025:1025" ht="30" customHeight="1" x14ac:dyDescent="0.25">
      <c r="A24" s="11">
        <v>17</v>
      </c>
      <c r="B24" s="11" t="s">
        <v>114</v>
      </c>
      <c r="C24" s="11" t="s">
        <v>115</v>
      </c>
      <c r="D24" s="28" t="s">
        <v>7</v>
      </c>
      <c r="E24" s="11" t="s">
        <v>116</v>
      </c>
      <c r="F24" s="11" t="s">
        <v>11</v>
      </c>
      <c r="G24" s="12">
        <v>1700</v>
      </c>
      <c r="H24" s="11">
        <v>648</v>
      </c>
      <c r="I24" s="13">
        <f t="shared" si="0"/>
        <v>0.38117647058823528</v>
      </c>
      <c r="J24" s="12" t="s">
        <v>67</v>
      </c>
      <c r="K24" s="14" t="s">
        <v>92</v>
      </c>
      <c r="L24" s="13" t="s">
        <v>93</v>
      </c>
      <c r="M24" s="29">
        <v>44166</v>
      </c>
      <c r="N24" s="29">
        <f t="shared" si="1"/>
        <v>44530</v>
      </c>
      <c r="O24" s="16">
        <f t="shared" ca="1" si="2"/>
        <v>0.81593406593406592</v>
      </c>
      <c r="P24" s="32">
        <f t="shared" ca="1" si="3"/>
        <v>67</v>
      </c>
      <c r="Q24" s="30" t="s">
        <v>7</v>
      </c>
      <c r="R24" s="39" t="s">
        <v>117</v>
      </c>
      <c r="S24" s="40" t="s">
        <v>118</v>
      </c>
      <c r="AMK24"/>
    </row>
    <row r="25" spans="1:20 1025:1025" ht="30" customHeight="1" x14ac:dyDescent="0.25">
      <c r="A25" s="11">
        <v>18</v>
      </c>
      <c r="B25" s="11" t="s">
        <v>119</v>
      </c>
      <c r="C25" s="11" t="s">
        <v>120</v>
      </c>
      <c r="D25" s="41" t="s">
        <v>5</v>
      </c>
      <c r="E25" s="11" t="s">
        <v>121</v>
      </c>
      <c r="F25" s="11" t="s">
        <v>10</v>
      </c>
      <c r="G25" s="11">
        <v>600</v>
      </c>
      <c r="H25" s="12">
        <v>425</v>
      </c>
      <c r="I25" s="13">
        <f t="shared" si="0"/>
        <v>0.70833333333333337</v>
      </c>
      <c r="J25" s="12" t="s">
        <v>67</v>
      </c>
      <c r="K25" s="14" t="s">
        <v>92</v>
      </c>
      <c r="L25" s="13" t="s">
        <v>93</v>
      </c>
      <c r="M25" s="29">
        <v>44166</v>
      </c>
      <c r="N25" s="29">
        <f t="shared" si="1"/>
        <v>44530</v>
      </c>
      <c r="O25" s="16">
        <f t="shared" ca="1" si="2"/>
        <v>0.81593406593406592</v>
      </c>
      <c r="P25" s="32">
        <f t="shared" ca="1" si="3"/>
        <v>67</v>
      </c>
      <c r="Q25" s="30" t="s">
        <v>7</v>
      </c>
      <c r="R25" s="39" t="s">
        <v>117</v>
      </c>
      <c r="S25" s="40" t="s">
        <v>122</v>
      </c>
      <c r="AMK25"/>
    </row>
    <row r="26" spans="1:20 1025:1025" ht="30" customHeight="1" x14ac:dyDescent="0.25">
      <c r="A26" s="11">
        <v>19</v>
      </c>
      <c r="B26" s="11" t="s">
        <v>123</v>
      </c>
      <c r="C26" s="11" t="s">
        <v>124</v>
      </c>
      <c r="D26" s="41" t="s">
        <v>5</v>
      </c>
      <c r="E26" s="11" t="s">
        <v>125</v>
      </c>
      <c r="F26" s="11" t="s">
        <v>6</v>
      </c>
      <c r="G26" s="12">
        <v>6000</v>
      </c>
      <c r="H26" s="12">
        <v>2115</v>
      </c>
      <c r="I26" s="13">
        <f t="shared" si="0"/>
        <v>0.35249999999999998</v>
      </c>
      <c r="J26" s="12" t="s">
        <v>67</v>
      </c>
      <c r="K26" s="14" t="s">
        <v>92</v>
      </c>
      <c r="L26" s="13" t="s">
        <v>93</v>
      </c>
      <c r="M26" s="29">
        <v>44166</v>
      </c>
      <c r="N26" s="29">
        <f t="shared" si="1"/>
        <v>44530</v>
      </c>
      <c r="O26" s="16">
        <f t="shared" ca="1" si="2"/>
        <v>0.81593406593406592</v>
      </c>
      <c r="P26" s="32">
        <f t="shared" ca="1" si="3"/>
        <v>67</v>
      </c>
      <c r="Q26" s="30" t="s">
        <v>7</v>
      </c>
      <c r="R26" s="39" t="s">
        <v>117</v>
      </c>
      <c r="S26" s="40" t="s">
        <v>126</v>
      </c>
      <c r="AMK26"/>
    </row>
    <row r="27" spans="1:20 1025:1025" ht="30" customHeight="1" x14ac:dyDescent="0.25">
      <c r="A27" s="11">
        <v>20</v>
      </c>
      <c r="B27" s="11" t="s">
        <v>127</v>
      </c>
      <c r="C27" s="11" t="s">
        <v>128</v>
      </c>
      <c r="D27" s="11" t="s">
        <v>5</v>
      </c>
      <c r="E27" s="11" t="s">
        <v>129</v>
      </c>
      <c r="F27" s="11" t="s">
        <v>130</v>
      </c>
      <c r="G27" s="12">
        <v>2000</v>
      </c>
      <c r="H27" s="12">
        <v>998</v>
      </c>
      <c r="I27" s="13">
        <f t="shared" si="0"/>
        <v>0.499</v>
      </c>
      <c r="J27" s="12" t="s">
        <v>67</v>
      </c>
      <c r="K27" s="14" t="s">
        <v>92</v>
      </c>
      <c r="L27" s="13" t="s">
        <v>93</v>
      </c>
      <c r="M27" s="29">
        <v>44166</v>
      </c>
      <c r="N27" s="29">
        <f t="shared" si="1"/>
        <v>44530</v>
      </c>
      <c r="O27" s="16">
        <f t="shared" ca="1" si="2"/>
        <v>0.81593406593406592</v>
      </c>
      <c r="P27" s="32">
        <f t="shared" ca="1" si="3"/>
        <v>67</v>
      </c>
      <c r="Q27" s="30" t="s">
        <v>7</v>
      </c>
      <c r="R27" s="39" t="s">
        <v>117</v>
      </c>
      <c r="S27" s="40" t="s">
        <v>131</v>
      </c>
      <c r="AMK27"/>
    </row>
    <row r="28" spans="1:20 1025:1025" ht="30" customHeight="1" x14ac:dyDescent="0.25">
      <c r="A28" s="11">
        <v>21</v>
      </c>
      <c r="B28" s="11" t="s">
        <v>132</v>
      </c>
      <c r="C28" s="11" t="s">
        <v>133</v>
      </c>
      <c r="D28" s="31" t="s">
        <v>7</v>
      </c>
      <c r="E28" s="31" t="s">
        <v>239</v>
      </c>
      <c r="F28" s="31" t="s">
        <v>10</v>
      </c>
      <c r="G28" s="12">
        <v>9000</v>
      </c>
      <c r="H28" s="12">
        <v>2679</v>
      </c>
      <c r="I28" s="13">
        <f t="shared" si="0"/>
        <v>0.29766666666666669</v>
      </c>
      <c r="J28" s="12" t="s">
        <v>67</v>
      </c>
      <c r="K28" s="14" t="s">
        <v>92</v>
      </c>
      <c r="L28" s="13" t="s">
        <v>93</v>
      </c>
      <c r="M28" s="29">
        <v>44166</v>
      </c>
      <c r="N28" s="29">
        <f t="shared" si="1"/>
        <v>44530</v>
      </c>
      <c r="O28" s="16">
        <f t="shared" ca="1" si="2"/>
        <v>0.81593406593406592</v>
      </c>
      <c r="P28" s="32">
        <f t="shared" ca="1" si="3"/>
        <v>67</v>
      </c>
      <c r="Q28" s="30" t="s">
        <v>7</v>
      </c>
      <c r="R28" s="39" t="s">
        <v>117</v>
      </c>
      <c r="S28" s="40" t="s">
        <v>134</v>
      </c>
      <c r="T28" s="38"/>
      <c r="AMK28"/>
    </row>
    <row r="29" spans="1:20 1025:1025" ht="30" customHeight="1" x14ac:dyDescent="0.25">
      <c r="A29" s="11">
        <v>22</v>
      </c>
      <c r="B29" s="11" t="s">
        <v>140</v>
      </c>
      <c r="C29" s="11" t="s">
        <v>141</v>
      </c>
      <c r="D29" s="11" t="s">
        <v>5</v>
      </c>
      <c r="E29" s="11" t="s">
        <v>142</v>
      </c>
      <c r="F29" s="11" t="s">
        <v>10</v>
      </c>
      <c r="G29" s="11">
        <v>800</v>
      </c>
      <c r="H29" s="12">
        <v>501</v>
      </c>
      <c r="I29" s="13">
        <f t="shared" si="0"/>
        <v>0.62624999999999997</v>
      </c>
      <c r="J29" s="12" t="s">
        <v>67</v>
      </c>
      <c r="K29" s="14" t="s">
        <v>92</v>
      </c>
      <c r="L29" s="13" t="s">
        <v>93</v>
      </c>
      <c r="M29" s="29">
        <v>44167</v>
      </c>
      <c r="N29" s="29">
        <f t="shared" si="1"/>
        <v>44531</v>
      </c>
      <c r="O29" s="16">
        <f t="shared" ca="1" si="2"/>
        <v>0.81318681318681318</v>
      </c>
      <c r="P29" s="32">
        <f t="shared" ca="1" si="3"/>
        <v>68</v>
      </c>
      <c r="Q29" s="30" t="s">
        <v>7</v>
      </c>
      <c r="R29" s="39" t="s">
        <v>143</v>
      </c>
      <c r="S29" s="40" t="s">
        <v>144</v>
      </c>
      <c r="AMK29"/>
    </row>
    <row r="30" spans="1:20 1025:1025" ht="30" customHeight="1" x14ac:dyDescent="0.25">
      <c r="A30" s="11">
        <v>23</v>
      </c>
      <c r="B30" s="11" t="s">
        <v>140</v>
      </c>
      <c r="C30" s="11" t="s">
        <v>145</v>
      </c>
      <c r="D30" s="11" t="s">
        <v>146</v>
      </c>
      <c r="E30" s="11" t="s">
        <v>147</v>
      </c>
      <c r="F30" s="11" t="s">
        <v>10</v>
      </c>
      <c r="G30" s="44">
        <v>1905.41</v>
      </c>
      <c r="H30" s="12">
        <v>919</v>
      </c>
      <c r="I30" s="13">
        <f t="shared" si="0"/>
        <v>0.48231089371841229</v>
      </c>
      <c r="J30" s="12" t="s">
        <v>67</v>
      </c>
      <c r="K30" s="14" t="s">
        <v>92</v>
      </c>
      <c r="L30" s="13" t="s">
        <v>93</v>
      </c>
      <c r="M30" s="29">
        <v>44167</v>
      </c>
      <c r="N30" s="29">
        <f t="shared" si="1"/>
        <v>44531</v>
      </c>
      <c r="O30" s="16">
        <f t="shared" ca="1" si="2"/>
        <v>0.81318681318681318</v>
      </c>
      <c r="P30" s="32">
        <f t="shared" ca="1" si="3"/>
        <v>68</v>
      </c>
      <c r="Q30" s="30" t="s">
        <v>7</v>
      </c>
      <c r="R30" s="39" t="s">
        <v>143</v>
      </c>
      <c r="S30" s="40" t="s">
        <v>148</v>
      </c>
      <c r="AMK30"/>
    </row>
    <row r="31" spans="1:20 1025:1025" ht="30" customHeight="1" x14ac:dyDescent="0.25">
      <c r="A31" s="11">
        <v>24</v>
      </c>
      <c r="B31" s="11" t="s">
        <v>149</v>
      </c>
      <c r="C31" s="11" t="s">
        <v>150</v>
      </c>
      <c r="D31" s="11" t="s">
        <v>151</v>
      </c>
      <c r="E31" s="11" t="s">
        <v>152</v>
      </c>
      <c r="F31" s="11" t="s">
        <v>130</v>
      </c>
      <c r="G31" s="12">
        <v>1200</v>
      </c>
      <c r="H31" s="12">
        <v>0</v>
      </c>
      <c r="I31" s="13">
        <f t="shared" si="0"/>
        <v>0</v>
      </c>
      <c r="J31" s="12" t="s">
        <v>67</v>
      </c>
      <c r="K31" s="14" t="s">
        <v>92</v>
      </c>
      <c r="L31" s="13" t="s">
        <v>93</v>
      </c>
      <c r="M31" s="29">
        <v>44167</v>
      </c>
      <c r="N31" s="29">
        <f t="shared" si="1"/>
        <v>44531</v>
      </c>
      <c r="O31" s="16">
        <f t="shared" ca="1" si="2"/>
        <v>0.81318681318681318</v>
      </c>
      <c r="P31" s="32">
        <f t="shared" ca="1" si="3"/>
        <v>68</v>
      </c>
      <c r="Q31" s="30" t="s">
        <v>7</v>
      </c>
      <c r="R31" s="39" t="s">
        <v>143</v>
      </c>
      <c r="S31" s="40" t="s">
        <v>153</v>
      </c>
      <c r="AMK31"/>
    </row>
    <row r="32" spans="1:20 1025:1025" ht="30" customHeight="1" x14ac:dyDescent="0.25">
      <c r="A32" s="11">
        <v>25</v>
      </c>
      <c r="B32" s="11" t="s">
        <v>12</v>
      </c>
      <c r="C32" s="11" t="s">
        <v>154</v>
      </c>
      <c r="D32" s="41" t="s">
        <v>15</v>
      </c>
      <c r="E32" s="11" t="s">
        <v>155</v>
      </c>
      <c r="F32" s="11" t="s">
        <v>11</v>
      </c>
      <c r="G32" s="12" t="s">
        <v>200</v>
      </c>
      <c r="H32" s="12">
        <v>9421</v>
      </c>
      <c r="I32" s="13">
        <v>0.71</v>
      </c>
      <c r="J32" s="12" t="s">
        <v>67</v>
      </c>
      <c r="K32" s="14" t="s">
        <v>92</v>
      </c>
      <c r="L32" s="13" t="s">
        <v>156</v>
      </c>
      <c r="M32" s="29">
        <v>44210</v>
      </c>
      <c r="N32" s="29">
        <f>M32+180+180</f>
        <v>44570</v>
      </c>
      <c r="O32" s="16">
        <f t="shared" ca="1" si="2"/>
        <v>0.70277777777777772</v>
      </c>
      <c r="P32" s="32">
        <f t="shared" ca="1" si="3"/>
        <v>107</v>
      </c>
      <c r="Q32" s="30" t="s">
        <v>151</v>
      </c>
      <c r="R32" s="39" t="s">
        <v>201</v>
      </c>
      <c r="S32" s="40" t="s">
        <v>240</v>
      </c>
      <c r="AMK32"/>
    </row>
    <row r="33" spans="1:19 1025:1025" ht="30" customHeight="1" x14ac:dyDescent="0.25">
      <c r="A33" s="11">
        <v>26</v>
      </c>
      <c r="B33" s="11" t="s">
        <v>158</v>
      </c>
      <c r="C33" s="11" t="s">
        <v>159</v>
      </c>
      <c r="D33" s="11" t="s">
        <v>7</v>
      </c>
      <c r="E33" s="11" t="s">
        <v>160</v>
      </c>
      <c r="F33" s="11" t="s">
        <v>161</v>
      </c>
      <c r="G33" s="12">
        <v>500000</v>
      </c>
      <c r="H33" s="12">
        <v>360685</v>
      </c>
      <c r="I33" s="13">
        <f t="shared" ref="I33:I80" si="4">H33/G33</f>
        <v>0.72136999999999996</v>
      </c>
      <c r="J33" s="12" t="s">
        <v>69</v>
      </c>
      <c r="K33" s="14" t="s">
        <v>92</v>
      </c>
      <c r="L33" s="13" t="s">
        <v>93</v>
      </c>
      <c r="M33" s="29">
        <v>44210</v>
      </c>
      <c r="N33" s="29">
        <f>M33+364</f>
        <v>44574</v>
      </c>
      <c r="O33" s="16">
        <f t="shared" ca="1" si="2"/>
        <v>0.69505494505494503</v>
      </c>
      <c r="P33" s="32">
        <f t="shared" ca="1" si="3"/>
        <v>111</v>
      </c>
      <c r="Q33" s="30" t="s">
        <v>7</v>
      </c>
      <c r="R33" s="39" t="s">
        <v>157</v>
      </c>
      <c r="S33" s="40" t="s">
        <v>162</v>
      </c>
      <c r="AMK33"/>
    </row>
    <row r="34" spans="1:19 1025:1025" ht="30" customHeight="1" x14ac:dyDescent="0.25">
      <c r="A34" s="11">
        <v>27</v>
      </c>
      <c r="B34" s="11" t="s">
        <v>163</v>
      </c>
      <c r="C34" s="11" t="s">
        <v>164</v>
      </c>
      <c r="D34" s="11" t="s">
        <v>5</v>
      </c>
      <c r="E34" s="11" t="s">
        <v>165</v>
      </c>
      <c r="F34" s="11" t="s">
        <v>130</v>
      </c>
      <c r="G34" s="12">
        <v>2530</v>
      </c>
      <c r="H34" s="12">
        <v>2516</v>
      </c>
      <c r="I34" s="16">
        <f t="shared" si="4"/>
        <v>0.99446640316205537</v>
      </c>
      <c r="J34" s="12" t="s">
        <v>67</v>
      </c>
      <c r="K34" s="14" t="s">
        <v>92</v>
      </c>
      <c r="L34" s="13" t="s">
        <v>156</v>
      </c>
      <c r="M34" s="29">
        <v>44257</v>
      </c>
      <c r="N34" s="29">
        <f>M34+180</f>
        <v>44437</v>
      </c>
      <c r="O34" s="16">
        <f t="shared" ca="1" si="2"/>
        <v>1.1444444444444444</v>
      </c>
      <c r="P34" s="32">
        <f t="shared" ca="1" si="3"/>
        <v>-26</v>
      </c>
      <c r="Q34" s="30" t="s">
        <v>151</v>
      </c>
      <c r="R34" s="39" t="s">
        <v>254</v>
      </c>
      <c r="S34" s="31" t="s">
        <v>241</v>
      </c>
      <c r="AMK34"/>
    </row>
    <row r="35" spans="1:19 1025:1025" ht="30" customHeight="1" x14ac:dyDescent="0.25">
      <c r="A35" s="11">
        <v>28</v>
      </c>
      <c r="B35" s="15" t="s">
        <v>167</v>
      </c>
      <c r="C35" s="11" t="s">
        <v>168</v>
      </c>
      <c r="D35" s="11" t="s">
        <v>7</v>
      </c>
      <c r="E35" s="11" t="s">
        <v>169</v>
      </c>
      <c r="F35" s="11" t="s">
        <v>106</v>
      </c>
      <c r="G35" s="12">
        <v>400000</v>
      </c>
      <c r="H35" s="14">
        <v>75850</v>
      </c>
      <c r="I35" s="16">
        <f t="shared" si="4"/>
        <v>0.18962499999999999</v>
      </c>
      <c r="J35" s="12" t="s">
        <v>67</v>
      </c>
      <c r="K35" s="14" t="s">
        <v>92</v>
      </c>
      <c r="L35" s="13" t="s">
        <v>93</v>
      </c>
      <c r="M35" s="29">
        <v>44257</v>
      </c>
      <c r="N35" s="29">
        <f t="shared" ref="N35:N55" si="5">M35+364</f>
        <v>44621</v>
      </c>
      <c r="O35" s="16">
        <f t="shared" ca="1" si="2"/>
        <v>0.56593406593406592</v>
      </c>
      <c r="P35" s="32">
        <f t="shared" ca="1" si="3"/>
        <v>158</v>
      </c>
      <c r="Q35" s="30" t="s">
        <v>7</v>
      </c>
      <c r="R35" s="39" t="s">
        <v>166</v>
      </c>
      <c r="S35" s="31" t="s">
        <v>170</v>
      </c>
    </row>
    <row r="36" spans="1:19 1025:1025" ht="30" customHeight="1" x14ac:dyDescent="0.25">
      <c r="A36" s="11">
        <v>29</v>
      </c>
      <c r="B36" s="11" t="s">
        <v>171</v>
      </c>
      <c r="C36" s="11" t="s">
        <v>172</v>
      </c>
      <c r="D36" s="11" t="s">
        <v>5</v>
      </c>
      <c r="E36" s="11" t="s">
        <v>173</v>
      </c>
      <c r="F36" s="11" t="s">
        <v>174</v>
      </c>
      <c r="G36" s="11">
        <v>300</v>
      </c>
      <c r="H36" s="11">
        <v>113</v>
      </c>
      <c r="I36" s="16">
        <f t="shared" si="4"/>
        <v>0.37666666666666665</v>
      </c>
      <c r="J36" s="12" t="s">
        <v>67</v>
      </c>
      <c r="K36" s="14" t="s">
        <v>92</v>
      </c>
      <c r="L36" s="13" t="s">
        <v>93</v>
      </c>
      <c r="M36" s="29">
        <v>44257</v>
      </c>
      <c r="N36" s="29">
        <f t="shared" si="5"/>
        <v>44621</v>
      </c>
      <c r="O36" s="16">
        <f t="shared" ca="1" si="2"/>
        <v>0.56593406593406592</v>
      </c>
      <c r="P36" s="32">
        <f t="shared" ca="1" si="3"/>
        <v>158</v>
      </c>
      <c r="Q36" s="30" t="s">
        <v>7</v>
      </c>
      <c r="R36" s="39" t="s">
        <v>166</v>
      </c>
      <c r="S36" s="31" t="s">
        <v>175</v>
      </c>
    </row>
    <row r="37" spans="1:19 1025:1025" ht="30" customHeight="1" x14ac:dyDescent="0.25">
      <c r="A37" s="11">
        <v>30</v>
      </c>
      <c r="B37" s="17" t="s">
        <v>176</v>
      </c>
      <c r="C37" s="17" t="s">
        <v>177</v>
      </c>
      <c r="D37" s="17" t="s">
        <v>7</v>
      </c>
      <c r="E37" s="17" t="s">
        <v>178</v>
      </c>
      <c r="F37" s="17" t="s">
        <v>174</v>
      </c>
      <c r="G37" s="45">
        <v>10440</v>
      </c>
      <c r="H37" s="12">
        <v>3817</v>
      </c>
      <c r="I37" s="16">
        <f t="shared" si="4"/>
        <v>0.36561302681992336</v>
      </c>
      <c r="J37" s="12" t="s">
        <v>67</v>
      </c>
      <c r="K37" s="14" t="s">
        <v>92</v>
      </c>
      <c r="L37" s="13" t="s">
        <v>93</v>
      </c>
      <c r="M37" s="29">
        <v>44257</v>
      </c>
      <c r="N37" s="29">
        <f t="shared" si="5"/>
        <v>44621</v>
      </c>
      <c r="O37" s="16">
        <f t="shared" ca="1" si="2"/>
        <v>0.56593406593406592</v>
      </c>
      <c r="P37" s="32">
        <f t="shared" ca="1" si="3"/>
        <v>158</v>
      </c>
      <c r="Q37" s="30" t="s">
        <v>7</v>
      </c>
      <c r="R37" s="39" t="s">
        <v>166</v>
      </c>
      <c r="S37" s="31" t="s">
        <v>179</v>
      </c>
    </row>
    <row r="38" spans="1:19 1025:1025" ht="30" customHeight="1" x14ac:dyDescent="0.25">
      <c r="A38" s="11">
        <v>31</v>
      </c>
      <c r="B38" s="11" t="s">
        <v>180</v>
      </c>
      <c r="C38" s="11" t="s">
        <v>181</v>
      </c>
      <c r="D38" s="11" t="s">
        <v>7</v>
      </c>
      <c r="E38" s="11" t="s">
        <v>182</v>
      </c>
      <c r="F38" s="11" t="s">
        <v>130</v>
      </c>
      <c r="G38" s="11">
        <v>800</v>
      </c>
      <c r="H38" s="11">
        <v>15</v>
      </c>
      <c r="I38" s="16">
        <f t="shared" si="4"/>
        <v>1.8749999999999999E-2</v>
      </c>
      <c r="J38" s="12" t="s">
        <v>67</v>
      </c>
      <c r="K38" s="14" t="s">
        <v>92</v>
      </c>
      <c r="L38" s="13" t="s">
        <v>93</v>
      </c>
      <c r="M38" s="29">
        <v>44257</v>
      </c>
      <c r="N38" s="29">
        <f t="shared" si="5"/>
        <v>44621</v>
      </c>
      <c r="O38" s="16">
        <f t="shared" ca="1" si="2"/>
        <v>0.56593406593406592</v>
      </c>
      <c r="P38" s="32">
        <f t="shared" ca="1" si="3"/>
        <v>158</v>
      </c>
      <c r="Q38" s="30" t="s">
        <v>7</v>
      </c>
      <c r="R38" s="39" t="s">
        <v>166</v>
      </c>
      <c r="S38" s="31" t="s">
        <v>183</v>
      </c>
    </row>
    <row r="39" spans="1:19 1025:1025" ht="30" customHeight="1" x14ac:dyDescent="0.25">
      <c r="A39" s="11">
        <v>32</v>
      </c>
      <c r="B39" s="11" t="s">
        <v>184</v>
      </c>
      <c r="C39" s="11" t="s">
        <v>185</v>
      </c>
      <c r="D39" s="11" t="s">
        <v>5</v>
      </c>
      <c r="E39" s="11" t="s">
        <v>84</v>
      </c>
      <c r="F39" s="11" t="s">
        <v>174</v>
      </c>
      <c r="G39" s="12">
        <v>1500</v>
      </c>
      <c r="H39" s="11">
        <v>218</v>
      </c>
      <c r="I39" s="16">
        <f t="shared" si="4"/>
        <v>0.14533333333333334</v>
      </c>
      <c r="J39" s="12" t="s">
        <v>67</v>
      </c>
      <c r="K39" s="14" t="s">
        <v>92</v>
      </c>
      <c r="L39" s="13" t="s">
        <v>93</v>
      </c>
      <c r="M39" s="29">
        <v>44257</v>
      </c>
      <c r="N39" s="29">
        <f t="shared" si="5"/>
        <v>44621</v>
      </c>
      <c r="O39" s="16">
        <f t="shared" ca="1" si="2"/>
        <v>0.56593406593406592</v>
      </c>
      <c r="P39" s="32">
        <f t="shared" ca="1" si="3"/>
        <v>158</v>
      </c>
      <c r="Q39" s="30" t="s">
        <v>7</v>
      </c>
      <c r="R39" s="39" t="s">
        <v>166</v>
      </c>
      <c r="S39" s="31" t="s">
        <v>186</v>
      </c>
    </row>
    <row r="40" spans="1:19 1025:1025" ht="30" customHeight="1" x14ac:dyDescent="0.25">
      <c r="A40" s="11">
        <v>33</v>
      </c>
      <c r="B40" s="11" t="s">
        <v>187</v>
      </c>
      <c r="C40" s="11" t="s">
        <v>188</v>
      </c>
      <c r="D40" s="11" t="s">
        <v>5</v>
      </c>
      <c r="E40" s="11" t="s">
        <v>189</v>
      </c>
      <c r="F40" s="11" t="s">
        <v>130</v>
      </c>
      <c r="G40" s="12">
        <v>30000</v>
      </c>
      <c r="H40" s="12">
        <v>2154</v>
      </c>
      <c r="I40" s="16">
        <f t="shared" si="4"/>
        <v>7.1800000000000003E-2</v>
      </c>
      <c r="J40" s="12" t="s">
        <v>67</v>
      </c>
      <c r="K40" s="14" t="s">
        <v>92</v>
      </c>
      <c r="L40" s="13" t="s">
        <v>93</v>
      </c>
      <c r="M40" s="29">
        <v>44257</v>
      </c>
      <c r="N40" s="29">
        <f t="shared" si="5"/>
        <v>44621</v>
      </c>
      <c r="O40" s="16">
        <f t="shared" ref="O40:O71" ca="1" si="6">(TODAY()-M40)/(N40-M40)</f>
        <v>0.56593406593406592</v>
      </c>
      <c r="P40" s="32">
        <f t="shared" ref="P40:P71" ca="1" si="7">N40-TODAY()</f>
        <v>158</v>
      </c>
      <c r="Q40" s="30" t="s">
        <v>7</v>
      </c>
      <c r="R40" s="39" t="s">
        <v>166</v>
      </c>
      <c r="S40" s="31" t="s">
        <v>190</v>
      </c>
    </row>
    <row r="41" spans="1:19 1025:1025" ht="30" customHeight="1" x14ac:dyDescent="0.25">
      <c r="A41" s="11">
        <v>34</v>
      </c>
      <c r="B41" s="11" t="s">
        <v>191</v>
      </c>
      <c r="C41" s="11" t="s">
        <v>192</v>
      </c>
      <c r="D41" s="11" t="s">
        <v>5</v>
      </c>
      <c r="E41" s="11" t="s">
        <v>152</v>
      </c>
      <c r="F41" s="11" t="s">
        <v>109</v>
      </c>
      <c r="G41" s="11">
        <v>300</v>
      </c>
      <c r="H41" s="11">
        <v>281</v>
      </c>
      <c r="I41" s="16">
        <f t="shared" si="4"/>
        <v>0.93666666666666665</v>
      </c>
      <c r="J41" s="12" t="s">
        <v>67</v>
      </c>
      <c r="K41" s="14" t="s">
        <v>92</v>
      </c>
      <c r="L41" s="13" t="s">
        <v>93</v>
      </c>
      <c r="M41" s="29">
        <v>44257</v>
      </c>
      <c r="N41" s="29">
        <f t="shared" si="5"/>
        <v>44621</v>
      </c>
      <c r="O41" s="16">
        <f t="shared" ca="1" si="6"/>
        <v>0.56593406593406592</v>
      </c>
      <c r="P41" s="32">
        <f t="shared" ca="1" si="7"/>
        <v>158</v>
      </c>
      <c r="Q41" s="30" t="s">
        <v>7</v>
      </c>
      <c r="R41" s="39" t="s">
        <v>166</v>
      </c>
      <c r="S41" s="31" t="s">
        <v>193</v>
      </c>
    </row>
    <row r="42" spans="1:19 1025:1025" ht="30" customHeight="1" x14ac:dyDescent="0.25">
      <c r="A42" s="11">
        <v>35</v>
      </c>
      <c r="B42" s="11" t="s">
        <v>191</v>
      </c>
      <c r="C42" s="11" t="s">
        <v>194</v>
      </c>
      <c r="D42" s="41" t="s">
        <v>13</v>
      </c>
      <c r="E42" s="11" t="s">
        <v>178</v>
      </c>
      <c r="F42" s="11" t="s">
        <v>109</v>
      </c>
      <c r="G42" s="11">
        <v>30</v>
      </c>
      <c r="H42" s="11">
        <v>0</v>
      </c>
      <c r="I42" s="16">
        <f t="shared" si="4"/>
        <v>0</v>
      </c>
      <c r="J42" s="12" t="s">
        <v>67</v>
      </c>
      <c r="K42" s="14" t="s">
        <v>92</v>
      </c>
      <c r="L42" s="13" t="s">
        <v>93</v>
      </c>
      <c r="M42" s="29">
        <v>44257</v>
      </c>
      <c r="N42" s="29">
        <f t="shared" si="5"/>
        <v>44621</v>
      </c>
      <c r="O42" s="16">
        <f t="shared" ca="1" si="6"/>
        <v>0.56593406593406592</v>
      </c>
      <c r="P42" s="32">
        <f t="shared" ca="1" si="7"/>
        <v>158</v>
      </c>
      <c r="Q42" s="30" t="s">
        <v>7</v>
      </c>
      <c r="R42" s="39" t="s">
        <v>166</v>
      </c>
      <c r="S42" s="31" t="s">
        <v>195</v>
      </c>
    </row>
    <row r="43" spans="1:19 1025:1025" ht="30" customHeight="1" x14ac:dyDescent="0.25">
      <c r="A43" s="11">
        <v>36</v>
      </c>
      <c r="B43" s="11" t="s">
        <v>31</v>
      </c>
      <c r="C43" s="11" t="s">
        <v>196</v>
      </c>
      <c r="D43" s="41" t="s">
        <v>13</v>
      </c>
      <c r="E43" s="11" t="s">
        <v>197</v>
      </c>
      <c r="F43" s="11" t="s">
        <v>198</v>
      </c>
      <c r="G43" s="12">
        <v>2000</v>
      </c>
      <c r="H43" s="14">
        <v>2000</v>
      </c>
      <c r="I43" s="16">
        <f t="shared" si="4"/>
        <v>1</v>
      </c>
      <c r="J43" s="12" t="s">
        <v>67</v>
      </c>
      <c r="K43" s="14" t="s">
        <v>92</v>
      </c>
      <c r="L43" s="13" t="s">
        <v>93</v>
      </c>
      <c r="M43" s="29">
        <v>44257</v>
      </c>
      <c r="N43" s="29">
        <f t="shared" si="5"/>
        <v>44621</v>
      </c>
      <c r="O43" s="16">
        <f t="shared" ca="1" si="6"/>
        <v>0.56593406593406592</v>
      </c>
      <c r="P43" s="32">
        <f t="shared" ca="1" si="7"/>
        <v>158</v>
      </c>
      <c r="Q43" s="30" t="s">
        <v>7</v>
      </c>
      <c r="R43" s="39" t="s">
        <v>166</v>
      </c>
      <c r="S43" s="31" t="s">
        <v>193</v>
      </c>
    </row>
    <row r="44" spans="1:19 1025:1025" ht="30" customHeight="1" x14ac:dyDescent="0.25">
      <c r="A44" s="11">
        <v>37</v>
      </c>
      <c r="B44" s="15" t="s">
        <v>31</v>
      </c>
      <c r="C44" s="15" t="s">
        <v>49</v>
      </c>
      <c r="D44" s="41" t="s">
        <v>26</v>
      </c>
      <c r="E44" s="11" t="s">
        <v>199</v>
      </c>
      <c r="F44" s="11" t="s">
        <v>198</v>
      </c>
      <c r="G44" s="11">
        <v>688</v>
      </c>
      <c r="H44" s="11">
        <v>242</v>
      </c>
      <c r="I44" s="16">
        <f t="shared" si="4"/>
        <v>0.35174418604651164</v>
      </c>
      <c r="J44" s="12" t="s">
        <v>67</v>
      </c>
      <c r="K44" s="14" t="s">
        <v>92</v>
      </c>
      <c r="L44" s="13" t="s">
        <v>93</v>
      </c>
      <c r="M44" s="29">
        <v>44257</v>
      </c>
      <c r="N44" s="29">
        <f t="shared" si="5"/>
        <v>44621</v>
      </c>
      <c r="O44" s="16">
        <f t="shared" ca="1" si="6"/>
        <v>0.56593406593406592</v>
      </c>
      <c r="P44" s="32">
        <f t="shared" ca="1" si="7"/>
        <v>158</v>
      </c>
      <c r="Q44" s="30" t="s">
        <v>7</v>
      </c>
      <c r="R44" s="39" t="s">
        <v>166</v>
      </c>
      <c r="S44" s="31" t="s">
        <v>195</v>
      </c>
    </row>
    <row r="45" spans="1:19 1025:1025" ht="30" customHeight="1" x14ac:dyDescent="0.25">
      <c r="A45" s="11">
        <v>38</v>
      </c>
      <c r="B45" s="11" t="s">
        <v>18</v>
      </c>
      <c r="C45" s="11" t="s">
        <v>104</v>
      </c>
      <c r="D45" s="41" t="s">
        <v>242</v>
      </c>
      <c r="E45" s="11" t="s">
        <v>19</v>
      </c>
      <c r="F45" s="11" t="s">
        <v>20</v>
      </c>
      <c r="G45" s="12">
        <v>20000000</v>
      </c>
      <c r="H45" s="11">
        <v>0</v>
      </c>
      <c r="I45" s="16">
        <f t="shared" si="4"/>
        <v>0</v>
      </c>
      <c r="J45" s="12" t="s">
        <v>71</v>
      </c>
      <c r="K45" s="14" t="s">
        <v>92</v>
      </c>
      <c r="L45" s="13" t="s">
        <v>93</v>
      </c>
      <c r="M45" s="29">
        <v>44287</v>
      </c>
      <c r="N45" s="29">
        <f t="shared" si="5"/>
        <v>44651</v>
      </c>
      <c r="O45" s="16">
        <f t="shared" ca="1" si="6"/>
        <v>0.48351648351648352</v>
      </c>
      <c r="P45" s="32">
        <f t="shared" ca="1" si="7"/>
        <v>188</v>
      </c>
      <c r="Q45" s="30" t="s">
        <v>7</v>
      </c>
      <c r="R45" s="32" t="s">
        <v>94</v>
      </c>
      <c r="S45" s="31" t="s">
        <v>105</v>
      </c>
    </row>
    <row r="46" spans="1:19 1025:1025" ht="30" customHeight="1" x14ac:dyDescent="0.25">
      <c r="A46" s="11">
        <v>39</v>
      </c>
      <c r="B46" s="11" t="s">
        <v>202</v>
      </c>
      <c r="C46" s="11" t="s">
        <v>203</v>
      </c>
      <c r="D46" s="11" t="s">
        <v>5</v>
      </c>
      <c r="E46" s="11" t="s">
        <v>204</v>
      </c>
      <c r="F46" s="11" t="s">
        <v>109</v>
      </c>
      <c r="G46" s="11">
        <v>200</v>
      </c>
      <c r="H46" s="11">
        <v>0</v>
      </c>
      <c r="I46" s="16">
        <f t="shared" si="4"/>
        <v>0</v>
      </c>
      <c r="J46" s="12" t="s">
        <v>67</v>
      </c>
      <c r="K46" s="14" t="s">
        <v>92</v>
      </c>
      <c r="L46" s="13" t="s">
        <v>93</v>
      </c>
      <c r="M46" s="29">
        <v>44287</v>
      </c>
      <c r="N46" s="29">
        <f t="shared" si="5"/>
        <v>44651</v>
      </c>
      <c r="O46" s="16">
        <f t="shared" ca="1" si="6"/>
        <v>0.48351648351648352</v>
      </c>
      <c r="P46" s="32">
        <f t="shared" ca="1" si="7"/>
        <v>188</v>
      </c>
      <c r="Q46" s="30" t="s">
        <v>7</v>
      </c>
      <c r="R46" s="39" t="s">
        <v>205</v>
      </c>
      <c r="S46" s="46" t="s">
        <v>206</v>
      </c>
    </row>
    <row r="47" spans="1:19 1025:1025" ht="33" customHeight="1" x14ac:dyDescent="0.25">
      <c r="A47" s="11">
        <v>40</v>
      </c>
      <c r="B47" s="11" t="s">
        <v>140</v>
      </c>
      <c r="C47" s="31" t="s">
        <v>207</v>
      </c>
      <c r="D47" s="11" t="s">
        <v>208</v>
      </c>
      <c r="E47" s="11" t="s">
        <v>147</v>
      </c>
      <c r="F47" s="11" t="s">
        <v>109</v>
      </c>
      <c r="G47" s="44">
        <v>141.22999999999999</v>
      </c>
      <c r="H47" s="12">
        <v>0</v>
      </c>
      <c r="I47" s="13">
        <f t="shared" si="4"/>
        <v>0</v>
      </c>
      <c r="J47" s="12" t="s">
        <v>67</v>
      </c>
      <c r="K47" s="14" t="s">
        <v>92</v>
      </c>
      <c r="L47" s="13" t="s">
        <v>93</v>
      </c>
      <c r="M47" s="29">
        <v>44287</v>
      </c>
      <c r="N47" s="29">
        <f t="shared" si="5"/>
        <v>44651</v>
      </c>
      <c r="O47" s="16">
        <f t="shared" ca="1" si="6"/>
        <v>0.48351648351648352</v>
      </c>
      <c r="P47" s="32">
        <f t="shared" ca="1" si="7"/>
        <v>188</v>
      </c>
      <c r="Q47" s="30" t="s">
        <v>7</v>
      </c>
      <c r="R47" s="39" t="s">
        <v>205</v>
      </c>
      <c r="S47" s="46" t="s">
        <v>209</v>
      </c>
    </row>
    <row r="48" spans="1:19 1025:1025" ht="30.75" customHeight="1" x14ac:dyDescent="0.25">
      <c r="A48" s="11">
        <v>41</v>
      </c>
      <c r="B48" s="11" t="s">
        <v>140</v>
      </c>
      <c r="C48" s="11" t="s">
        <v>210</v>
      </c>
      <c r="D48" s="41" t="s">
        <v>211</v>
      </c>
      <c r="E48" s="11" t="s">
        <v>147</v>
      </c>
      <c r="F48" s="11" t="s">
        <v>109</v>
      </c>
      <c r="G48" s="11">
        <v>67.2</v>
      </c>
      <c r="H48" s="11">
        <v>0</v>
      </c>
      <c r="I48" s="16">
        <f t="shared" si="4"/>
        <v>0</v>
      </c>
      <c r="J48" s="12" t="s">
        <v>67</v>
      </c>
      <c r="K48" s="14" t="s">
        <v>92</v>
      </c>
      <c r="L48" s="13" t="s">
        <v>93</v>
      </c>
      <c r="M48" s="29">
        <v>44287</v>
      </c>
      <c r="N48" s="29">
        <f t="shared" si="5"/>
        <v>44651</v>
      </c>
      <c r="O48" s="16">
        <f t="shared" ca="1" si="6"/>
        <v>0.48351648351648352</v>
      </c>
      <c r="P48" s="32">
        <f t="shared" ca="1" si="7"/>
        <v>188</v>
      </c>
      <c r="Q48" s="30" t="s">
        <v>7</v>
      </c>
      <c r="R48" s="39" t="s">
        <v>205</v>
      </c>
      <c r="S48" s="46" t="s">
        <v>212</v>
      </c>
    </row>
    <row r="49" spans="1:19" ht="30.75" customHeight="1" x14ac:dyDescent="0.25">
      <c r="A49" s="11">
        <v>42</v>
      </c>
      <c r="B49" s="11" t="s">
        <v>140</v>
      </c>
      <c r="C49" s="11" t="s">
        <v>213</v>
      </c>
      <c r="D49" s="41" t="s">
        <v>214</v>
      </c>
      <c r="E49" s="11" t="s">
        <v>215</v>
      </c>
      <c r="F49" s="11" t="s">
        <v>198</v>
      </c>
      <c r="G49" s="12">
        <v>1163</v>
      </c>
      <c r="H49" s="11">
        <v>165</v>
      </c>
      <c r="I49" s="16">
        <f t="shared" si="4"/>
        <v>0.14187446259673259</v>
      </c>
      <c r="J49" s="12" t="s">
        <v>67</v>
      </c>
      <c r="K49" s="14" t="s">
        <v>92</v>
      </c>
      <c r="L49" s="13" t="s">
        <v>93</v>
      </c>
      <c r="M49" s="29">
        <v>44287</v>
      </c>
      <c r="N49" s="29">
        <f t="shared" si="5"/>
        <v>44651</v>
      </c>
      <c r="O49" s="16">
        <f t="shared" ca="1" si="6"/>
        <v>0.48351648351648352</v>
      </c>
      <c r="P49" s="32">
        <f t="shared" ca="1" si="7"/>
        <v>188</v>
      </c>
      <c r="Q49" s="30" t="s">
        <v>7</v>
      </c>
      <c r="R49" s="39" t="s">
        <v>205</v>
      </c>
      <c r="S49" s="46" t="s">
        <v>216</v>
      </c>
    </row>
    <row r="50" spans="1:19" ht="30.75" customHeight="1" x14ac:dyDescent="0.25">
      <c r="A50" s="11">
        <v>43</v>
      </c>
      <c r="B50" s="21" t="s">
        <v>217</v>
      </c>
      <c r="C50" s="21" t="s">
        <v>218</v>
      </c>
      <c r="D50" s="11" t="s">
        <v>5</v>
      </c>
      <c r="E50" s="21" t="s">
        <v>219</v>
      </c>
      <c r="F50" s="21" t="s">
        <v>130</v>
      </c>
      <c r="G50" s="11">
        <v>67.2</v>
      </c>
      <c r="H50" s="11">
        <v>5</v>
      </c>
      <c r="I50" s="16">
        <f t="shared" si="4"/>
        <v>7.4404761904761904E-2</v>
      </c>
      <c r="J50" s="12" t="s">
        <v>67</v>
      </c>
      <c r="K50" s="14" t="s">
        <v>92</v>
      </c>
      <c r="L50" s="13" t="s">
        <v>93</v>
      </c>
      <c r="M50" s="29">
        <v>44287</v>
      </c>
      <c r="N50" s="29">
        <f t="shared" si="5"/>
        <v>44651</v>
      </c>
      <c r="O50" s="16">
        <f t="shared" ca="1" si="6"/>
        <v>0.48351648351648352</v>
      </c>
      <c r="P50" s="32">
        <f t="shared" ca="1" si="7"/>
        <v>188</v>
      </c>
      <c r="Q50" s="30" t="s">
        <v>7</v>
      </c>
      <c r="R50" s="39" t="s">
        <v>205</v>
      </c>
      <c r="S50" s="46" t="s">
        <v>220</v>
      </c>
    </row>
    <row r="51" spans="1:19" ht="30.75" customHeight="1" x14ac:dyDescent="0.25">
      <c r="A51" s="11">
        <v>44</v>
      </c>
      <c r="B51" s="11" t="s">
        <v>221</v>
      </c>
      <c r="C51" s="11" t="s">
        <v>222</v>
      </c>
      <c r="D51" s="28" t="s">
        <v>13</v>
      </c>
      <c r="E51" s="11" t="s">
        <v>223</v>
      </c>
      <c r="F51" s="11" t="s">
        <v>130</v>
      </c>
      <c r="G51" s="11">
        <v>840</v>
      </c>
      <c r="H51" s="11">
        <v>544</v>
      </c>
      <c r="I51" s="16">
        <f t="shared" si="4"/>
        <v>0.64761904761904765</v>
      </c>
      <c r="J51" s="12" t="s">
        <v>67</v>
      </c>
      <c r="K51" s="14" t="s">
        <v>92</v>
      </c>
      <c r="L51" s="13" t="s">
        <v>93</v>
      </c>
      <c r="M51" s="29">
        <v>44287</v>
      </c>
      <c r="N51" s="29">
        <f t="shared" si="5"/>
        <v>44651</v>
      </c>
      <c r="O51" s="16">
        <f t="shared" ca="1" si="6"/>
        <v>0.48351648351648352</v>
      </c>
      <c r="P51" s="32">
        <f t="shared" ca="1" si="7"/>
        <v>188</v>
      </c>
      <c r="Q51" s="30" t="s">
        <v>7</v>
      </c>
      <c r="R51" s="39" t="s">
        <v>205</v>
      </c>
      <c r="S51" s="46" t="s">
        <v>224</v>
      </c>
    </row>
    <row r="52" spans="1:19" ht="30.75" customHeight="1" x14ac:dyDescent="0.25">
      <c r="A52" s="11">
        <v>45</v>
      </c>
      <c r="B52" s="31" t="s">
        <v>225</v>
      </c>
      <c r="C52" s="31" t="s">
        <v>226</v>
      </c>
      <c r="D52" s="28" t="s">
        <v>5</v>
      </c>
      <c r="E52" s="31" t="s">
        <v>29</v>
      </c>
      <c r="F52" s="31" t="s">
        <v>130</v>
      </c>
      <c r="G52" s="14">
        <v>10000</v>
      </c>
      <c r="H52" s="12">
        <v>3988</v>
      </c>
      <c r="I52" s="16">
        <f t="shared" si="4"/>
        <v>0.39879999999999999</v>
      </c>
      <c r="J52" s="12" t="s">
        <v>67</v>
      </c>
      <c r="K52" s="14" t="s">
        <v>92</v>
      </c>
      <c r="L52" s="13" t="s">
        <v>93</v>
      </c>
      <c r="M52" s="29">
        <v>44287</v>
      </c>
      <c r="N52" s="29">
        <f t="shared" si="5"/>
        <v>44651</v>
      </c>
      <c r="O52" s="16">
        <f t="shared" ca="1" si="6"/>
        <v>0.48351648351648352</v>
      </c>
      <c r="P52" s="32">
        <f t="shared" ca="1" si="7"/>
        <v>188</v>
      </c>
      <c r="Q52" s="30" t="s">
        <v>7</v>
      </c>
      <c r="R52" s="39" t="s">
        <v>205</v>
      </c>
      <c r="S52" s="46" t="s">
        <v>227</v>
      </c>
    </row>
    <row r="53" spans="1:19" ht="30.75" customHeight="1" x14ac:dyDescent="0.25">
      <c r="A53" s="11">
        <v>46</v>
      </c>
      <c r="B53" s="31" t="s">
        <v>228</v>
      </c>
      <c r="C53" s="31" t="s">
        <v>229</v>
      </c>
      <c r="D53" s="28" t="s">
        <v>5</v>
      </c>
      <c r="E53" s="31" t="s">
        <v>29</v>
      </c>
      <c r="F53" s="31" t="s">
        <v>198</v>
      </c>
      <c r="G53" s="14">
        <v>2200</v>
      </c>
      <c r="H53" s="11">
        <v>253</v>
      </c>
      <c r="I53" s="16">
        <f t="shared" si="4"/>
        <v>0.115</v>
      </c>
      <c r="J53" s="12" t="s">
        <v>67</v>
      </c>
      <c r="K53" s="14" t="s">
        <v>92</v>
      </c>
      <c r="L53" s="13" t="s">
        <v>93</v>
      </c>
      <c r="M53" s="29">
        <v>44287</v>
      </c>
      <c r="N53" s="29">
        <f t="shared" si="5"/>
        <v>44651</v>
      </c>
      <c r="O53" s="16">
        <f t="shared" ca="1" si="6"/>
        <v>0.48351648351648352</v>
      </c>
      <c r="P53" s="32">
        <f t="shared" ca="1" si="7"/>
        <v>188</v>
      </c>
      <c r="Q53" s="30" t="s">
        <v>7</v>
      </c>
      <c r="R53" s="39" t="s">
        <v>205</v>
      </c>
      <c r="S53" s="46" t="s">
        <v>230</v>
      </c>
    </row>
    <row r="54" spans="1:19" ht="30.75" customHeight="1" x14ac:dyDescent="0.25">
      <c r="A54" s="11">
        <v>47</v>
      </c>
      <c r="B54" s="11" t="s">
        <v>231</v>
      </c>
      <c r="C54" s="11" t="s">
        <v>232</v>
      </c>
      <c r="D54" s="11" t="s">
        <v>5</v>
      </c>
      <c r="E54" s="11" t="s">
        <v>233</v>
      </c>
      <c r="F54" s="11" t="s">
        <v>109</v>
      </c>
      <c r="G54" s="11">
        <v>795</v>
      </c>
      <c r="H54" s="11">
        <v>320</v>
      </c>
      <c r="I54" s="16">
        <f t="shared" si="4"/>
        <v>0.40251572327044027</v>
      </c>
      <c r="J54" s="12" t="s">
        <v>67</v>
      </c>
      <c r="K54" s="14" t="s">
        <v>92</v>
      </c>
      <c r="L54" s="13" t="s">
        <v>93</v>
      </c>
      <c r="M54" s="29">
        <v>44287</v>
      </c>
      <c r="N54" s="29">
        <f t="shared" si="5"/>
        <v>44651</v>
      </c>
      <c r="O54" s="16">
        <f t="shared" ca="1" si="6"/>
        <v>0.48351648351648352</v>
      </c>
      <c r="P54" s="32">
        <f t="shared" ca="1" si="7"/>
        <v>188</v>
      </c>
      <c r="Q54" s="30" t="s">
        <v>7</v>
      </c>
      <c r="R54" s="39" t="s">
        <v>205</v>
      </c>
      <c r="S54" s="46" t="s">
        <v>234</v>
      </c>
    </row>
    <row r="55" spans="1:19" ht="30.75" customHeight="1" x14ac:dyDescent="0.25">
      <c r="A55" s="11">
        <v>48</v>
      </c>
      <c r="B55" s="11" t="s">
        <v>235</v>
      </c>
      <c r="C55" s="11" t="s">
        <v>236</v>
      </c>
      <c r="D55" s="11" t="s">
        <v>5</v>
      </c>
      <c r="E55" s="11" t="s">
        <v>237</v>
      </c>
      <c r="F55" s="11" t="s">
        <v>109</v>
      </c>
      <c r="G55" s="12">
        <v>1000</v>
      </c>
      <c r="H55" s="11">
        <v>0</v>
      </c>
      <c r="I55" s="16">
        <f t="shared" si="4"/>
        <v>0</v>
      </c>
      <c r="J55" s="12" t="s">
        <v>69</v>
      </c>
      <c r="K55" s="14" t="s">
        <v>92</v>
      </c>
      <c r="L55" s="13" t="s">
        <v>93</v>
      </c>
      <c r="M55" s="29">
        <v>44287</v>
      </c>
      <c r="N55" s="29">
        <f t="shared" si="5"/>
        <v>44651</v>
      </c>
      <c r="O55" s="16">
        <f t="shared" ca="1" si="6"/>
        <v>0.48351648351648352</v>
      </c>
      <c r="P55" s="32">
        <f t="shared" ca="1" si="7"/>
        <v>188</v>
      </c>
      <c r="Q55" s="30" t="s">
        <v>7</v>
      </c>
      <c r="R55" s="39" t="s">
        <v>205</v>
      </c>
      <c r="S55" s="46" t="s">
        <v>238</v>
      </c>
    </row>
    <row r="56" spans="1:19" ht="30.75" customHeight="1" x14ac:dyDescent="0.25">
      <c r="A56" s="11">
        <v>49</v>
      </c>
      <c r="B56" s="11" t="s">
        <v>243</v>
      </c>
      <c r="C56" s="31" t="s">
        <v>244</v>
      </c>
      <c r="D56" s="32" t="s">
        <v>5</v>
      </c>
      <c r="E56" s="31" t="s">
        <v>245</v>
      </c>
      <c r="F56" s="31" t="s">
        <v>246</v>
      </c>
      <c r="G56" s="14">
        <v>455000</v>
      </c>
      <c r="H56" s="12">
        <v>118014</v>
      </c>
      <c r="I56" s="16">
        <f t="shared" si="4"/>
        <v>0.25937142857142859</v>
      </c>
      <c r="J56" s="12" t="s">
        <v>67</v>
      </c>
      <c r="K56" s="14" t="s">
        <v>92</v>
      </c>
      <c r="L56" s="13" t="s">
        <v>156</v>
      </c>
      <c r="M56" s="29">
        <v>44327</v>
      </c>
      <c r="N56" s="29">
        <f>M56+180</f>
        <v>44507</v>
      </c>
      <c r="O56" s="16">
        <f t="shared" ca="1" si="6"/>
        <v>0.75555555555555554</v>
      </c>
      <c r="P56" s="32">
        <f t="shared" ca="1" si="7"/>
        <v>44</v>
      </c>
      <c r="Q56" s="30" t="s">
        <v>7</v>
      </c>
      <c r="R56" s="39" t="s">
        <v>255</v>
      </c>
      <c r="S56" s="46" t="s">
        <v>256</v>
      </c>
    </row>
    <row r="57" spans="1:19" ht="30.75" customHeight="1" x14ac:dyDescent="0.25">
      <c r="A57" s="11">
        <v>50</v>
      </c>
      <c r="B57" s="31" t="s">
        <v>248</v>
      </c>
      <c r="C57" s="31" t="s">
        <v>249</v>
      </c>
      <c r="D57" s="11" t="s">
        <v>5</v>
      </c>
      <c r="E57" s="11" t="s">
        <v>147</v>
      </c>
      <c r="F57" s="11" t="s">
        <v>130</v>
      </c>
      <c r="G57" s="11">
        <v>600</v>
      </c>
      <c r="H57" s="11">
        <v>80</v>
      </c>
      <c r="I57" s="16">
        <f t="shared" si="4"/>
        <v>0.13333333333333333</v>
      </c>
      <c r="J57" s="12" t="s">
        <v>67</v>
      </c>
      <c r="K57" s="14" t="s">
        <v>92</v>
      </c>
      <c r="L57" s="13" t="s">
        <v>93</v>
      </c>
      <c r="M57" s="29">
        <v>44327</v>
      </c>
      <c r="N57" s="29">
        <f t="shared" ref="N57:N73" si="8">M57+364</f>
        <v>44691</v>
      </c>
      <c r="O57" s="16">
        <f t="shared" ca="1" si="6"/>
        <v>0.37362637362637363</v>
      </c>
      <c r="P57" s="32">
        <f t="shared" ca="1" si="7"/>
        <v>228</v>
      </c>
      <c r="Q57" s="30" t="s">
        <v>7</v>
      </c>
      <c r="R57" s="39" t="s">
        <v>247</v>
      </c>
      <c r="S57" s="46" t="s">
        <v>250</v>
      </c>
    </row>
    <row r="58" spans="1:19" ht="30.75" customHeight="1" x14ac:dyDescent="0.25">
      <c r="A58" s="11">
        <v>51</v>
      </c>
      <c r="B58" s="31" t="s">
        <v>251</v>
      </c>
      <c r="C58" s="31" t="s">
        <v>252</v>
      </c>
      <c r="D58" s="32" t="s">
        <v>5</v>
      </c>
      <c r="E58" s="11" t="s">
        <v>147</v>
      </c>
      <c r="F58" s="11" t="s">
        <v>130</v>
      </c>
      <c r="G58" s="11">
        <v>624</v>
      </c>
      <c r="H58" s="11">
        <v>36</v>
      </c>
      <c r="I58" s="16">
        <f t="shared" si="4"/>
        <v>5.7692307692307696E-2</v>
      </c>
      <c r="J58" s="12" t="s">
        <v>67</v>
      </c>
      <c r="K58" s="14" t="s">
        <v>92</v>
      </c>
      <c r="L58" s="13" t="s">
        <v>93</v>
      </c>
      <c r="M58" s="29">
        <v>44327</v>
      </c>
      <c r="N58" s="29">
        <f t="shared" si="8"/>
        <v>44691</v>
      </c>
      <c r="O58" s="16">
        <f t="shared" ca="1" si="6"/>
        <v>0.37362637362637363</v>
      </c>
      <c r="P58" s="32">
        <f t="shared" ca="1" si="7"/>
        <v>228</v>
      </c>
      <c r="Q58" s="30" t="s">
        <v>7</v>
      </c>
      <c r="R58" s="39" t="s">
        <v>247</v>
      </c>
      <c r="S58" s="46" t="s">
        <v>253</v>
      </c>
    </row>
    <row r="59" spans="1:19" ht="30.75" customHeight="1" x14ac:dyDescent="0.25">
      <c r="A59" s="11">
        <v>52</v>
      </c>
      <c r="B59" s="11" t="s">
        <v>257</v>
      </c>
      <c r="C59" s="11" t="s">
        <v>258</v>
      </c>
      <c r="D59" s="32" t="s">
        <v>5</v>
      </c>
      <c r="E59" s="11" t="s">
        <v>204</v>
      </c>
      <c r="F59" s="11" t="s">
        <v>106</v>
      </c>
      <c r="G59" s="11">
        <v>928</v>
      </c>
      <c r="H59" s="11">
        <v>48</v>
      </c>
      <c r="I59" s="16">
        <f t="shared" si="4"/>
        <v>5.1724137931034482E-2</v>
      </c>
      <c r="J59" s="12" t="s">
        <v>67</v>
      </c>
      <c r="K59" s="14" t="s">
        <v>92</v>
      </c>
      <c r="L59" s="13" t="s">
        <v>93</v>
      </c>
      <c r="M59" s="29">
        <v>44363</v>
      </c>
      <c r="N59" s="29">
        <f t="shared" si="8"/>
        <v>44727</v>
      </c>
      <c r="O59" s="16">
        <f t="shared" ca="1" si="6"/>
        <v>0.27472527472527475</v>
      </c>
      <c r="P59" s="32">
        <f t="shared" ca="1" si="7"/>
        <v>264</v>
      </c>
      <c r="Q59" s="30" t="s">
        <v>7</v>
      </c>
      <c r="R59" s="39" t="s">
        <v>259</v>
      </c>
      <c r="S59" s="46" t="s">
        <v>260</v>
      </c>
    </row>
    <row r="60" spans="1:19" ht="30.75" customHeight="1" x14ac:dyDescent="0.25">
      <c r="A60" s="11">
        <v>53</v>
      </c>
      <c r="B60" s="11" t="s">
        <v>261</v>
      </c>
      <c r="C60" s="11" t="s">
        <v>262</v>
      </c>
      <c r="D60" s="11" t="s">
        <v>7</v>
      </c>
      <c r="E60" s="11" t="s">
        <v>263</v>
      </c>
      <c r="F60" s="11" t="s">
        <v>106</v>
      </c>
      <c r="G60" s="12">
        <v>6500</v>
      </c>
      <c r="H60" s="11">
        <v>39</v>
      </c>
      <c r="I60" s="16">
        <f t="shared" si="4"/>
        <v>6.0000000000000001E-3</v>
      </c>
      <c r="J60" s="12" t="s">
        <v>67</v>
      </c>
      <c r="K60" s="14" t="s">
        <v>92</v>
      </c>
      <c r="L60" s="13" t="s">
        <v>93</v>
      </c>
      <c r="M60" s="29">
        <v>44363</v>
      </c>
      <c r="N60" s="29">
        <f t="shared" si="8"/>
        <v>44727</v>
      </c>
      <c r="O60" s="16">
        <f t="shared" ca="1" si="6"/>
        <v>0.27472527472527475</v>
      </c>
      <c r="P60" s="32">
        <f t="shared" ca="1" si="7"/>
        <v>264</v>
      </c>
      <c r="Q60" s="30" t="s">
        <v>7</v>
      </c>
      <c r="R60" s="39" t="s">
        <v>259</v>
      </c>
      <c r="S60" s="46" t="s">
        <v>264</v>
      </c>
    </row>
    <row r="61" spans="1:19" ht="30.75" customHeight="1" x14ac:dyDescent="0.25">
      <c r="A61" s="11">
        <v>54</v>
      </c>
      <c r="B61" s="11" t="s">
        <v>265</v>
      </c>
      <c r="C61" s="11" t="s">
        <v>266</v>
      </c>
      <c r="D61" s="32" t="s">
        <v>5</v>
      </c>
      <c r="E61" s="11" t="s">
        <v>263</v>
      </c>
      <c r="F61" s="11" t="s">
        <v>106</v>
      </c>
      <c r="G61" s="12">
        <v>15000</v>
      </c>
      <c r="H61" s="11">
        <v>476</v>
      </c>
      <c r="I61" s="16">
        <f t="shared" si="4"/>
        <v>3.1733333333333336E-2</v>
      </c>
      <c r="J61" s="12" t="s">
        <v>67</v>
      </c>
      <c r="K61" s="14" t="s">
        <v>92</v>
      </c>
      <c r="L61" s="13" t="s">
        <v>93</v>
      </c>
      <c r="M61" s="29">
        <v>44363</v>
      </c>
      <c r="N61" s="29">
        <f t="shared" si="8"/>
        <v>44727</v>
      </c>
      <c r="O61" s="16">
        <f t="shared" ca="1" si="6"/>
        <v>0.27472527472527475</v>
      </c>
      <c r="P61" s="32">
        <f t="shared" ca="1" si="7"/>
        <v>264</v>
      </c>
      <c r="Q61" s="30" t="s">
        <v>7</v>
      </c>
      <c r="R61" s="39" t="s">
        <v>259</v>
      </c>
      <c r="S61" s="46" t="s">
        <v>267</v>
      </c>
    </row>
    <row r="62" spans="1:19" ht="30.75" customHeight="1" x14ac:dyDescent="0.25">
      <c r="A62" s="11">
        <v>55</v>
      </c>
      <c r="B62" s="11" t="s">
        <v>268</v>
      </c>
      <c r="C62" s="11" t="s">
        <v>269</v>
      </c>
      <c r="D62" s="41" t="s">
        <v>15</v>
      </c>
      <c r="E62" s="11" t="s">
        <v>263</v>
      </c>
      <c r="F62" s="11" t="s">
        <v>106</v>
      </c>
      <c r="G62" s="12">
        <v>3500</v>
      </c>
      <c r="H62" s="11">
        <v>133</v>
      </c>
      <c r="I62" s="16">
        <f t="shared" si="4"/>
        <v>3.7999999999999999E-2</v>
      </c>
      <c r="J62" s="12" t="s">
        <v>67</v>
      </c>
      <c r="K62" s="14" t="s">
        <v>92</v>
      </c>
      <c r="L62" s="13" t="s">
        <v>93</v>
      </c>
      <c r="M62" s="29">
        <v>44363</v>
      </c>
      <c r="N62" s="29">
        <f t="shared" si="8"/>
        <v>44727</v>
      </c>
      <c r="O62" s="16">
        <f t="shared" ca="1" si="6"/>
        <v>0.27472527472527475</v>
      </c>
      <c r="P62" s="32">
        <f t="shared" ca="1" si="7"/>
        <v>264</v>
      </c>
      <c r="Q62" s="30" t="s">
        <v>7</v>
      </c>
      <c r="R62" s="39" t="s">
        <v>259</v>
      </c>
      <c r="S62" s="46" t="s">
        <v>270</v>
      </c>
    </row>
    <row r="63" spans="1:19" ht="30.75" customHeight="1" x14ac:dyDescent="0.25">
      <c r="A63" s="11">
        <v>56</v>
      </c>
      <c r="B63" s="11" t="s">
        <v>268</v>
      </c>
      <c r="C63" s="11" t="s">
        <v>271</v>
      </c>
      <c r="D63" s="32" t="s">
        <v>5</v>
      </c>
      <c r="E63" s="11" t="s">
        <v>263</v>
      </c>
      <c r="F63" s="11" t="s">
        <v>106</v>
      </c>
      <c r="G63" s="11">
        <v>900</v>
      </c>
      <c r="H63" s="11">
        <v>0</v>
      </c>
      <c r="I63" s="16">
        <f t="shared" si="4"/>
        <v>0</v>
      </c>
      <c r="J63" s="12" t="s">
        <v>67</v>
      </c>
      <c r="K63" s="14" t="s">
        <v>92</v>
      </c>
      <c r="L63" s="13" t="s">
        <v>93</v>
      </c>
      <c r="M63" s="29">
        <v>44363</v>
      </c>
      <c r="N63" s="29">
        <f t="shared" si="8"/>
        <v>44727</v>
      </c>
      <c r="O63" s="16">
        <f t="shared" ca="1" si="6"/>
        <v>0.27472527472527475</v>
      </c>
      <c r="P63" s="32">
        <f t="shared" ca="1" si="7"/>
        <v>264</v>
      </c>
      <c r="Q63" s="30" t="s">
        <v>7</v>
      </c>
      <c r="R63" s="39" t="s">
        <v>259</v>
      </c>
      <c r="S63" s="46" t="s">
        <v>272</v>
      </c>
    </row>
    <row r="64" spans="1:19" ht="30.75" customHeight="1" x14ac:dyDescent="0.25">
      <c r="A64" s="11">
        <v>57</v>
      </c>
      <c r="B64" s="11" t="s">
        <v>73</v>
      </c>
      <c r="C64" s="11" t="s">
        <v>273</v>
      </c>
      <c r="D64" s="41" t="s">
        <v>15</v>
      </c>
      <c r="E64" s="11" t="s">
        <v>274</v>
      </c>
      <c r="F64" s="11" t="s">
        <v>11</v>
      </c>
      <c r="G64" s="11">
        <v>65</v>
      </c>
      <c r="H64" s="11">
        <v>13</v>
      </c>
      <c r="I64" s="16">
        <f t="shared" si="4"/>
        <v>0.2</v>
      </c>
      <c r="J64" s="12" t="s">
        <v>67</v>
      </c>
      <c r="K64" s="14" t="s">
        <v>92</v>
      </c>
      <c r="L64" s="13" t="s">
        <v>93</v>
      </c>
      <c r="M64" s="29">
        <v>44363</v>
      </c>
      <c r="N64" s="29">
        <f t="shared" si="8"/>
        <v>44727</v>
      </c>
      <c r="O64" s="16">
        <f t="shared" ca="1" si="6"/>
        <v>0.27472527472527475</v>
      </c>
      <c r="P64" s="32">
        <f t="shared" ca="1" si="7"/>
        <v>264</v>
      </c>
      <c r="Q64" s="30" t="s">
        <v>7</v>
      </c>
      <c r="R64" s="39" t="s">
        <v>259</v>
      </c>
      <c r="S64" s="46" t="s">
        <v>275</v>
      </c>
    </row>
    <row r="65" spans="1:20" ht="30.75" customHeight="1" x14ac:dyDescent="0.25">
      <c r="A65" s="11">
        <v>58</v>
      </c>
      <c r="B65" s="11" t="s">
        <v>74</v>
      </c>
      <c r="C65" s="11" t="s">
        <v>276</v>
      </c>
      <c r="D65" s="41" t="s">
        <v>15</v>
      </c>
      <c r="E65" s="11" t="s">
        <v>274</v>
      </c>
      <c r="F65" s="11" t="s">
        <v>11</v>
      </c>
      <c r="G65" s="11">
        <v>35</v>
      </c>
      <c r="H65" s="11">
        <v>5</v>
      </c>
      <c r="I65" s="16">
        <f t="shared" si="4"/>
        <v>0.14285714285714285</v>
      </c>
      <c r="J65" s="12" t="s">
        <v>67</v>
      </c>
      <c r="K65" s="14" t="s">
        <v>92</v>
      </c>
      <c r="L65" s="13" t="s">
        <v>93</v>
      </c>
      <c r="M65" s="29">
        <v>44363</v>
      </c>
      <c r="N65" s="29">
        <f t="shared" si="8"/>
        <v>44727</v>
      </c>
      <c r="O65" s="16">
        <f t="shared" ca="1" si="6"/>
        <v>0.27472527472527475</v>
      </c>
      <c r="P65" s="32">
        <f t="shared" ca="1" si="7"/>
        <v>264</v>
      </c>
      <c r="Q65" s="30" t="s">
        <v>7</v>
      </c>
      <c r="R65" s="39" t="s">
        <v>259</v>
      </c>
      <c r="S65" s="46" t="s">
        <v>277</v>
      </c>
    </row>
    <row r="66" spans="1:20" ht="30" customHeight="1" x14ac:dyDescent="0.25">
      <c r="A66" s="11">
        <v>59</v>
      </c>
      <c r="B66" s="31" t="s">
        <v>35</v>
      </c>
      <c r="C66" s="31" t="s">
        <v>36</v>
      </c>
      <c r="D66" s="28" t="s">
        <v>5</v>
      </c>
      <c r="E66" s="31" t="s">
        <v>278</v>
      </c>
      <c r="F66" s="31" t="s">
        <v>130</v>
      </c>
      <c r="G66" s="14">
        <v>2500</v>
      </c>
      <c r="H66" s="14">
        <v>135</v>
      </c>
      <c r="I66" s="13">
        <f t="shared" si="4"/>
        <v>5.3999999999999999E-2</v>
      </c>
      <c r="J66" s="33" t="s">
        <v>67</v>
      </c>
      <c r="K66" s="14" t="s">
        <v>92</v>
      </c>
      <c r="L66" s="13" t="s">
        <v>93</v>
      </c>
      <c r="M66" s="29">
        <v>44363</v>
      </c>
      <c r="N66" s="29">
        <f t="shared" si="8"/>
        <v>44727</v>
      </c>
      <c r="O66" s="16">
        <f t="shared" ca="1" si="6"/>
        <v>0.27472527472527475</v>
      </c>
      <c r="P66" s="32">
        <f t="shared" ca="1" si="7"/>
        <v>264</v>
      </c>
      <c r="Q66" s="30" t="s">
        <v>7</v>
      </c>
      <c r="R66" s="39" t="s">
        <v>259</v>
      </c>
      <c r="S66" s="46" t="s">
        <v>279</v>
      </c>
      <c r="T66" s="18"/>
    </row>
    <row r="67" spans="1:20" ht="30" customHeight="1" x14ac:dyDescent="0.25">
      <c r="A67" s="11">
        <v>60</v>
      </c>
      <c r="B67" s="11" t="s">
        <v>280</v>
      </c>
      <c r="C67" s="11" t="s">
        <v>281</v>
      </c>
      <c r="D67" s="47" t="s">
        <v>13</v>
      </c>
      <c r="E67" s="11" t="s">
        <v>282</v>
      </c>
      <c r="F67" s="11" t="s">
        <v>130</v>
      </c>
      <c r="G67" s="11">
        <v>230</v>
      </c>
      <c r="H67" s="14">
        <v>0</v>
      </c>
      <c r="I67" s="13">
        <f t="shared" si="4"/>
        <v>0</v>
      </c>
      <c r="J67" s="33" t="s">
        <v>67</v>
      </c>
      <c r="K67" s="14" t="s">
        <v>92</v>
      </c>
      <c r="L67" s="13" t="s">
        <v>93</v>
      </c>
      <c r="M67" s="29">
        <v>44363</v>
      </c>
      <c r="N67" s="29">
        <f t="shared" si="8"/>
        <v>44727</v>
      </c>
      <c r="O67" s="16">
        <f t="shared" ca="1" si="6"/>
        <v>0.27472527472527475</v>
      </c>
      <c r="P67" s="32">
        <f t="shared" ca="1" si="7"/>
        <v>264</v>
      </c>
      <c r="Q67" s="30" t="s">
        <v>7</v>
      </c>
      <c r="R67" s="39" t="s">
        <v>259</v>
      </c>
      <c r="S67" s="46" t="s">
        <v>283</v>
      </c>
      <c r="T67" s="18"/>
    </row>
    <row r="68" spans="1:20" ht="30" customHeight="1" x14ac:dyDescent="0.25">
      <c r="A68" s="11">
        <v>61</v>
      </c>
      <c r="B68" s="11" t="s">
        <v>284</v>
      </c>
      <c r="C68" s="11" t="s">
        <v>285</v>
      </c>
      <c r="D68" s="28" t="s">
        <v>5</v>
      </c>
      <c r="E68" s="11" t="s">
        <v>286</v>
      </c>
      <c r="F68" s="11" t="s">
        <v>109</v>
      </c>
      <c r="G68" s="11">
        <v>300</v>
      </c>
      <c r="H68" s="14">
        <v>0</v>
      </c>
      <c r="I68" s="13">
        <f t="shared" si="4"/>
        <v>0</v>
      </c>
      <c r="J68" s="33" t="s">
        <v>67</v>
      </c>
      <c r="K68" s="14" t="s">
        <v>92</v>
      </c>
      <c r="L68" s="13" t="s">
        <v>93</v>
      </c>
      <c r="M68" s="29">
        <v>44363</v>
      </c>
      <c r="N68" s="29">
        <f t="shared" si="8"/>
        <v>44727</v>
      </c>
      <c r="O68" s="16">
        <f t="shared" ca="1" si="6"/>
        <v>0.27472527472527475</v>
      </c>
      <c r="P68" s="32">
        <f t="shared" ca="1" si="7"/>
        <v>264</v>
      </c>
      <c r="Q68" s="30" t="s">
        <v>7</v>
      </c>
      <c r="R68" s="39" t="s">
        <v>259</v>
      </c>
      <c r="S68" s="46" t="s">
        <v>287</v>
      </c>
      <c r="T68" s="18"/>
    </row>
    <row r="69" spans="1:20" ht="30" customHeight="1" x14ac:dyDescent="0.25">
      <c r="A69" s="11">
        <v>62</v>
      </c>
      <c r="B69" s="11" t="s">
        <v>288</v>
      </c>
      <c r="C69" s="11" t="s">
        <v>289</v>
      </c>
      <c r="D69" s="11" t="s">
        <v>7</v>
      </c>
      <c r="E69" s="11" t="s">
        <v>290</v>
      </c>
      <c r="F69" s="11" t="s">
        <v>291</v>
      </c>
      <c r="G69" s="12">
        <v>7000</v>
      </c>
      <c r="H69" s="14">
        <v>1471</v>
      </c>
      <c r="I69" s="13">
        <f t="shared" si="4"/>
        <v>0.21014285714285713</v>
      </c>
      <c r="J69" s="33" t="s">
        <v>67</v>
      </c>
      <c r="K69" s="14" t="s">
        <v>92</v>
      </c>
      <c r="L69" s="13" t="s">
        <v>93</v>
      </c>
      <c r="M69" s="29">
        <v>44363</v>
      </c>
      <c r="N69" s="29">
        <f t="shared" si="8"/>
        <v>44727</v>
      </c>
      <c r="O69" s="16">
        <f t="shared" ca="1" si="6"/>
        <v>0.27472527472527475</v>
      </c>
      <c r="P69" s="32">
        <f t="shared" ca="1" si="7"/>
        <v>264</v>
      </c>
      <c r="Q69" s="30" t="s">
        <v>7</v>
      </c>
      <c r="R69" s="39" t="s">
        <v>259</v>
      </c>
      <c r="S69" s="46" t="s">
        <v>292</v>
      </c>
      <c r="T69" s="18"/>
    </row>
    <row r="70" spans="1:20" ht="30" customHeight="1" x14ac:dyDescent="0.25">
      <c r="A70" s="11">
        <v>63</v>
      </c>
      <c r="B70" s="15" t="s">
        <v>293</v>
      </c>
      <c r="C70" s="15" t="s">
        <v>294</v>
      </c>
      <c r="D70" s="28" t="s">
        <v>5</v>
      </c>
      <c r="E70" s="11" t="s">
        <v>295</v>
      </c>
      <c r="F70" s="11" t="s">
        <v>20</v>
      </c>
      <c r="G70" s="48">
        <v>2143.1999999999998</v>
      </c>
      <c r="H70" s="14">
        <v>0</v>
      </c>
      <c r="I70" s="13">
        <f t="shared" si="4"/>
        <v>0</v>
      </c>
      <c r="J70" s="33" t="s">
        <v>67</v>
      </c>
      <c r="K70" s="14" t="s">
        <v>92</v>
      </c>
      <c r="L70" s="13" t="s">
        <v>93</v>
      </c>
      <c r="M70" s="29">
        <v>44363</v>
      </c>
      <c r="N70" s="29">
        <f t="shared" si="8"/>
        <v>44727</v>
      </c>
      <c r="O70" s="16">
        <f t="shared" ca="1" si="6"/>
        <v>0.27472527472527475</v>
      </c>
      <c r="P70" s="32">
        <f t="shared" ca="1" si="7"/>
        <v>264</v>
      </c>
      <c r="Q70" s="30" t="s">
        <v>7</v>
      </c>
      <c r="R70" s="39" t="s">
        <v>259</v>
      </c>
      <c r="S70" s="46" t="s">
        <v>296</v>
      </c>
      <c r="T70" s="18"/>
    </row>
    <row r="71" spans="1:20" ht="30" customHeight="1" x14ac:dyDescent="0.25">
      <c r="A71" s="11">
        <v>64</v>
      </c>
      <c r="B71" s="11" t="s">
        <v>163</v>
      </c>
      <c r="C71" s="11" t="s">
        <v>297</v>
      </c>
      <c r="D71" s="41" t="s">
        <v>15</v>
      </c>
      <c r="E71" s="11" t="s">
        <v>295</v>
      </c>
      <c r="F71" s="11" t="s">
        <v>130</v>
      </c>
      <c r="G71" s="12">
        <v>1700</v>
      </c>
      <c r="H71" s="14">
        <v>0</v>
      </c>
      <c r="I71" s="13">
        <f t="shared" si="4"/>
        <v>0</v>
      </c>
      <c r="J71" s="33" t="s">
        <v>67</v>
      </c>
      <c r="K71" s="14" t="s">
        <v>92</v>
      </c>
      <c r="L71" s="13" t="s">
        <v>93</v>
      </c>
      <c r="M71" s="29">
        <v>44363</v>
      </c>
      <c r="N71" s="29">
        <f t="shared" si="8"/>
        <v>44727</v>
      </c>
      <c r="O71" s="16">
        <f t="shared" ca="1" si="6"/>
        <v>0.27472527472527475</v>
      </c>
      <c r="P71" s="32">
        <f t="shared" ca="1" si="7"/>
        <v>264</v>
      </c>
      <c r="Q71" s="30" t="s">
        <v>7</v>
      </c>
      <c r="R71" s="39" t="s">
        <v>259</v>
      </c>
      <c r="S71" s="46" t="s">
        <v>298</v>
      </c>
      <c r="T71" s="18"/>
    </row>
    <row r="72" spans="1:20" s="6" customFormat="1" ht="30" customHeight="1" x14ac:dyDescent="0.2">
      <c r="A72" s="11">
        <v>65</v>
      </c>
      <c r="B72" s="14" t="s">
        <v>16</v>
      </c>
      <c r="C72" s="31" t="s">
        <v>136</v>
      </c>
      <c r="D72" s="28" t="s">
        <v>13</v>
      </c>
      <c r="E72" s="31" t="s">
        <v>47</v>
      </c>
      <c r="F72" s="31" t="s">
        <v>109</v>
      </c>
      <c r="G72" s="14">
        <v>600000</v>
      </c>
      <c r="H72" s="14">
        <v>16730</v>
      </c>
      <c r="I72" s="13">
        <f t="shared" si="4"/>
        <v>2.7883333333333333E-2</v>
      </c>
      <c r="J72" s="33" t="s">
        <v>69</v>
      </c>
      <c r="K72" s="14" t="s">
        <v>92</v>
      </c>
      <c r="L72" s="13" t="s">
        <v>93</v>
      </c>
      <c r="M72" s="29">
        <v>44363</v>
      </c>
      <c r="N72" s="29">
        <f t="shared" si="8"/>
        <v>44727</v>
      </c>
      <c r="O72" s="16">
        <f t="shared" ref="O72:O80" ca="1" si="9">(TODAY()-M72)/(N72-M72)</f>
        <v>0.27472527472527475</v>
      </c>
      <c r="P72" s="32">
        <f t="shared" ref="P72:P80" ca="1" si="10">N72-TODAY()</f>
        <v>264</v>
      </c>
      <c r="Q72" s="30" t="s">
        <v>7</v>
      </c>
      <c r="R72" s="39" t="s">
        <v>259</v>
      </c>
      <c r="S72" s="46" t="s">
        <v>299</v>
      </c>
      <c r="T72" s="35"/>
    </row>
    <row r="73" spans="1:20" s="6" customFormat="1" ht="30" customHeight="1" x14ac:dyDescent="0.2">
      <c r="A73" s="11">
        <v>66</v>
      </c>
      <c r="B73" s="11" t="s">
        <v>300</v>
      </c>
      <c r="C73" s="11" t="s">
        <v>301</v>
      </c>
      <c r="D73" s="41" t="s">
        <v>5</v>
      </c>
      <c r="E73" s="11" t="s">
        <v>147</v>
      </c>
      <c r="F73" s="11" t="s">
        <v>161</v>
      </c>
      <c r="G73" s="12">
        <v>1826308</v>
      </c>
      <c r="H73" s="14">
        <v>23449</v>
      </c>
      <c r="I73" s="13">
        <f t="shared" si="4"/>
        <v>1.2839564848864485E-2</v>
      </c>
      <c r="J73" s="33" t="s">
        <v>69</v>
      </c>
      <c r="K73" s="14" t="s">
        <v>92</v>
      </c>
      <c r="L73" s="13" t="s">
        <v>93</v>
      </c>
      <c r="M73" s="29">
        <v>44363</v>
      </c>
      <c r="N73" s="29">
        <f t="shared" si="8"/>
        <v>44727</v>
      </c>
      <c r="O73" s="16">
        <f t="shared" ca="1" si="9"/>
        <v>0.27472527472527475</v>
      </c>
      <c r="P73" s="32">
        <f t="shared" ca="1" si="10"/>
        <v>264</v>
      </c>
      <c r="Q73" s="30" t="s">
        <v>7</v>
      </c>
      <c r="R73" s="39" t="s">
        <v>259</v>
      </c>
      <c r="S73" s="46" t="s">
        <v>302</v>
      </c>
      <c r="T73" s="35"/>
    </row>
    <row r="74" spans="1:20" s="6" customFormat="1" ht="30" customHeight="1" x14ac:dyDescent="0.2">
      <c r="A74" s="11">
        <v>67</v>
      </c>
      <c r="B74" s="31" t="s">
        <v>17</v>
      </c>
      <c r="C74" s="31" t="s">
        <v>51</v>
      </c>
      <c r="D74" s="28" t="s">
        <v>5</v>
      </c>
      <c r="E74" s="31" t="s">
        <v>47</v>
      </c>
      <c r="F74" s="31" t="s">
        <v>109</v>
      </c>
      <c r="G74" s="14">
        <v>50</v>
      </c>
      <c r="H74" s="14">
        <v>21</v>
      </c>
      <c r="I74" s="13">
        <f t="shared" si="4"/>
        <v>0.42</v>
      </c>
      <c r="J74" s="33" t="s">
        <v>69</v>
      </c>
      <c r="K74" s="14" t="s">
        <v>92</v>
      </c>
      <c r="L74" s="13" t="s">
        <v>303</v>
      </c>
      <c r="M74" s="29">
        <v>44363</v>
      </c>
      <c r="N74" s="29">
        <f>M74+34</f>
        <v>44397</v>
      </c>
      <c r="O74" s="16">
        <f t="shared" ca="1" si="9"/>
        <v>2.9411764705882355</v>
      </c>
      <c r="P74" s="32">
        <f t="shared" ca="1" si="10"/>
        <v>-66</v>
      </c>
      <c r="Q74" s="30" t="s">
        <v>7</v>
      </c>
      <c r="R74" s="39" t="s">
        <v>259</v>
      </c>
      <c r="S74" s="46" t="s">
        <v>304</v>
      </c>
      <c r="T74" s="20"/>
    </row>
    <row r="75" spans="1:20" ht="30" customHeight="1" x14ac:dyDescent="0.25">
      <c r="A75" s="11">
        <v>68</v>
      </c>
      <c r="B75" s="11" t="s">
        <v>305</v>
      </c>
      <c r="C75" s="11" t="s">
        <v>306</v>
      </c>
      <c r="D75" s="41" t="s">
        <v>5</v>
      </c>
      <c r="E75" s="11" t="s">
        <v>307</v>
      </c>
      <c r="F75" s="11" t="s">
        <v>198</v>
      </c>
      <c r="G75" s="14">
        <v>50</v>
      </c>
      <c r="H75" s="14">
        <v>0</v>
      </c>
      <c r="I75" s="13">
        <f t="shared" si="4"/>
        <v>0</v>
      </c>
      <c r="J75" s="33" t="s">
        <v>69</v>
      </c>
      <c r="K75" s="14" t="s">
        <v>92</v>
      </c>
      <c r="L75" s="13" t="s">
        <v>93</v>
      </c>
      <c r="M75" s="29">
        <v>44363</v>
      </c>
      <c r="N75" s="29">
        <f t="shared" ref="N75:N80" si="11">M75+364</f>
        <v>44727</v>
      </c>
      <c r="O75" s="16">
        <f t="shared" ca="1" si="9"/>
        <v>0.27472527472527475</v>
      </c>
      <c r="P75" s="32">
        <f t="shared" ca="1" si="10"/>
        <v>264</v>
      </c>
      <c r="Q75" s="30" t="s">
        <v>7</v>
      </c>
      <c r="R75" s="39" t="s">
        <v>259</v>
      </c>
      <c r="S75" s="46" t="s">
        <v>308</v>
      </c>
      <c r="T75" s="18"/>
    </row>
    <row r="76" spans="1:20" ht="30" customHeight="1" x14ac:dyDescent="0.25">
      <c r="A76" s="11">
        <v>69</v>
      </c>
      <c r="B76" s="11" t="s">
        <v>305</v>
      </c>
      <c r="C76" s="11" t="s">
        <v>309</v>
      </c>
      <c r="D76" s="41" t="s">
        <v>15</v>
      </c>
      <c r="E76" s="11" t="s">
        <v>310</v>
      </c>
      <c r="F76" s="11" t="s">
        <v>198</v>
      </c>
      <c r="G76" s="14">
        <v>50</v>
      </c>
      <c r="H76" s="14">
        <v>0</v>
      </c>
      <c r="I76" s="13">
        <f t="shared" si="4"/>
        <v>0</v>
      </c>
      <c r="J76" s="33" t="s">
        <v>69</v>
      </c>
      <c r="K76" s="14" t="s">
        <v>92</v>
      </c>
      <c r="L76" s="13" t="s">
        <v>93</v>
      </c>
      <c r="M76" s="29">
        <v>44363</v>
      </c>
      <c r="N76" s="29">
        <f t="shared" si="11"/>
        <v>44727</v>
      </c>
      <c r="O76" s="16">
        <f t="shared" ca="1" si="9"/>
        <v>0.27472527472527475</v>
      </c>
      <c r="P76" s="32">
        <f t="shared" ca="1" si="10"/>
        <v>264</v>
      </c>
      <c r="Q76" s="30" t="s">
        <v>7</v>
      </c>
      <c r="R76" s="39" t="s">
        <v>259</v>
      </c>
      <c r="S76" s="46" t="s">
        <v>311</v>
      </c>
      <c r="T76" s="18"/>
    </row>
    <row r="77" spans="1:20" s="6" customFormat="1" ht="30" customHeight="1" x14ac:dyDescent="0.2">
      <c r="A77" s="11">
        <v>70</v>
      </c>
      <c r="B77" s="11" t="s">
        <v>312</v>
      </c>
      <c r="C77" s="11" t="s">
        <v>313</v>
      </c>
      <c r="D77" s="41" t="s">
        <v>5</v>
      </c>
      <c r="E77" s="11" t="s">
        <v>314</v>
      </c>
      <c r="F77" s="11" t="s">
        <v>109</v>
      </c>
      <c r="G77" s="12">
        <v>1500</v>
      </c>
      <c r="H77" s="14">
        <v>0</v>
      </c>
      <c r="I77" s="13">
        <f t="shared" si="4"/>
        <v>0</v>
      </c>
      <c r="J77" s="33" t="s">
        <v>69</v>
      </c>
      <c r="K77" s="14" t="s">
        <v>92</v>
      </c>
      <c r="L77" s="13" t="s">
        <v>93</v>
      </c>
      <c r="M77" s="29">
        <v>44363</v>
      </c>
      <c r="N77" s="29">
        <f t="shared" si="11"/>
        <v>44727</v>
      </c>
      <c r="O77" s="16">
        <f t="shared" ca="1" si="9"/>
        <v>0.27472527472527475</v>
      </c>
      <c r="P77" s="32">
        <f t="shared" ca="1" si="10"/>
        <v>264</v>
      </c>
      <c r="Q77" s="30" t="s">
        <v>7</v>
      </c>
      <c r="R77" s="39" t="s">
        <v>259</v>
      </c>
      <c r="S77" s="46" t="s">
        <v>302</v>
      </c>
      <c r="T77" s="35"/>
    </row>
    <row r="78" spans="1:20" s="6" customFormat="1" ht="30" customHeight="1" x14ac:dyDescent="0.2">
      <c r="A78" s="11">
        <v>71</v>
      </c>
      <c r="B78" s="11" t="s">
        <v>42</v>
      </c>
      <c r="C78" s="11" t="s">
        <v>43</v>
      </c>
      <c r="D78" s="41" t="s">
        <v>5</v>
      </c>
      <c r="E78" s="11" t="s">
        <v>315</v>
      </c>
      <c r="F78" s="11" t="s">
        <v>8</v>
      </c>
      <c r="G78" s="12">
        <v>26000000</v>
      </c>
      <c r="H78" s="14">
        <v>2208165</v>
      </c>
      <c r="I78" s="13">
        <f t="shared" si="4"/>
        <v>8.4929423076923083E-2</v>
      </c>
      <c r="J78" s="33" t="s">
        <v>69</v>
      </c>
      <c r="K78" s="14" t="s">
        <v>92</v>
      </c>
      <c r="L78" s="13" t="s">
        <v>93</v>
      </c>
      <c r="M78" s="29">
        <v>44363</v>
      </c>
      <c r="N78" s="29">
        <f t="shared" si="11"/>
        <v>44727</v>
      </c>
      <c r="O78" s="16">
        <f t="shared" ca="1" si="9"/>
        <v>0.27472527472527475</v>
      </c>
      <c r="P78" s="32">
        <f t="shared" ca="1" si="10"/>
        <v>264</v>
      </c>
      <c r="Q78" s="30" t="s">
        <v>7</v>
      </c>
      <c r="R78" s="39" t="s">
        <v>259</v>
      </c>
      <c r="S78" s="46" t="s">
        <v>302</v>
      </c>
      <c r="T78" s="20"/>
    </row>
    <row r="79" spans="1:20" ht="30" customHeight="1" x14ac:dyDescent="0.25">
      <c r="A79" s="11">
        <v>72</v>
      </c>
      <c r="B79" s="11" t="s">
        <v>316</v>
      </c>
      <c r="C79" s="11" t="s">
        <v>317</v>
      </c>
      <c r="D79" s="11" t="s">
        <v>7</v>
      </c>
      <c r="E79" s="11" t="s">
        <v>182</v>
      </c>
      <c r="F79" s="11" t="s">
        <v>198</v>
      </c>
      <c r="G79" s="11">
        <v>40</v>
      </c>
      <c r="H79" s="14">
        <v>0</v>
      </c>
      <c r="I79" s="13">
        <f t="shared" si="4"/>
        <v>0</v>
      </c>
      <c r="J79" s="33" t="s">
        <v>67</v>
      </c>
      <c r="K79" s="14" t="s">
        <v>92</v>
      </c>
      <c r="L79" s="13" t="s">
        <v>93</v>
      </c>
      <c r="M79" s="29">
        <v>44363</v>
      </c>
      <c r="N79" s="29">
        <f t="shared" si="11"/>
        <v>44727</v>
      </c>
      <c r="O79" s="16">
        <f t="shared" ca="1" si="9"/>
        <v>0.27472527472527475</v>
      </c>
      <c r="P79" s="32">
        <f t="shared" ca="1" si="10"/>
        <v>264</v>
      </c>
      <c r="Q79" s="30" t="s">
        <v>7</v>
      </c>
      <c r="R79" s="39" t="s">
        <v>259</v>
      </c>
      <c r="S79" s="46" t="s">
        <v>308</v>
      </c>
      <c r="T79" s="18"/>
    </row>
    <row r="80" spans="1:20" ht="30" customHeight="1" x14ac:dyDescent="0.25">
      <c r="A80" s="11">
        <v>73</v>
      </c>
      <c r="B80" s="11" t="s">
        <v>318</v>
      </c>
      <c r="C80" s="11" t="s">
        <v>319</v>
      </c>
      <c r="D80" s="11" t="s">
        <v>7</v>
      </c>
      <c r="E80" s="11" t="s">
        <v>182</v>
      </c>
      <c r="F80" s="11" t="s">
        <v>198</v>
      </c>
      <c r="G80" s="11">
        <v>500</v>
      </c>
      <c r="H80" s="14">
        <v>0</v>
      </c>
      <c r="I80" s="13">
        <f t="shared" si="4"/>
        <v>0</v>
      </c>
      <c r="J80" s="33" t="s">
        <v>67</v>
      </c>
      <c r="K80" s="14" t="s">
        <v>92</v>
      </c>
      <c r="L80" s="13" t="s">
        <v>93</v>
      </c>
      <c r="M80" s="29">
        <v>44363</v>
      </c>
      <c r="N80" s="29">
        <f t="shared" si="11"/>
        <v>44727</v>
      </c>
      <c r="O80" s="16">
        <f t="shared" ca="1" si="9"/>
        <v>0.27472527472527475</v>
      </c>
      <c r="P80" s="32">
        <f t="shared" ca="1" si="10"/>
        <v>264</v>
      </c>
      <c r="Q80" s="30" t="s">
        <v>7</v>
      </c>
      <c r="R80" s="39" t="s">
        <v>259</v>
      </c>
      <c r="S80" s="46" t="s">
        <v>311</v>
      </c>
      <c r="T80" s="18"/>
    </row>
  </sheetData>
  <mergeCells count="20">
    <mergeCell ref="K6:K7"/>
    <mergeCell ref="L6:L7"/>
    <mergeCell ref="M6:M7"/>
    <mergeCell ref="N6:N7"/>
    <mergeCell ref="O6:O7"/>
    <mergeCell ref="Q5:S5"/>
    <mergeCell ref="P6:P7"/>
    <mergeCell ref="Q6:Q7"/>
    <mergeCell ref="A1:H1"/>
    <mergeCell ref="A5:N5"/>
    <mergeCell ref="R6:R7"/>
    <mergeCell ref="S6:S7"/>
    <mergeCell ref="O5:P5"/>
    <mergeCell ref="A6:A7"/>
    <mergeCell ref="B6:B7"/>
    <mergeCell ref="C6:C7"/>
    <mergeCell ref="D6:D7"/>
    <mergeCell ref="E6:E7"/>
    <mergeCell ref="F6:F7"/>
    <mergeCell ref="G6:J6"/>
  </mergeCells>
  <conditionalFormatting sqref="P40:P48 P50:P4965 P18:P34 P13:P16">
    <cfRule type="cellIs" dxfId="23" priority="397" operator="lessThan">
      <formula>0</formula>
    </cfRule>
    <cfRule type="containsBlanks" priority="399">
      <formula>LEN(TRIM(P13))=0</formula>
    </cfRule>
    <cfRule type="cellIs" dxfId="22" priority="406" operator="between">
      <formula>31</formula>
      <formula>150</formula>
    </cfRule>
    <cfRule type="cellIs" dxfId="21" priority="407" operator="between">
      <formula>1</formula>
      <formula>30</formula>
    </cfRule>
  </conditionalFormatting>
  <conditionalFormatting sqref="P52:P4967 P32:P35 P38:P50 P18:P28 P13:P16">
    <cfRule type="cellIs" dxfId="20" priority="69" operator="lessThan">
      <formula>0</formula>
    </cfRule>
    <cfRule type="containsBlanks" priority="70">
      <formula>LEN(TRIM(P13))=0</formula>
    </cfRule>
    <cfRule type="cellIs" dxfId="19" priority="71" operator="between">
      <formula>31</formula>
      <formula>150</formula>
    </cfRule>
    <cfRule type="cellIs" dxfId="18" priority="72" operator="between">
      <formula>1</formula>
      <formula>30</formula>
    </cfRule>
  </conditionalFormatting>
  <conditionalFormatting sqref="P52:P4967 P32:P35 P38:P50 P18:P28 P13:P16">
    <cfRule type="cellIs" dxfId="17" priority="65" operator="lessThan">
      <formula>0</formula>
    </cfRule>
    <cfRule type="containsBlanks" priority="66">
      <formula>LEN(TRIM(P13))=0</formula>
    </cfRule>
    <cfRule type="cellIs" dxfId="16" priority="67" operator="between">
      <formula>31</formula>
      <formula>150</formula>
    </cfRule>
    <cfRule type="cellIs" dxfId="15" priority="68" operator="between">
      <formula>1</formula>
      <formula>30</formula>
    </cfRule>
  </conditionalFormatting>
  <conditionalFormatting sqref="P47:P4962 P27:P30 P33:P45 P13:P23 P8:P11">
    <cfRule type="cellIs" dxfId="14" priority="61" operator="lessThan">
      <formula>0</formula>
    </cfRule>
    <cfRule type="containsBlanks" priority="62">
      <formula>LEN(TRIM(P8))=0</formula>
    </cfRule>
    <cfRule type="cellIs" dxfId="13" priority="63" operator="between">
      <formula>31</formula>
      <formula>150</formula>
    </cfRule>
    <cfRule type="cellIs" dxfId="12" priority="64" operator="between">
      <formula>1</formula>
      <formula>30</formula>
    </cfRule>
  </conditionalFormatting>
  <conditionalFormatting sqref="P47:P4962 P27:P30 P33:P45 P13:P23 P8:P11">
    <cfRule type="cellIs" dxfId="11" priority="57" operator="lessThan">
      <formula>0</formula>
    </cfRule>
    <cfRule type="containsBlanks" priority="58">
      <formula>LEN(TRIM(P8))=0</formula>
    </cfRule>
    <cfRule type="cellIs" dxfId="10" priority="59" operator="between">
      <formula>31</formula>
      <formula>150</formula>
    </cfRule>
    <cfRule type="cellIs" dxfId="9" priority="60" operator="between">
      <formula>1</formula>
      <formula>30</formula>
    </cfRule>
  </conditionalFormatting>
  <conditionalFormatting sqref="P42:P4960 P28:P40 P25 P8:P18">
    <cfRule type="cellIs" dxfId="8" priority="53" operator="lessThan">
      <formula>0</formula>
    </cfRule>
    <cfRule type="containsBlanks" priority="54">
      <formula>LEN(TRIM(P8))=0</formula>
    </cfRule>
    <cfRule type="cellIs" dxfId="7" priority="55" operator="between">
      <formula>31</formula>
      <formula>150</formula>
    </cfRule>
    <cfRule type="cellIs" dxfId="6" priority="56" operator="between">
      <formula>1</formula>
      <formula>30</formula>
    </cfRule>
  </conditionalFormatting>
  <conditionalFormatting sqref="P41:P4959 P30:P39 P8:P17">
    <cfRule type="cellIs" dxfId="5" priority="49" operator="lessThan">
      <formula>0</formula>
    </cfRule>
    <cfRule type="containsBlanks" priority="50">
      <formula>LEN(TRIM(P8))=0</formula>
    </cfRule>
    <cfRule type="cellIs" dxfId="4" priority="51" operator="between">
      <formula>31</formula>
      <formula>150</formula>
    </cfRule>
    <cfRule type="cellIs" dxfId="3" priority="52" operator="between">
      <formula>1</formula>
      <formula>30</formula>
    </cfRule>
  </conditionalFormatting>
  <conditionalFormatting sqref="P29:P38 P8:P16 P40:P4962">
    <cfRule type="cellIs" dxfId="2" priority="45" operator="lessThan">
      <formula>0</formula>
    </cfRule>
    <cfRule type="containsBlanks" priority="46">
      <formula>LEN(TRIM(P8))=0</formula>
    </cfRule>
    <cfRule type="cellIs" dxfId="1" priority="47" operator="between">
      <formula>31</formula>
      <formula>150</formula>
    </cfRule>
    <cfRule type="cellIs" dxfId="0" priority="48" operator="between">
      <formula>1</formula>
      <formula>30</formula>
    </cfRule>
  </conditionalFormatting>
  <conditionalFormatting sqref="P8:P31 P33:P4961">
    <cfRule type="cellIs" priority="41" operator="lessThan">
      <formula>0</formula>
    </cfRule>
    <cfRule type="expression" priority="42">
      <formula>LEN(TRIM(P8))=0</formula>
    </cfRule>
    <cfRule type="cellIs" priority="43" operator="between">
      <formula>31</formula>
      <formula>150</formula>
    </cfRule>
    <cfRule type="cellIs" priority="44" operator="between">
      <formula>1</formula>
      <formula>30</formula>
    </cfRule>
  </conditionalFormatting>
  <conditionalFormatting sqref="P8:P29 P31:P4964">
    <cfRule type="cellIs" priority="37" operator="lessThan">
      <formula>0</formula>
    </cfRule>
    <cfRule type="expression" priority="38">
      <formula>LEN(TRIM(P8))=0</formula>
    </cfRule>
    <cfRule type="cellIs" priority="39" operator="between">
      <formula>31</formula>
      <formula>150</formula>
    </cfRule>
    <cfRule type="cellIs" priority="40" operator="between">
      <formula>1</formula>
      <formula>30</formula>
    </cfRule>
  </conditionalFormatting>
  <conditionalFormatting sqref="P18:P4959 P8:P16">
    <cfRule type="cellIs" priority="33" operator="lessThan">
      <formula>0</formula>
    </cfRule>
    <cfRule type="expression" priority="34">
      <formula>LEN(TRIM(P8))=0</formula>
    </cfRule>
    <cfRule type="cellIs" priority="35" operator="between">
      <formula>31</formula>
      <formula>150</formula>
    </cfRule>
    <cfRule type="cellIs" priority="36" operator="between">
      <formula>1</formula>
      <formula>30</formula>
    </cfRule>
  </conditionalFormatting>
  <conditionalFormatting sqref="P8:P16 P18:P57">
    <cfRule type="cellIs" priority="29" operator="lessThan">
      <formula>0</formula>
    </cfRule>
    <cfRule type="expression" priority="30">
      <formula>LEN(TRIM(P8))=0</formula>
    </cfRule>
    <cfRule type="cellIs" priority="31" operator="between">
      <formula>31</formula>
      <formula>150</formula>
    </cfRule>
    <cfRule type="cellIs" priority="32" operator="between">
      <formula>1</formula>
      <formula>30</formula>
    </cfRule>
  </conditionalFormatting>
  <conditionalFormatting sqref="P8:P16 P18:P4956">
    <cfRule type="cellIs" priority="25" operator="lessThan">
      <formula>0</formula>
    </cfRule>
    <cfRule type="expression" priority="26">
      <formula>LEN(TRIM(P8))=0</formula>
    </cfRule>
    <cfRule type="cellIs" priority="27" operator="between">
      <formula>31</formula>
      <formula>150</formula>
    </cfRule>
    <cfRule type="cellIs" priority="28" operator="between">
      <formula>1</formula>
      <formula>30</formula>
    </cfRule>
  </conditionalFormatting>
  <conditionalFormatting sqref="P8:P16 P18:P4956">
    <cfRule type="cellIs" priority="21" operator="lessThan">
      <formula>0</formula>
    </cfRule>
    <cfRule type="expression" priority="22">
      <formula>LEN(TRIM(P8))=0</formula>
    </cfRule>
    <cfRule type="cellIs" priority="23" operator="between">
      <formula>31</formula>
      <formula>150</formula>
    </cfRule>
    <cfRule type="cellIs" priority="24" operator="between">
      <formula>1</formula>
      <formula>30</formula>
    </cfRule>
  </conditionalFormatting>
  <conditionalFormatting sqref="P8:P16 P18:P4956">
    <cfRule type="cellIs" priority="17" operator="lessThan">
      <formula>0</formula>
    </cfRule>
    <cfRule type="expression" priority="18">
      <formula>LEN(TRIM(P8))=0</formula>
    </cfRule>
    <cfRule type="cellIs" priority="19" operator="between">
      <formula>31</formula>
      <formula>150</formula>
    </cfRule>
    <cfRule type="cellIs" priority="20" operator="between">
      <formula>1</formula>
      <formula>30</formula>
    </cfRule>
  </conditionalFormatting>
  <conditionalFormatting sqref="P9:P4959">
    <cfRule type="cellIs" priority="13" operator="lessThan">
      <formula>0</formula>
    </cfRule>
    <cfRule type="expression" priority="14">
      <formula>LEN(TRIM(P9))=0</formula>
    </cfRule>
    <cfRule type="cellIs" priority="15" operator="between">
      <formula>31</formula>
      <formula>150</formula>
    </cfRule>
    <cfRule type="cellIs" priority="16" operator="between">
      <formula>1</formula>
      <formula>30</formula>
    </cfRule>
  </conditionalFormatting>
  <conditionalFormatting sqref="P9:P4959">
    <cfRule type="cellIs" priority="9" operator="lessThan">
      <formula>0</formula>
    </cfRule>
    <cfRule type="expression" priority="10">
      <formula>LEN(TRIM(P9))=0</formula>
    </cfRule>
    <cfRule type="cellIs" priority="11" operator="between">
      <formula>31</formula>
      <formula>150</formula>
    </cfRule>
    <cfRule type="cellIs" priority="12" operator="between">
      <formula>1</formula>
      <formula>30</formula>
    </cfRule>
  </conditionalFormatting>
  <conditionalFormatting sqref="P9:P4959">
    <cfRule type="cellIs" priority="5" operator="lessThan">
      <formula>0</formula>
    </cfRule>
    <cfRule type="expression" priority="6">
      <formula>LEN(TRIM(P9))=0</formula>
    </cfRule>
    <cfRule type="cellIs" priority="7" operator="between">
      <formula>31</formula>
      <formula>150</formula>
    </cfRule>
    <cfRule type="cellIs" priority="8" operator="between">
      <formula>1</formula>
      <formula>30</formula>
    </cfRule>
  </conditionalFormatting>
  <conditionalFormatting sqref="P8:P4956">
    <cfRule type="cellIs" priority="1" operator="lessThan">
      <formula>0</formula>
    </cfRule>
    <cfRule type="expression" priority="2">
      <formula>LEN(TRIM(P8))=0</formula>
    </cfRule>
    <cfRule type="cellIs" priority="3" operator="between">
      <formula>31</formula>
      <formula>150</formula>
    </cfRule>
    <cfRule type="cellIs" priority="4" operator="between">
      <formula>1</formula>
      <formula>30</formula>
    </cfRule>
  </conditionalFormatting>
  <pageMargins left="0.25" right="0.25" top="0.75" bottom="0.75" header="0.3" footer="0.3"/>
  <pageSetup scale="5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D6B523776BAC46AD5F082A7941E46A" ma:contentTypeVersion="2" ma:contentTypeDescription="Crie um novo documento." ma:contentTypeScope="" ma:versionID="1ce40b80188321b037a81c933c26fd84">
  <xsd:schema xmlns:xsd="http://www.w3.org/2001/XMLSchema" xmlns:xs="http://www.w3.org/2001/XMLSchema" xmlns:p="http://schemas.microsoft.com/office/2006/metadata/properties" xmlns:ns2="0e789797-c187-49a0-8107-6706f5ec7618" targetNamespace="http://schemas.microsoft.com/office/2006/metadata/properties" ma:root="true" ma:fieldsID="f61bb62dd9491b26fa82e7e05bb3b435" ns2:_="">
    <xsd:import namespace="0e789797-c187-49a0-8107-6706f5ec76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89797-c187-49a0-8107-6706f5ec7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03F0B-C3C3-49B9-B827-C11B2EBAC8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28D32-C134-4DE7-8114-54C96C2C76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B1C7F8-BA46-4757-8280-4CE43FDDB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789797-c187-49a0-8107-6706f5ec76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em Vigor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Mendes Leandro Beserra</dc:creator>
  <cp:lastModifiedBy>Marcos Tetsuo Idenaga</cp:lastModifiedBy>
  <cp:revision/>
  <dcterms:created xsi:type="dcterms:W3CDTF">2016-03-23T18:35:18Z</dcterms:created>
  <dcterms:modified xsi:type="dcterms:W3CDTF">2021-09-24T14:45:26Z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0x0101000AD6B523776BAC46AD5F082A7941E46A</vt:lpwstr>
  </property>
</Properties>
</file>